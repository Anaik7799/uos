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46fae4849946a5" /></Relationships>
</file>

<file path=xl/workbook.xml><?xml version="1.0" encoding="utf-8"?>
<x:workbook xmlns:x="http://schemas.openxmlformats.org/spreadsheetml/2006/main">
  <x:sheets>
    <x:sheet xmlns:r="http://schemas.openxmlformats.org/officeDocument/2006/relationships" name="Directory" sheetId="1" r:id="Ra929fa4b3c50488b"/>
    <x:sheet xmlns:r="http://schemas.openxmlformats.org/officeDocument/2006/relationships" name="Company_Financials" sheetId="2" r:id="R5e9c623efca148c2"/>
    <x:sheet xmlns:r="http://schemas.openxmlformats.org/officeDocument/2006/relationships" name="Google_Source" sheetId="3" r:id="R3e1b105ce5844e9a"/>
    <x:sheet xmlns:r="http://schemas.openxmlformats.org/officeDocument/2006/relationships" name="Review" sheetId="4" r:id="Rd1a60a1a78c24315"/>
    <x:sheet xmlns:r="http://schemas.openxmlformats.org/officeDocument/2006/relationships" name="Versions" sheetId="5" r:id="R0602ce1f62c54bbc"/>
    <x:sheet xmlns:r="http://schemas.openxmlformats.org/officeDocument/2006/relationships" name="Review_Evidence" sheetId="6" r:id="Ra075c5280a2d4911"/>
    <x:sheet xmlns:r="http://schemas.openxmlformats.org/officeDocument/2006/relationships" name="Strategy_Summary" sheetId="7" r:id="R2e27437aad8b499a"/>
    <x:sheet xmlns:r="http://schemas.openxmlformats.org/officeDocument/2006/relationships" name="Target_Accounts" sheetId="8" r:id="R4e129bb7a54041ff"/>
    <x:sheet xmlns:r="http://schemas.openxmlformats.org/officeDocument/2006/relationships" name="Proposed_Offers" sheetId="9" r:id="Rdb03be68dbe04f77"/>
    <x:sheet xmlns:r="http://schemas.openxmlformats.org/officeDocument/2006/relationships" name="Pharma_Companies" sheetId="10" r:id="R532ea70bbca242e4"/>
    <x:sheet xmlns:r="http://schemas.openxmlformats.org/officeDocument/2006/relationships" name="Dossier_Financials" sheetId="11" r:id="R57c87b94067c4b48"/>
    <x:sheet xmlns:r="http://schemas.openxmlformats.org/officeDocument/2006/relationships" name="Peer_Profiles" sheetId="12" r:id="R81e76db6c0bc400f"/>
    <x:sheet xmlns:r="http://schemas.openxmlformats.org/officeDocument/2006/relationships" name="Document_Tables" sheetId="13" r:id="R12b44fe37cab430b"/>
    <x:sheet xmlns:r="http://schemas.openxmlformats.org/officeDocument/2006/relationships" name="Document_Notes" sheetId="14" r:id="Rf02f446e7757426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0);0.00"/>
    <x:numFmt numFmtId="201" formatCode="yyyy-mm-dd hh:mm:ss"/>
    <x:numFmt numFmtId="202" formatCode="#,##0.###;(#,##0.###);0"/>
    <x:numFmt numFmtId="203" formatCode="&quot;EUR &quot;#,##0"/>
    <x:numFmt numFmtId="204" formatCode="&quot;SEK &quot;#,##0"/>
  </x:numFmts>
  <x:fonts count="9">
    <x:font>
      <x:sz val="11"/>
      <x:name val="Carlito"/>
    </x:font>
    <x:font>
      <x:sz val="10"/>
      <x:color rgb="FF26374A"/>
      <x:name val="Arial"/>
    </x:font>
    <x:font>
      <x:b/>
      <x:sz val="14"/>
      <x:color rgb="FF1F3864"/>
      <x:name val="Arial"/>
    </x:font>
    <x:font>
      <x:sz val="10"/>
      <x:color rgb="FF7F6000"/>
      <x:name val="Arial"/>
    </x:font>
    <x:font>
      <x:b/>
      <x:sz val="10"/>
      <x:color rgb="FFFFFFFF"/>
      <x:name val="Arial"/>
    </x:font>
    <x:font>
      <x:sz val="10"/>
      <x:color rgb="FF0000FF"/>
      <x:name val="Arial"/>
    </x:font>
    <x:font>
      <x:b/>
      <x:sz val="15"/>
      <x:color rgb="FF1F3864"/>
      <x:name val="Arial"/>
    </x:font>
    <x:font>
      <x:b/>
      <x:sz val="16"/>
      <x:color rgb="FF1F3864"/>
      <x:name val="Arial"/>
    </x:font>
    <x:font>
      <x:sz val="10"/>
      <x:color rgb="FF526171"/>
      <x:name val="Arial"/>
    </x:font>
  </x:fonts>
  <x:fills count="6">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1F3864"/>
      </x:patternFill>
    </x:fill>
    <x:fill>
      <x:patternFill patternType="solid">
        <x:fgColor rgb="FF1F3864"/>
      </x:patternFill>
    </x:fill>
  </x:fills>
  <x:borders count="1">
    <x:border/>
  </x:borders>
  <x:cellStyleXfs count="1">
    <x:xf numFmtId="0" fontId="0" fillId="0" borderId="0"/>
  </x:cellStyleXfs>
  <x:cellXfs count="3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0" fillId="0" borderId="0" xfId="0" applyNumberFormat="1" applyFont="1" applyFill="1" applyBorder="1" applyAlignment="1">
      <x:alignment wrapText="0"/>
    </x:xf>
    <x:xf numFmtId="201" fontId="0" fillId="0" borderId="0" xfId="0" applyNumberFormat="1" applyFont="1" applyFill="1" applyBorder="1" applyAlignment="1">
      <x:alignment wrapText="0"/>
    </x:xf>
    <x:xf numFmtId="0" fontId="6" fillId="0" borderId="0" xfId="0" applyNumberFormat="1" applyFont="1" applyFill="1" applyBorder="1"/>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7"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1" fontId="0" fillId="0" borderId="0" xfId="0" applyNumberFormat="1" applyFont="1" applyFill="1" applyBorder="1"/>
    <x:xf numFmtId="201" fontId="1" fillId="0" borderId="0" xfId="0" applyNumberFormat="1" applyFont="1" applyFill="1" applyBorder="1"/>
    <x:xf numFmtId="201" fontId="1" fillId="0" borderId="0" xfId="0" applyNumberFormat="1" applyFont="1" applyFill="1" applyBorder="1" applyAlignment="1">
      <x:alignment wrapText="1"/>
    </x:xf>
  </x:cellXfs>
  <x:cellStyles count="1">
    <x:cellStyle name="Normal" xfId="0"/>
  </x:cellStyles>
  <x:dxfs count="2">
    <x:dxf>
      <x:font>
        <x:color rgb="FF7F6000"/>
      </x:font>
      <x:fill>
        <x:patternFill>
          <x:bgColor rgb="FFFFF2CC"/>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3a55359bca479d" /><Relationship Type="http://schemas.openxmlformats.org/officeDocument/2006/relationships/theme" Target="/xl/theme/theme1.xml" Id="R3086a7fb21b84810" /><Relationship Type="http://schemas.openxmlformats.org/officeDocument/2006/relationships/sharedStrings" Target="/xl/sharedStrings.xml" Id="R8e9657f1bffc4196" /><Relationship Type="http://schemas.openxmlformats.org/officeDocument/2006/relationships/worksheet" Target="/xl/worksheets/sheet1.xml" Id="Ra929fa4b3c50488b" /><Relationship Type="http://schemas.openxmlformats.org/officeDocument/2006/relationships/worksheet" Target="/xl/worksheets/sheet2.xml" Id="R5e9c623efca148c2" /><Relationship Type="http://schemas.openxmlformats.org/officeDocument/2006/relationships/worksheet" Target="/xl/worksheets/sheet3.xml" Id="R3e1b105ce5844e9a" /><Relationship Type="http://schemas.openxmlformats.org/officeDocument/2006/relationships/worksheet" Target="/xl/worksheets/sheet4.xml" Id="Rd1a60a1a78c24315" /><Relationship Type="http://schemas.openxmlformats.org/officeDocument/2006/relationships/worksheet" Target="/xl/worksheets/sheet5.xml" Id="R0602ce1f62c54bbc" /><Relationship Type="http://schemas.openxmlformats.org/officeDocument/2006/relationships/worksheet" Target="/xl/worksheets/sheet6.xml" Id="Ra075c5280a2d4911" /><Relationship Type="http://schemas.openxmlformats.org/officeDocument/2006/relationships/worksheet" Target="/xl/worksheets/sheet7.xml" Id="R2e27437aad8b499a" /><Relationship Type="http://schemas.openxmlformats.org/officeDocument/2006/relationships/worksheet" Target="/xl/worksheets/sheet8.xml" Id="R4e129bb7a54041ff" /><Relationship Type="http://schemas.openxmlformats.org/officeDocument/2006/relationships/worksheet" Target="/xl/worksheets/sheet9.xml" Id="Rdb03be68dbe04f77" /><Relationship Type="http://schemas.openxmlformats.org/officeDocument/2006/relationships/worksheet" Target="/xl/worksheets/sheet10.xml" Id="R532ea70bbca242e4" /><Relationship Type="http://schemas.openxmlformats.org/officeDocument/2006/relationships/worksheet" Target="/xl/worksheets/sheet11.xml" Id="R57c87b94067c4b48" /><Relationship Type="http://schemas.openxmlformats.org/officeDocument/2006/relationships/worksheet" Target="/xl/worksheets/sheet12.xml" Id="R81e76db6c0bc400f" /><Relationship Type="http://schemas.openxmlformats.org/officeDocument/2006/relationships/worksheet" Target="/xl/worksheets/sheet13.xml" Id="R12b44fe37cab430b" /><Relationship Type="http://schemas.openxmlformats.org/officeDocument/2006/relationships/worksheet" Target="/xl/worksheets/sheet14.xml" Id="Rf02f446e7757426d" /></Relationships>
</file>

<file path=xl/tables/table1.xml><?xml version="1.0" encoding="utf-8"?>
<x:table xmlns:x="http://schemas.openxmlformats.org/spreadsheetml/2006/main" id="1" name="Medical_Directory" displayName="Medical_Directory" ref="A7:M142" headerRowCount="1" totalsRowCount="0" totalsRowShown="0">
  <x:tableColumns count="13">
    <x:tableColumn id="1" name="Google row"/>
    <x:tableColumn id="2" name="Company"/>
    <x:tableColumn id="3" name="Location"/>
    <x:tableColumn id="4" name="Area"/>
    <x:tableColumn id="5" name="Revenue claim"/>
    <x:tableColumn id="6" name="R&amp;D claim"/>
    <x:tableColumn id="7" name="Currency"/>
    <x:tableColumn id="8" name="Fiscal period"/>
    <x:tableColumn id="9" name="Ownership / source notes"/>
    <x:tableColumn id="10" name="Company site rows"/>
    <x:tableColumn id="11" name="Local service proposal"/>
    <x:tableColumn id="12" name="Review flags"/>
    <x:tableColumn id="13" name="Evidence status"/>
  </x:tableColumns>
  <x:tableStyleInfo name="TableStyleMedium2" showFirstColumn="0" showLastColumn="0" showRowStripes="1" showColumnStripes="0"/>
</x:table>
</file>

<file path=xl/tables/table2.xml><?xml version="1.0" encoding="utf-8"?>
<x:table xmlns:x="http://schemas.openxmlformats.org/spreadsheetml/2006/main" id="2" name="Medical_Company_Financials" displayName="Medical_Company_Financials" ref="A7:K134" headerRowCount="1" totalsRowCount="0" totalsRowShown="0">
  <x:tableColumns count="11">
    <x:tableColumn id="1" name="Company"/>
    <x:tableColumn id="2" name="Currency"/>
    <x:tableColumn id="3" name="Fiscal period"/>
    <x:tableColumn id="4" name="Revenue (millions)"/>
    <x:tableColumn id="5" name="Revenue qualifier"/>
    <x:tableColumn id="6" name="R&amp;D (millions)"/>
    <x:tableColumn id="7" name="R&amp;D qualifier"/>
    <x:tableColumn id="8" name="Original revenue text"/>
    <x:tableColumn id="9" name="Original R&amp;D text"/>
    <x:tableColumn id="10" name="Original source notes"/>
    <x:tableColumn id="11" name="Evidence status"/>
  </x:tableColumns>
  <x:tableStyleInfo name="TableStyleMedium2" showFirstColumn="0" showLastColumn="0" showRowStripes="1" showColumnStripes="0"/>
</x:table>
</file>

<file path=xl/tables/table3.xml><?xml version="1.0" encoding="utf-8"?>
<x:table xmlns:x="http://schemas.openxmlformats.org/spreadsheetml/2006/main" id="3" name="Medical_Google_Source" displayName="Medical_Google_Source" ref="A7:H142" headerRowCount="1" totalsRowCount="0" totalsRowShown="0">
  <x:tableColumns count="8">
    <x:tableColumn id="1" name="Company"/>
    <x:tableColumn id="2" name="Location"/>
    <x:tableColumn id="3" name="Area"/>
    <x:tableColumn id="4" name="Revenue"/>
    <x:tableColumn id="5" name="R&amp;D Spend"/>
    <x:tableColumn id="6" name="Currency"/>
    <x:tableColumn id="7" name="Fiscal Year / Period"/>
    <x:tableColumn id="8" name="Status / Ownership / Notes"/>
  </x:tableColumns>
  <x:tableStyleInfo name="TableStyleMedium2" showFirstColumn="0" showLastColumn="0" showRowStripes="1" showColumnStripes="0"/>
</x:table>
</file>

<file path=xl/tables/table4.xml><?xml version="1.0" encoding="utf-8"?>
<x:table xmlns:x="http://schemas.openxmlformats.org/spreadsheetml/2006/main" id="4" name="Medical_Review" displayName="Medical_Review" ref="A7:K20" headerRowCount="1" totalsRowCount="0" totalsRowShown="0">
  <x:tableColumns count="11">
    <x:tableColumn id="1" name="Review ID"/>
    <x:tableColumn id="2" name="Category"/>
    <x:tableColumn id="3" name="Company"/>
    <x:tableColumn id="4" name="Google row"/>
    <x:tableColumn id="5" name="Finding"/>
    <x:tableColumn id="6" name="Required follow-up"/>
    <x:tableColumn id="7" name="Status"/>
    <x:tableColumn id="8" name="Assigned reviewer"/>
    <x:tableColumn id="9" name="Resolution evidence"/>
    <x:tableColumn id="10" name="Resolved at UTC"/>
    <x:tableColumn id="11" name="Closure check"/>
  </x:tableColumns>
  <x:tableStyleInfo name="TableStyleMedium2" showFirstColumn="0" showLastColumn="0" showRowStripes="1" showColumnStripes="0"/>
</x:table>
</file>

<file path=xl/tables/table5.xml><?xml version="1.0" encoding="utf-8"?>
<x:table xmlns:x="http://schemas.openxmlformats.org/spreadsheetml/2006/main" id="7" name="Medical_Versions" displayName="Medical_Versions" ref="A7:F11" headerRowCount="1" totalsRowCount="0" totalsRowShown="0">
  <x:tableColumns count="6">
    <x:tableColumn id="1" name="Version"/>
    <x:tableColumn id="2" name="Recorded / captured UTC"/>
    <x:tableColumn id="3" name="Original file modified UTC"/>
    <x:tableColumn id="4" name="Change"/>
    <x:tableColumn id="5" name="Review scope"/>
    <x:tableColumn id="6" name="Prior SHA-256"/>
  </x:tableColumns>
  <x:tableStyleInfo name="TableStyleMedium2" showFirstColumn="0" showLastColumn="0" showRowStripes="1" showColumnStripes="0"/>
</x:table>
</file>

<file path=xl/tables/table6.xml><?xml version="1.0" encoding="utf-8"?>
<x:table xmlns:x="http://schemas.openxmlformats.org/spreadsheetml/2006/main" id="16" name="V3_SourceManifest" displayName="V3_SourceManifest" ref="A21:H29" headerRowCount="1" totalsRowCount="0" totalsRowShown="0">
  <x:tableColumns count="8">
    <x:tableColumn id="1" name="Doc ID"/>
    <x:tableColumn id="2" name="Source Markdown file"/>
    <x:tableColumn id="3" name="SHA-256"/>
    <x:tableColumn id="4" name="Source lines"/>
    <x:tableColumn id="5" name="Table rows"/>
    <x:tableColumn id="6" name="Note records"/>
    <x:tableColumn id="7" name="Bytes"/>
    <x:tableColumn id="8" name="Imported UTC"/>
  </x:tableColumns>
  <x:tableStyleInfo name="TableStyleMedium2" showFirstColumn="0" showLastColumn="0" showRowStripes="1" showColumnStripes="0"/>
</x:table>
</file>

<file path=xl/tables/table7.xml><?xml version="1.0" encoding="utf-8"?>
<x:table xmlns:x="http://schemas.openxmlformats.org/spreadsheetml/2006/main" id="6" name="PrimaryDisclosureReview" displayName="PrimaryDisclosureReview" ref="A7:J31" headerRowCount="1" totalsRowCount="0" totalsRowShown="0">
  <x:tableColumns count="10">
    <x:tableColumn id="1" name="Company"/>
    <x:tableColumn id="2" name="Metric checked"/>
    <x:tableColumn id="3" name="Original source claim"/>
    <x:tableColumn id="4" name="Currency"/>
    <x:tableColumn id="5" name="Reporting period / as of"/>
    <x:tableColumn id="6" name="Reported value (millions unless location)"/>
    <x:tableColumn id="7" name="Basis / entity scope"/>
    <x:tableColumn id="8" name="Result / qualification"/>
    <x:tableColumn id="9" name="Interpretation / limit"/>
    <x:tableColumn id="10" name="Reviewed UTC"/>
  </x:tableColumns>
  <x:tableStyleInfo name="TableStyleMedium2" showFirstColumn="0" showLastColumn="0" showRowStripes="1" showColumnStripes="0"/>
</x:table>
</file>

<file path=xl/tables/table8.xml><?xml version="1.0" encoding="utf-8"?>
<x:table xmlns:x="http://schemas.openxmlformats.org/spreadsheetml/2006/main" id="8" name="V3_Strategy_Summary" displayName="V3_Strategy_Summary" ref="A7:D22" headerRowCount="1" totalsRowCount="0" totalsRowShown="0">
  <x:tableColumns count="4">
    <x:tableColumn id="1" name="Topic"/>
    <x:tableColumn id="2" name="Incorporated information"/>
    <x:tableColumn id="3" name="Qualification / next step"/>
    <x:tableColumn id="4" name="Source locator"/>
  </x:tableColumns>
  <x:tableStyleInfo name="TableStyleMedium2" showFirstColumn="0" showLastColumn="0" showRowStripes="1" showColumnStripes="0"/>
</x:table>
</file>

<file path=xl/tables/table9.xml><?xml version="1.0" encoding="utf-8"?>
<x:table xmlns:x="http://schemas.openxmlformats.org/spreadsheetml/2006/main" id="9" name="V3_Target_Accounts" displayName="V3_Target_Accounts" ref="A7:J27" headerRowCount="1" totalsRowCount="0" totalsRowShown="0">
  <x:tableColumns count="10">
    <x:tableColumn id="1" name="Source no."/>
    <x:tableColumn id="2" name="Account / location"/>
    <x:tableColumn id="3" name="Source track"/>
    <x:tableColumn id="4" name="Financial profile claim"/>
    <x:tableColumn id="5" name="Products / therapeutic / manufacturing focus claim"/>
    <x:tableColumn id="6" name="Friction hypothesis"/>
    <x:tableColumn id="7" name="Buyer persona"/>
    <x:tableColumn id="8" name="Proposed offer"/>
    <x:tableColumn id="9" name="Value proposition claim"/>
    <x:tableColumn id="10" name="Status"/>
  </x:tableColumns>
  <x:tableStyleInfo name="TableStyleMedium2" showFirstColumn="0" showLastColumn="0" showRowStripes="1" showColumnStripes="0"/>
</x:table>
</file>

<file path=xl/tables/table10.xml><?xml version="1.0" encoding="utf-8"?>
<x:table xmlns:x="http://schemas.openxmlformats.org/spreadsheetml/2006/main" id="10" name="V3_Proposed_Offers" displayName="V3_Proposed_Offers" ref="A7:H13" headerRowCount="1" totalsRowCount="0" totalsRowShown="0">
  <x:tableColumns count="8">
    <x:tableColumn id="1" name="Offer"/>
    <x:tableColumn id="2" name="Buyer"/>
    <x:tableColumn id="3" name="EUR price"/>
    <x:tableColumn id="4" name="SEK price"/>
    <x:tableColumn id="5" name="Timeline"/>
    <x:tableColumn id="6" name="Deliverables"/>
    <x:tableColumn id="7" name="Claimed benefit"/>
    <x:tableColumn id="8" name="Status"/>
  </x:tableColumns>
  <x:tableStyleInfo name="TableStyleMedium2" showFirstColumn="0" showLastColumn="0" showRowStripes="1" showColumnStripes="0"/>
</x:table>
</file>

<file path=xl/tables/table11.xml><?xml version="1.0" encoding="utf-8"?>
<x:table xmlns:x="http://schemas.openxmlformats.org/spreadsheetml/2006/main" id="11" name="V3_Pharma_Companies" displayName="V3_Pharma_Companies" ref="A7:I47" headerRowCount="1" totalsRowCount="0" totalsRowShown="0">
  <x:tableColumns count="9">
    <x:tableColumn id="1" name="Tier"/>
    <x:tableColumn id="2" name="Company"/>
    <x:tableColumn id="3" name="HQ / key sites claim"/>
    <x:tableColumn id="4" name="Revenue claim"/>
    <x:tableColumn id="5" name="R&amp;D claim"/>
    <x:tableColumn id="6" name="Modality / focus claim"/>
    <x:tableColumn id="7" name="Pain-point hypothesis"/>
    <x:tableColumn id="8" name="Proposed service"/>
    <x:tableColumn id="9" name="Status"/>
  </x:tableColumns>
  <x:tableStyleInfo name="TableStyleMedium2" showFirstColumn="0" showLastColumn="0" showRowStripes="1" showColumnStripes="0"/>
</x:table>
</file>

<file path=xl/tables/table12.xml><?xml version="1.0" encoding="utf-8"?>
<x:table xmlns:x="http://schemas.openxmlformats.org/spreadsheetml/2006/main" id="12" name="V3_Dossier_Financials" displayName="V3_Dossier_Financials" ref="A7:J142" headerRowCount="1" totalsRowCount="0" totalsRowShown="0">
  <x:tableColumns count="10">
    <x:tableColumn id="1" name="Source no."/>
    <x:tableColumn id="2" name="Company"/>
    <x:tableColumn id="3" name="Location"/>
    <x:tableColumn id="4" name="Focus Area"/>
    <x:tableColumn id="5" name="Revenue / Net Sales"/>
    <x:tableColumn id="6" name="R&amp;D Spend"/>
    <x:tableColumn id="7" name="Currency"/>
    <x:tableColumn id="8" name="Fiscal Year"/>
    <x:tableColumn id="9" name="Status / Ownership / Strategic Service Alignment"/>
    <x:tableColumn id="10" name="Status"/>
  </x:tableColumns>
  <x:tableStyleInfo name="TableStyleMedium2" showFirstColumn="0" showLastColumn="0" showRowStripes="1" showColumnStripes="0"/>
</x:table>
</file>

<file path=xl/tables/table13.xml><?xml version="1.0" encoding="utf-8"?>
<x:table xmlns:x="http://schemas.openxmlformats.org/spreadsheetml/2006/main" id="13" name="V3_Peer_Profiles" displayName="V3_Peer_Profiles" ref="A7:J31" headerRowCount="1" totalsRowCount="0" totalsRowShown="0">
  <x:tableColumns count="10">
    <x:tableColumn id="1" name="Doc ID"/>
    <x:tableColumn id="2" name="Source no."/>
    <x:tableColumn id="3" name="Source profile / location"/>
    <x:tableColumn id="4" name="Source grouping"/>
    <x:tableColumn id="5" name="Profile / partnership narrative"/>
    <x:tableColumn id="6" name="Headcount / revenue claim"/>
    <x:tableColumn id="7" name="Strengths claim"/>
    <x:tableColumn id="8" name="Gaps claim"/>
    <x:tableColumn id="9" name="Positioning proposal"/>
    <x:tableColumn id="10" name="Status"/>
  </x:tableColumns>
  <x:tableStyleInfo name="TableStyleMedium2" showFirstColumn="0" showLastColumn="0" showRowStripes="1" showColumnStripes="0"/>
</x:table>
</file>

<file path=xl/tables/table14.xml><?xml version="1.0" encoding="utf-8"?>
<x:table xmlns:x="http://schemas.openxmlformats.org/spreadsheetml/2006/main" id="14" name="V3_Document_Tables" displayName="V3_Document_Tables" ref="A7:J2561" headerRowCount="1" totalsRowCount="0" totalsRowShown="0">
  <x:tableColumns count="10">
    <x:tableColumn id="1" name="Doc ID"/>
    <x:tableColumn id="2" name="Table ID"/>
    <x:tableColumn id="3" name="Source section"/>
    <x:tableColumn id="4" name="Source row"/>
    <x:tableColumn id="5" name="Field no."/>
    <x:tableColumn id="6" name="Source field label"/>
    <x:tableColumn id="7" name="Part"/>
    <x:tableColumn id="8" name="Parts"/>
    <x:tableColumn id="9" name="Source value"/>
    <x:tableColumn id="10" name="Status"/>
  </x:tableColumns>
  <x:tableStyleInfo name="TableStyleMedium2" showFirstColumn="0" showLastColumn="0" showRowStripes="1" showColumnStripes="0"/>
</x:table>
</file>

<file path=xl/tables/table15.xml><?xml version="1.0" encoding="utf-8"?>
<x:table xmlns:x="http://schemas.openxmlformats.org/spreadsheetml/2006/main" id="15" name="V3_Document_Notes" displayName="V3_Document_Notes" ref="A7:J579" headerRowCount="1" totalsRowCount="0" totalsRowShown="0">
  <x:tableColumns count="10">
    <x:tableColumn id="1" name="Doc ID"/>
    <x:tableColumn id="2" name="Record ID"/>
    <x:tableColumn id="3" name="Source section"/>
    <x:tableColumn id="4" name="Start line"/>
    <x:tableColumn id="5" name="End line"/>
    <x:tableColumn id="6" name="Kind"/>
    <x:tableColumn id="7" name="Part"/>
    <x:tableColumn id="8" name="Parts"/>
    <x:tableColumn id="9" name="Source text"/>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9f40050c76436a" /></Relationships>
</file>

<file path=xl/worksheets/_rels/sheet2.xml.rels>&#65279;<?xml version="1.0" encoding="utf-8"?><Relationships xmlns="http://schemas.openxmlformats.org/package/2006/relationships"><Relationship Type="http://schemas.openxmlformats.org/officeDocument/2006/relationships/table" Target="/xl/tables/table2.xml" Id="R53e062fa847242f0" /></Relationships>
</file>

<file path=xl/worksheets/_rels/sheet3.xml.rels>&#65279;<?xml version="1.0" encoding="utf-8"?><Relationships xmlns="http://schemas.openxmlformats.org/package/2006/relationships"><Relationship Type="http://schemas.openxmlformats.org/officeDocument/2006/relationships/table" Target="/xl/tables/table3.xml" Id="R9a6cc1c39a1f442a" /></Relationships>
</file>

<file path=xl/worksheets/_rels/sheet4.xml.rels>&#65279;<?xml version="1.0" encoding="utf-8"?><Relationships xmlns="http://schemas.openxmlformats.org/package/2006/relationships"><Relationship Type="http://schemas.openxmlformats.org/officeDocument/2006/relationships/table" Target="/xl/tables/table4.xml" Id="Redd584f00f1c44a6" /></Relationships>
</file>

<file path=xl/worksheets/_rels/sheet5.xml.rels>&#65279;<?xml version="1.0" encoding="utf-8"?><Relationships xmlns="http://schemas.openxmlformats.org/package/2006/relationships"><Relationship Type="http://schemas.openxmlformats.org/officeDocument/2006/relationships/table" Target="/xl/tables/table5.xml" Id="R8db48304f67f406f" /><Relationship Type="http://schemas.openxmlformats.org/officeDocument/2006/relationships/table" Target="/xl/tables/table6.xml" Id="R2aab7aad0f3949f0" /></Relationships>
</file>

<file path=xl/worksheets/_rels/sheet6.xml.rels>&#65279;<?xml version="1.0" encoding="utf-8"?><Relationships xmlns="http://schemas.openxmlformats.org/package/2006/relationships"><Relationship Type="http://schemas.openxmlformats.org/officeDocument/2006/relationships/table" Target="/xl/tables/table7.xml" Id="Rfc4765ee0d214887" /></Relationships>
</file>

<file path=xl/worksheets/_rels/sheet7.xml.rels>&#65279;<?xml version="1.0" encoding="utf-8"?><Relationships xmlns="http://schemas.openxmlformats.org/package/2006/relationships"><Relationship Type="http://schemas.openxmlformats.org/officeDocument/2006/relationships/table" Target="/xl/tables/table8.xml" Id="R625347376bf042b6" /></Relationships>
</file>

<file path=xl/worksheets/_rels/sheet8.xml.rels>&#65279;<?xml version="1.0" encoding="utf-8"?><Relationships xmlns="http://schemas.openxmlformats.org/package/2006/relationships"><Relationship Type="http://schemas.openxmlformats.org/officeDocument/2006/relationships/table" Target="/xl/tables/table9.xml" Id="Re086fe918efc462c" /></Relationships>
</file>

<file path=xl/worksheets/_rels/sheet9.xml.rels>&#65279;<?xml version="1.0" encoding="utf-8"?><Relationships xmlns="http://schemas.openxmlformats.org/package/2006/relationships"><Relationship Type="http://schemas.openxmlformats.org/officeDocument/2006/relationships/table" Target="/xl/tables/table10.xml" Id="R9d496b85277e4da4" /></Relationships>
</file>

<file path=xl/worksheets/_rels/sheet10.xml.rels>&#65279;<?xml version="1.0" encoding="utf-8"?><Relationships xmlns="http://schemas.openxmlformats.org/package/2006/relationships"><Relationship Type="http://schemas.openxmlformats.org/officeDocument/2006/relationships/table" Target="/xl/tables/table11.xml" Id="Ra542a312a47c497b" /></Relationships>
</file>

<file path=xl/worksheets/_rels/sheet11.xml.rels>&#65279;<?xml version="1.0" encoding="utf-8"?><Relationships xmlns="http://schemas.openxmlformats.org/package/2006/relationships"><Relationship Type="http://schemas.openxmlformats.org/officeDocument/2006/relationships/table" Target="/xl/tables/table12.xml" Id="R1bdc0f31c4304bec" /></Relationships>
</file>

<file path=xl/worksheets/_rels/sheet12.xml.rels>&#65279;<?xml version="1.0" encoding="utf-8"?><Relationships xmlns="http://schemas.openxmlformats.org/package/2006/relationships"><Relationship Type="http://schemas.openxmlformats.org/officeDocument/2006/relationships/table" Target="/xl/tables/table13.xml" Id="R9afd4450936d48a1" /></Relationships>
</file>

<file path=xl/worksheets/_rels/sheet13.xml.rels>&#65279;<?xml version="1.0" encoding="utf-8"?><Relationships xmlns="http://schemas.openxmlformats.org/package/2006/relationships"><Relationship Type="http://schemas.openxmlformats.org/officeDocument/2006/relationships/table" Target="/xl/tables/table14.xml" Id="Rd34ef48c2d894cfe" /></Relationships>
</file>

<file path=xl/worksheets/_rels/sheet14.xml.rels>&#65279;<?xml version="1.0" encoding="utf-8"?><Relationships xmlns="http://schemas.openxmlformats.org/package/2006/relationships"><Relationship Type="http://schemas.openxmlformats.org/officeDocument/2006/relationships/table" Target="/xl/tables/table15.xml" Id="R276eabc823de472b" /></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12" hidden="0" customWidth="1"/>
    <x:col min="2" max="2" width="32" hidden="0" customWidth="1"/>
    <x:col min="3" max="3" width="28" hidden="0" customWidth="1"/>
    <x:col min="4" max="4" width="36" hidden="0" customWidth="1"/>
    <x:col min="5" max="5" width="46" hidden="0" customWidth="1"/>
    <x:col min="6" max="6" width="40" hidden="0" customWidth="1"/>
    <x:col min="7" max="7" width="13" hidden="0" customWidth="1"/>
    <x:col min="8" max="8" width="21" hidden="0" customWidth="1"/>
    <x:col min="9" max="9" width="68" hidden="0" customWidth="1"/>
    <x:col min="10" max="10" width="14" hidden="0" customWidth="1"/>
    <x:col min="11" max="11" width="65" hidden="0" customWidth="1"/>
    <x:col min="12" max="12" width="48" hidden="0" customWidth="1"/>
    <x:col min="13" max="13" width="36" hidden="0" customWidth="1"/>
    <x:col min="15" max="15" width="140" hidden="0" customWidth="1"/>
    <x:col min="14" max="14" width="3" hidden="0" customWidth="1"/>
  </x:cols>
  <x:sheetData>
    <x:row r="1">
      <x:c r="A1" s="1"/>
      <x:c r="B1" s="1"/>
      <x:c r="C1" s="1"/>
      <x:c r="D1" s="1"/>
      <x:c r="E1" s="1"/>
      <x:c r="F1" s="1"/>
      <x:c r="G1" s="1"/>
      <x:c r="H1" s="1"/>
      <x:c r="I1" s="1"/>
      <x:c r="J1" s="1"/>
      <x:c r="K1" s="1"/>
      <x:c r="L1" s="1"/>
      <x:c r="M1" s="1"/>
    </x:row>
    <x:row r="2">
      <x:c r="A2" s="2" t="str">
        <x:v>Nordic medical directory — 135 source records, 134 company/location keys</x:v>
      </x:c>
      <x:c r="B2" s="1"/>
      <x:c r="C2" s="1"/>
      <x:c r="D2" s="1"/>
      <x:c r="E2" s="1"/>
      <x:c r="F2" s="1"/>
      <x:c r="G2" s="1"/>
      <x:c r="H2" s="1"/>
      <x:c r="I2" s="1"/>
      <x:c r="J2" s="1"/>
      <x:c r="K2" s="1"/>
      <x:c r="L2" s="1"/>
      <x:c r="M2" s="1"/>
    </x:row>
    <x:row r="3">
      <x:c r="A3" s="1" t="str">
        <x:v>v0003 · 2026-09-28T10:47:52Z (UTC)</x:v>
      </x:c>
      <x:c r="B3" s="1"/>
      <x:c r="C3" s="1"/>
      <x:c r="D3" s="1"/>
      <x:c r="E3" s="1"/>
      <x:c r="F3" s="1"/>
      <x:c r="G3" s="1"/>
      <x:c r="H3" s="1"/>
      <x:c r="I3" s="1"/>
      <x:c r="J3" s="1"/>
      <x:c r="K3" s="1"/>
      <x:c r="L3" s="1"/>
      <x:c r="M3" s="1"/>
    </x:row>
    <x:row r="4">
      <x:c r="A4" s="3" t="str">
        <x:v>RAW CLAIMS: some are contradicted. Use Review_Evidence for checked values. Company/group amounts repeat across records; no facility totals or safety readiness established.</x:v>
      </x:c>
      <x:c r="B4" s="1"/>
      <x:c r="C4" s="1"/>
      <x:c r="D4" s="1"/>
      <x:c r="E4" s="1"/>
      <x:c r="F4" s="1"/>
      <x:c r="G4" s="1"/>
      <x:c r="H4" s="1"/>
      <x:c r="I4" s="1"/>
      <x:c r="J4" s="1"/>
      <x:c r="K4" s="1"/>
      <x:c r="L4" s="1"/>
      <x:c r="M4" s="1"/>
    </x:row>
    <x:row r="5">
      <x:c r="A5" s="1" t="str">
        <x:v>Source records</x:v>
      </x:c>
      <x:c r="B5" s="1" t="n">
        <x:f>COUNTA(B8:B142)</x:f>
        <x:v>135</x:v>
      </x:c>
      <x:c r="C5" s="1" t="str">
        <x:v>Company names</x:v>
      </x:c>
      <x:c r="D5" s="1" t="n">
        <x:f>COUNTA(Company_Financials!A8:A134)</x:f>
        <x:v>127</x:v>
      </x:c>
      <x:c r="E5" s="1"/>
      <x:c r="F5" s="1"/>
      <x:c r="G5" s="1"/>
      <x:c r="H5" s="1"/>
      <x:c r="I5" s="1"/>
      <x:c r="J5" s="1"/>
      <x:c r="K5" s="1"/>
      <x:c r="L5" s="1"/>
      <x:c r="M5" s="1"/>
    </x:row>
    <x:row r="6">
      <x:c r="A6" s="1" t="str">
        <x:v>New in v3: Strategy_Summary, Target_Accounts, Proposed_Offers, Pharma_Companies, Dossier_Financials, Peer_Profiles, Document_Tables and Document_Notes.</x:v>
      </x:c>
      <x:c r="B6" s="1"/>
      <x:c r="C6" s="1"/>
      <x:c r="D6" s="1"/>
      <x:c r="E6" s="1"/>
      <x:c r="F6" s="1"/>
      <x:c r="G6" s="1"/>
      <x:c r="H6" s="1"/>
      <x:c r="I6" s="1"/>
      <x:c r="J6" s="1"/>
      <x:c r="K6" s="1"/>
      <x:c r="L6" s="1"/>
      <x:c r="M6" s="1"/>
    </x:row>
    <x:row r="7" ht="32" customHeight="1">
      <x:c r="A7" s="9" t="str">
        <x:v>Google row</x:v>
      </x:c>
      <x:c r="B7" s="9" t="str">
        <x:v>Company</x:v>
      </x:c>
      <x:c r="C7" s="9" t="str">
        <x:v>Location</x:v>
      </x:c>
      <x:c r="D7" s="9" t="str">
        <x:v>Area</x:v>
      </x:c>
      <x:c r="E7" s="9" t="str">
        <x:v>Revenue claim</x:v>
      </x:c>
      <x:c r="F7" s="9" t="str">
        <x:v>R&amp;D claim</x:v>
      </x:c>
      <x:c r="G7" s="9" t="str">
        <x:v>Currency</x:v>
      </x:c>
      <x:c r="H7" s="9" t="str">
        <x:v>Fiscal period</x:v>
      </x:c>
      <x:c r="I7" s="9" t="str">
        <x:v>Ownership / source notes</x:v>
      </x:c>
      <x:c r="J7" s="9" t="str">
        <x:v>Company record count</x:v>
      </x:c>
      <x:c r="K7" s="9" t="str">
        <x:v>Local service proposal</x:v>
      </x:c>
      <x:c r="L7" s="9" t="str">
        <x:v>Review flags</x:v>
      </x:c>
      <x:c r="M7" s="9" t="str">
        <x:v>Evidence status</x:v>
      </x:c>
      <x:c r="O7" t="str">
        <x:v>Source record</x:v>
      </x:c>
    </x:row>
    <x:row r="8" ht="39" customHeight="1">
      <x:c r="A8" s="5" t="n">
        <x:v>2</x:v>
      </x:c>
      <x:c r="B8" s="5" t="str">
        <x:v>HemoCue</x:v>
      </x:c>
      <x:c r="C8" s="5" t="str">
        <x:v>Ängelholm, Sweden</x:v>
      </x:c>
      <x:c r="D8" s="5" t="str">
        <x:v>Diagnostics</x:v>
      </x:c>
      <x:c r="E8" s="5" t="str">
        <x:v>SEK 1,720.0M est. (Danaher Diagnostics $9.5B)</x:v>
      </x:c>
      <x:c r="F8" s="5" t="str">
        <x:v>SEK 135.0M est.</x:v>
      </x:c>
      <x:c r="G8" s="5" t="str">
        <x:v>SEK</x:v>
      </x:c>
      <x:c r="H8" s="5" t="str">
        <x:v>FY2023/24</x:v>
      </x:c>
      <x:c r="I8" s="5" t="str">
        <x:v>Subsidiary of Danaher Corporation (NYSE: DHR); global leader in point-of-care microcuvette testing</x:v>
      </x:c>
      <x:c r="J8" s="5" t="n">
        <x:v>1</x:v>
      </x:c>
      <x:c r="K8" s="5" t="str">
        <x:v>Danaher (NYSE: DHR) subsidiary; Package A (HEOR POC calculators for clinic workflow)</x:v>
      </x:c>
      <x:c r="L8" s="5" t="str">
        <x:v>No structural discrepancy identified</x:v>
      </x:c>
      <x:c r="M8" s="5" t="str">
        <x:v>UNVERIFIED financial claims</x:v>
      </x:c>
      <x:c r="O8" t="str">
        <x:v>https://docs.google.com/spreadsheets/d/1s0pVuA2KPyIdOWL77IS8N2FFcZNPbZvS55Ys9Wkukfo/edit#gid=1633792910&amp;range=A2:H2</x:v>
      </x:c>
    </x:row>
    <x:row r="9" ht="39" customHeight="1">
      <x:c r="A9" s="5" t="n">
        <x:v>3</x:v>
      </x:c>
      <x:c r="B9" s="5" t="str">
        <x:v>Devyser</x:v>
      </x:c>
      <x:c r="C9" s="5" t="str">
        <x:v>Årsta, Sweden</x:v>
      </x:c>
      <x:c r="D9" s="5" t="str">
        <x:v>Genetic Diagnostics, NGS Analysis</x:v>
      </x:c>
      <x:c r="E9" s="5" t="str">
        <x:v>SEK 216.9M (SEK 169.3M in FY2023)</x:v>
      </x:c>
      <x:c r="F9" s="5" t="str">
        <x:v>SEK 44.8M</x:v>
      </x:c>
      <x:c r="G9" s="5" t="str">
        <x:v>SEK</x:v>
      </x:c>
      <x:c r="H9" s="5" t="str">
        <x:v>FY2024</x:v>
      </x:c>
      <x:c r="I9" s="5" t="str">
        <x:v>Listed (Nasdaq Stockholm: DVYSR); advanced genetic testing and NGS diagnostics for hereditary diseases</x:v>
      </x:c>
      <x:c r="J9" s="5" t="n">
        <x:v>1</x:v>
      </x:c>
      <x:c r="K9" s="5" t="str">
        <x:v>Listed (Nasdaq: DVYSR); Package A &amp; E (Lab technician labor reduction &amp; CE-IVDR)</x:v>
      </x:c>
      <x:c r="L9" s="5" t="str">
        <x:v>No structural discrepancy identified</x:v>
      </x:c>
      <x:c r="M9" s="5" t="str">
        <x:v>PARTIAL REVIEW — Review_Evidence; raw financial claims may be contradicted</x:v>
      </x:c>
      <x:c r="O9" t="str">
        <x:v>https://docs.google.com/spreadsheets/d/1s0pVuA2KPyIdOWL77IS8N2FFcZNPbZvS55Ys9Wkukfo/edit#gid=1633792910&amp;range=A3:H3</x:v>
      </x:c>
    </x:row>
    <x:row r="10" ht="39" customHeight="1">
      <x:c r="A10" s="5" t="n">
        <x:v>4</x:v>
      </x:c>
      <x:c r="B10" s="5" t="str">
        <x:v>AOP Orphan Diseases</x:v>
      </x:c>
      <x:c r="C10" s="5" t="str">
        <x:v>Bromma, Sweden</x:v>
      </x:c>
      <x:c r="D10" s="5" t="str">
        <x:v>Orphan disease treatments</x:v>
      </x:c>
      <x:c r="E10" s="5" t="str">
        <x:v>EUR 450.0M</x:v>
      </x:c>
      <x:c r="F10" s="5" t="str">
        <x:v>EUR 85.0M (~19% of sales)</x:v>
      </x:c>
      <x:c r="G10" s="5" t="str">
        <x:v>EUR</x:v>
      </x:c>
      <x:c r="H10" s="5" t="str">
        <x:v>FY2024/25</x:v>
      </x:c>
      <x:c r="I10" s="5" t="str">
        <x:v>AOP Health Group (Austria/Sweden commercial affiliate); rare disease treatments</x:v>
      </x:c>
      <x:c r="J10" s="5" t="n">
        <x:v>1</x:v>
      </x:c>
      <x:c r="K10" s="5" t="str">
        <x:v>AOP Health Group; Package C (Rare disease tender and commercial stockist portal)</x:v>
      </x:c>
      <x:c r="L10" s="5" t="str">
        <x:v>No structural discrepancy identified</x:v>
      </x:c>
      <x:c r="M10" s="5" t="str">
        <x:v>UNVERIFIED financial claims</x:v>
      </x:c>
      <x:c r="O10" t="str">
        <x:v>https://docs.google.com/spreadsheets/d/1s0pVuA2KPyIdOWL77IS8N2FFcZNPbZvS55Ys9Wkukfo/edit#gid=1633792910&amp;range=A4:H4</x:v>
      </x:c>
    </x:row>
    <x:row r="11" ht="39" customHeight="1">
      <x:c r="A11" s="5" t="n">
        <x:v>5</x:v>
      </x:c>
      <x:c r="B11" s="5" t="str">
        <x:v>Fresenius Kabi</x:v>
      </x:c>
      <x:c r="C11" s="5" t="str">
        <x:v>Brunna, Sweden</x:v>
      </x:c>
      <x:c r="D11" s="5" t="str">
        <x:v>Contract Manufacturing</x:v>
      </x:c>
      <x:c r="E11" s="5" t="str">
        <x:v>EUR 8,414.0M (Swedish affiliate ~SEK 4,800M)</x:v>
      </x:c>
      <x:c r="F11" s="5" t="str">
        <x:v>EUR 636.0M (~SEK 7.2B group R&amp;D)</x:v>
      </x:c>
      <x:c r="G11" s="5" t="str">
        <x:v>EUR</x:v>
      </x:c>
      <x:c r="H11" s="5" t="str">
        <x:v>FY2024</x:v>
      </x:c>
      <x:c r="I11" s="5" t="str">
        <x:v>Subsidiary of Fresenius SE (DAX: FRE); major parenteral manufacturing sites in Brunna and Uppsala</x:v>
      </x:c>
      <x:c r="J11" s="5" t="n">
        <x:v>2</x:v>
      </x:c>
      <x:c r="K11" s="5" t="str">
        <x:v>Fresenius SE (DAX: FRE); Package D (Aseptic batch scheduling &amp; changeover speedup)</x:v>
      </x:c>
      <x:c r="L11" s="5" t="str">
        <x:v>No structural discrepancy identified</x:v>
      </x:c>
      <x:c r="M11" s="5" t="str">
        <x:v>PARTIAL REVIEW — Review_Evidence; raw financial claims may be contradicted</x:v>
      </x:c>
      <x:c r="O11" t="str">
        <x:v>https://docs.google.com/spreadsheets/d/1s0pVuA2KPyIdOWL77IS8N2FFcZNPbZvS55Ys9Wkukfo/edit#gid=1633792910&amp;range=A5:H5</x:v>
      </x:c>
    </x:row>
    <x:row r="12" ht="39" customHeight="1">
      <x:c r="A12" s="5" t="n">
        <x:v>6</x:v>
      </x:c>
      <x:c r="B12" s="5" t="str">
        <x:v>Getinge</x:v>
      </x:c>
      <x:c r="C12" s="5" t="str">
        <x:v>Getinge, Sweden</x:v>
      </x:c>
      <x:c r="D12" s="5" t="str">
        <x:v>Medical Technology</x:v>
      </x:c>
      <x:c r="E12" s="5" t="str">
        <x:v>SEK 34,759.0M (SEK 34.76B)</x:v>
      </x:c>
      <x:c r="F12" s="5" t="str">
        <x:v>SEK 1,745.0M (~5.0% of sales)</x:v>
      </x:c>
      <x:c r="G12" s="5" t="str">
        <x:v>SEK</x:v>
      </x:c>
      <x:c r="H12" s="5" t="str">
        <x:v>FY2024</x:v>
      </x:c>
      <x:c r="I12" s="5" t="str">
        <x:v>Listed (Nasdaq Stockholm: GETI B); global leader in intensive care equipment, ventilators, surgical tables</x:v>
      </x:c>
      <x:c r="J12" s="5" t="n">
        <x:v>4</x:v>
      </x:c>
      <x:c r="K12" s="5" t="str">
        <x:v>Listed (Nasdaq: GETI B); Package A (CathLab/OR DaaS managed care financial models)</x:v>
      </x:c>
      <x:c r="L12" s="5" t="str">
        <x:v>No structural discrepancy identified</x:v>
      </x:c>
      <x:c r="M12" s="5" t="str">
        <x:v>PARTIAL REVIEW — Review_Evidence; raw financial claims may be contradicted</x:v>
      </x:c>
      <x:c r="O12" t="str">
        <x:v>https://docs.google.com/spreadsheets/d/1s0pVuA2KPyIdOWL77IS8N2FFcZNPbZvS55Ys9Wkukfo/edit#gid=1633792910&amp;range=A6:H6</x:v>
      </x:c>
    </x:row>
    <x:row r="13" ht="39" customHeight="1">
      <x:c r="A13" s="5" t="n">
        <x:v>7</x:v>
      </x:c>
      <x:c r="B13" s="5" t="str">
        <x:v>Simsen Diagnostics</x:v>
      </x:c>
      <x:c r="C13" s="5" t="str">
        <x:v>Göteborg, Sweden</x:v>
      </x:c>
      <x:c r="D13" s="5" t="str">
        <x:v>ctDNA Analysis</x:v>
      </x:c>
      <x:c r="E13" s="5" t="str">
        <x:v>SEK 4.5M</x:v>
      </x:c>
      <x:c r="F13" s="5" t="str">
        <x:v>SEK 15.5M</x:v>
      </x:c>
      <x:c r="G13" s="5" t="str">
        <x:v>SEK</x:v>
      </x:c>
      <x:c r="H13" s="5" t="str">
        <x:v>FY2024</x:v>
      </x:c>
      <x:c r="I13" s="5" t="str">
        <x:v>Private ultra-sensitive ctDNA liquid biopsy for minimal residual disease; raised SEK 10M in May 2026</x:v>
      </x:c>
      <x:c r="J13" s="5" t="n">
        <x:v>1</x:v>
      </x:c>
      <x:c r="K13" s="5" t="str">
        <x:v>Private liquid biopsy; Package E (Bioinformatics pipeline validation &amp; ISO 27001)</x:v>
      </x:c>
      <x:c r="L13" s="5" t="str">
        <x:v>No structural discrepancy identified</x:v>
      </x:c>
      <x:c r="M13" s="5" t="str">
        <x:v>UNVERIFIED financial claims</x:v>
      </x:c>
      <x:c r="O13" t="str">
        <x:v>https://docs.google.com/spreadsheets/d/1s0pVuA2KPyIdOWL77IS8N2FFcZNPbZvS55Ys9Wkukfo/edit#gid=1633792910&amp;range=A7:H7</x:v>
      </x:c>
    </x:row>
    <x:row r="14" ht="39" customHeight="1">
      <x:c r="A14" s="5" t="n">
        <x:v>8</x:v>
      </x:c>
      <x:c r="B14" s="5" t="str">
        <x:v>ANYO Labs</x:v>
      </x:c>
      <x:c r="C14" s="5" t="str">
        <x:v>Gothenburg, Sweden</x:v>
      </x:c>
      <x:c r="D14" s="5" t="str">
        <x:v>Small Molecule Drug Discovery Tools</x:v>
      </x:c>
      <x:c r="E14" s="5" t="str">
        <x:v>SEK 2.0M est.</x:v>
      </x:c>
      <x:c r="F14" s="5" t="str">
        <x:v>SEK 5.2M</x:v>
      </x:c>
      <x:c r="G14" s="5" t="str">
        <x:v>SEK</x:v>
      </x:c>
      <x:c r="H14" s="5" t="str">
        <x:v>FY2023/24</x:v>
      </x:c>
      <x:c r="I14" s="5" t="str">
        <x:v>Private AI small molecule discovery platform; backed by Chalmers Ventures &amp; Vinnova</x:v>
      </x:c>
      <x:c r="J14" s="5" t="n">
        <x:v>1</x:v>
      </x:c>
      <x:c r="K14" s="5" t="str">
        <x:v>Private AI discovery; Package E (Explainable AI audit &amp; pharma out-licensing models)</x:v>
      </x:c>
      <x:c r="L14" s="5" t="str">
        <x:v>No structural discrepancy identified</x:v>
      </x:c>
      <x:c r="M14" s="5" t="str">
        <x:v>UNVERIFIED financial claims</x:v>
      </x:c>
      <x:c r="O14" t="str">
        <x:v>https://docs.google.com/spreadsheets/d/1s0pVuA2KPyIdOWL77IS8N2FFcZNPbZvS55Ys9Wkukfo/edit#gid=1633792910&amp;range=A8:H8</x:v>
      </x:c>
    </x:row>
    <x:row r="15" ht="39" customHeight="1">
      <x:c r="A15" s="5" t="n">
        <x:v>9</x:v>
      </x:c>
      <x:c r="B15" s="5" t="str">
        <x:v>AstraZeneca</x:v>
      </x:c>
      <x:c r="C15" s="5" t="str">
        <x:v>Gothenburg, Sweden</x:v>
      </x:c>
      <x:c r="D15" s="5" t="str">
        <x:v>Small Molecules, Vaccines, Biologics</x:v>
      </x:c>
      <x:c r="E15" s="5" t="str">
        <x:v>USD 54,100.0M ($54.1B)</x:v>
      </x:c>
      <x:c r="F15" s="5" t="str">
        <x:v>USD 13,600.0M ($13.6B)</x:v>
      </x:c>
      <x:c r="G15" s="5" t="str">
        <x:v>USD</x:v>
      </x:c>
      <x:c r="H15" s="5" t="str">
        <x:v>FY2024</x:v>
      </x:c>
      <x:c r="I15" s="5" t="str">
        <x:v>Listed (AZN); global multinational flagship; major global R&amp;D hub in Gothenburg &amp; manufacturing in Södertälje</x:v>
      </x:c>
      <x:c r="J15" s="5" t="n">
        <x:v>2</x:v>
      </x:c>
      <x:c r="K15" s="5" t="str">
        <x:v>Listed (AZN); Package B &amp; D (Clinical NLP screening &amp; Södertälje plant yield defense)</x:v>
      </x:c>
      <x:c r="L15" s="5" t="str">
        <x:v>No structural discrepancy identified</x:v>
      </x:c>
      <x:c r="M15" s="5" t="str">
        <x:v>PARTIAL REVIEW — Review_Evidence; raw financial claims may be contradicted</x:v>
      </x:c>
      <x:c r="O15" t="str">
        <x:v>https://docs.google.com/spreadsheets/d/1s0pVuA2KPyIdOWL77IS8N2FFcZNPbZvS55Ys9Wkukfo/edit#gid=1633792910&amp;range=A9:H9</x:v>
      </x:c>
    </x:row>
    <x:row r="16" ht="39" customHeight="1">
      <x:c r="A16" s="5" t="n">
        <x:v>10</x:v>
      </x:c>
      <x:c r="B16" s="5" t="str">
        <x:v>Cellenion</x:v>
      </x:c>
      <x:c r="C16" s="5" t="str">
        <x:v>Gothenburg, Sweden</x:v>
      </x:c>
      <x:c r="D16" s="5" t="str">
        <x:v>Single Cell Testing</x:v>
      </x:c>
      <x:c r="E16" s="5" t="str">
        <x:v>EUR 18.0M est. (~SEK 205M)</x:v>
      </x:c>
      <x:c r="F16" s="5" t="str">
        <x:v>EUR 4.2M (~SEK 48M)</x:v>
      </x:c>
      <x:c r="G16" s="5" t="str">
        <x:v>EUR</x:v>
      </x:c>
      <x:c r="H16" s="5" t="str">
        <x:v>FY2023/24</x:v>
      </x:c>
      <x:c r="I16" s="5" t="str">
        <x:v>Part of BICO Group (cellenONE single cell isolation &amp; picoliter precision dispensing)</x:v>
      </x:c>
      <x:c r="J16" s="5" t="n">
        <x:v>1</x:v>
      </x:c>
      <x:c r="K16" s="5" t="str">
        <x:v>BICO Group division; Package A (Precision dispenser hardware-to-cloud DaaS)</x:v>
      </x:c>
      <x:c r="L16" s="5" t="str">
        <x:v>No structural discrepancy identified</x:v>
      </x:c>
      <x:c r="M16" s="5" t="str">
        <x:v>UNVERIFIED financial claims</x:v>
      </x:c>
      <x:c r="O16" t="str">
        <x:v>https://docs.google.com/spreadsheets/d/1s0pVuA2KPyIdOWL77IS8N2FFcZNPbZvS55Ys9Wkukfo/edit#gid=1633792910&amp;range=A10:H10</x:v>
      </x:c>
    </x:row>
    <x:row r="17" ht="39" customHeight="1">
      <x:c r="A17" s="5" t="n">
        <x:v>11</x:v>
      </x:c>
      <x:c r="B17" s="5" t="str">
        <x:v>Cellink</x:v>
      </x:c>
      <x:c r="C17" s="5" t="str">
        <x:v>Gothenburg, Sweden</x:v>
      </x:c>
      <x:c r="D17" s="5" t="str">
        <x:v>Bioprinting</x:v>
      </x:c>
      <x:c r="E17" s="5" t="str">
        <x:v>SEK 2,240.0M (BICO Group consolidated; Cellink ~SEK 600M)</x:v>
      </x:c>
      <x:c r="F17" s="5" t="str">
        <x:v>SEK 215.0M (BICO Group R&amp;D)</x:v>
      </x:c>
      <x:c r="G17" s="5" t="str">
        <x:v>SEK</x:v>
      </x:c>
      <x:c r="H17" s="5" t="str">
        <x:v>FY2023/24</x:v>
      </x:c>
      <x:c r="I17" s="5" t="str">
        <x:v>Core 3D bioprinting division of BICO Group (Nasdaq Stockholm: BICO)</x:v>
      </x:c>
      <x:c r="J17" s="5" t="n">
        <x:v>1</x:v>
      </x:c>
      <x:c r="K17" s="5" t="str">
        <x:v>BICO Group (Nasdaq: BICO); Package A (Bio-ink consumable subscription portal)</x:v>
      </x:c>
      <x:c r="L17" s="5" t="str">
        <x:v>No structural discrepancy identified</x:v>
      </x:c>
      <x:c r="M17" s="5" t="str">
        <x:v>PARTIAL REVIEW — Review_Evidence; raw financial claims may be contradicted</x:v>
      </x:c>
      <x:c r="O17" t="str">
        <x:v>https://docs.google.com/spreadsheets/d/1s0pVuA2KPyIdOWL77IS8N2FFcZNPbZvS55Ys9Wkukfo/edit#gid=1633792910&amp;range=A11:H11</x:v>
      </x:c>
    </x:row>
    <x:row r="18" ht="39" customHeight="1">
      <x:c r="A18" s="5" t="n">
        <x:v>12</x:v>
      </x:c>
      <x:c r="B18" s="5" t="str">
        <x:v>Getinge</x:v>
      </x:c>
      <x:c r="C18" s="5" t="str">
        <x:v>Gothenburg, Sweden</x:v>
      </x:c>
      <x:c r="D18" s="5" t="str">
        <x:v>Medical Technology</x:v>
      </x:c>
      <x:c r="E18" s="5" t="str">
        <x:v>SEK 34,759.0M (SEK 34.76B)</x:v>
      </x:c>
      <x:c r="F18" s="5" t="str">
        <x:v>SEK 1,745.0M (~5.0% of sales)</x:v>
      </x:c>
      <x:c r="G18" s="5" t="str">
        <x:v>SEK</x:v>
      </x:c>
      <x:c r="H18" s="5" t="str">
        <x:v>FY2024</x:v>
      </x:c>
      <x:c r="I18" s="5" t="str">
        <x:v>Listed (Nasdaq Stockholm: GETI B); global leader in intensive care equipment, ventilators, surgical tables</x:v>
      </x:c>
      <x:c r="J18" s="5" t="n">
        <x:v>4</x:v>
      </x:c>
      <x:c r="K18" s="5" t="str">
        <x:v>Listed (Nasdaq: GETI B); Package A (ECMO &amp; perfusion equipment hospital NPV models)</x:v>
      </x:c>
      <x:c r="L18" s="5" t="str">
        <x:v>No structural discrepancy identified</x:v>
      </x:c>
      <x:c r="M18" s="5" t="str">
        <x:v>PARTIAL REVIEW — Review_Evidence; raw financial claims may be contradicted</x:v>
      </x:c>
      <x:c r="O18" t="str">
        <x:v>https://docs.google.com/spreadsheets/d/1s0pVuA2KPyIdOWL77IS8N2FFcZNPbZvS55Ys9Wkukfo/edit#gid=1633792910&amp;range=A12:H12</x:v>
      </x:c>
    </x:row>
    <x:row r="19" ht="39" customHeight="1">
      <x:c r="A19" s="5" t="n">
        <x:v>13</x:v>
      </x:c>
      <x:c r="B19" s="5" t="str">
        <x:v>Isofol Medical</x:v>
      </x:c>
      <x:c r="C19" s="5" t="str">
        <x:v>Gothenburg, Sweden</x:v>
      </x:c>
      <x:c r="D19" s="5" t="str">
        <x:v>Arfolitixorin</x:v>
      </x:c>
      <x:c r="E19" s="5" t="str">
        <x:v>SEK 0M (Clinical stage)</x:v>
      </x:c>
      <x:c r="F19" s="5" t="str">
        <x:v>SEK 32.1M</x:v>
      </x:c>
      <x:c r="G19" s="5" t="str">
        <x:v>SEK</x:v>
      </x:c>
      <x:c r="H19" s="5" t="str">
        <x:v>FY2023/24</x:v>
      </x:c>
      <x:c r="I19" s="5" t="str">
        <x:v>Listed (Nasdaq Stockholm: ISOFOL); Arfolitixorin folate receptor therapy for colorectal cancer</x:v>
      </x:c>
      <x:c r="J19" s="5" t="n">
        <x:v>1</x:v>
      </x:c>
      <x:c r="K19" s="5" t="str">
        <x:v>Listed (Nasdaq: ISOFOL); Package B (Colorectal cancer Phase II/III protocol analytics)</x:v>
      </x:c>
      <x:c r="L19" s="5" t="str">
        <x:v>No structural discrepancy identified</x:v>
      </x:c>
      <x:c r="M19" s="5" t="str">
        <x:v>UNVERIFIED financial claims</x:v>
      </x:c>
      <x:c r="O19" t="str">
        <x:v>https://docs.google.com/spreadsheets/d/1s0pVuA2KPyIdOWL77IS8N2FFcZNPbZvS55Ys9Wkukfo/edit#gid=1633792910&amp;range=A13:H13</x:v>
      </x:c>
    </x:row>
    <x:row r="20" ht="39" customHeight="1">
      <x:c r="A20" s="5" t="n">
        <x:v>14</x:v>
      </x:c>
      <x:c r="B20" s="5" t="str">
        <x:v>Mentice</x:v>
      </x:c>
      <x:c r="C20" s="5" t="str">
        <x:v>Gothenburg, Sweden</x:v>
      </x:c>
      <x:c r="D20" s="5" t="str">
        <x:v>Endovascular Simulators</x:v>
      </x:c>
      <x:c r="E20" s="5" t="str">
        <x:v>SEK 290.3M (SEK 265.4M in FY2023)</x:v>
      </x:c>
      <x:c r="F20" s="5" t="str">
        <x:v>SEK 42.1M</x:v>
      </x:c>
      <x:c r="G20" s="5" t="str">
        <x:v>SEK</x:v>
      </x:c>
      <x:c r="H20" s="5" t="str">
        <x:v>FY2024</x:v>
      </x:c>
      <x:c r="I20" s="5" t="str">
        <x:v>Listed (Nasdaq First North: MNTC); virtual reality and hardware simulators for endovascular interventions</x:v>
      </x:c>
      <x:c r="J20" s="5" t="n">
        <x:v>1</x:v>
      </x:c>
      <x:c r="K20" s="5" t="str">
        <x:v>Listed (First North: MNTC); Package A (Hospital simulation DaaS training ROI proof)</x:v>
      </x:c>
      <x:c r="L20" s="5" t="str">
        <x:v>No structural discrepancy identified</x:v>
      </x:c>
      <x:c r="M20" s="5" t="str">
        <x:v>PARTIAL REVIEW — Review_Evidence; raw financial claims may be contradicted</x:v>
      </x:c>
      <x:c r="O20" t="str">
        <x:v>https://docs.google.com/spreadsheets/d/1s0pVuA2KPyIdOWL77IS8N2FFcZNPbZvS55Ys9Wkukfo/edit#gid=1633792910&amp;range=A14:H14</x:v>
      </x:c>
    </x:row>
    <x:row r="21" ht="39" customHeight="1">
      <x:c r="A21" s="5" t="n">
        <x:v>15</x:v>
      </x:c>
      <x:c r="B21" s="5" t="str">
        <x:v>VERIGRAFT</x:v>
      </x:c>
      <x:c r="C21" s="5" t="str">
        <x:v>Gothenburg, Sweden</x:v>
      </x:c>
      <x:c r="D21" s="5" t="str">
        <x:v>Personalized Tissue Transplants</x:v>
      </x:c>
      <x:c r="E21" s="5" t="str">
        <x:v>SEK 0M (Clinical stage)</x:v>
      </x:c>
      <x:c r="F21" s="5" t="str">
        <x:v>SEK 42.0M</x:v>
      </x:c>
      <x:c r="G21" s="5" t="str">
        <x:v>SEK</x:v>
      </x:c>
      <x:c r="H21" s="5" t="str">
        <x:v>FY2024</x:v>
      </x:c>
      <x:c r="I21" s="5" t="str">
        <x:v>Private autologous tissue-engineered blood vessels and valves; raised SEK 110M / €10M in Feb 2026</x:v>
      </x:c>
      <x:c r="J21" s="5" t="n">
        <x:v>1</x:v>
      </x:c>
      <x:c r="K21" s="5" t="str">
        <x:v>Private regenerative autologous blood vessels; Package B &amp; E (EU ATMP regulatory file)</x:v>
      </x:c>
      <x:c r="L21" s="5" t="str">
        <x:v>No structural discrepancy identified</x:v>
      </x:c>
      <x:c r="M21" s="5" t="str">
        <x:v>UNVERIFIED financial claims</x:v>
      </x:c>
      <x:c r="O21" t="str">
        <x:v>https://docs.google.com/spreadsheets/d/1s0pVuA2KPyIdOWL77IS8N2FFcZNPbZvS55Ys9Wkukfo/edit#gid=1633792910&amp;range=A15:H15</x:v>
      </x:c>
    </x:row>
    <x:row r="22" ht="39" customHeight="1">
      <x:c r="A22" s="5" t="n">
        <x:v>16</x:v>
      </x:c>
      <x:c r="B22" s="5" t="str">
        <x:v>Meribel Pharma Group</x:v>
      </x:c>
      <x:c r="C22" s="5" t="str">
        <x:v>Hoganas, Sweden</x:v>
      </x:c>
      <x:c r="D22" s="5" t="str">
        <x:v>Contract Manufacturing</x:v>
      </x:c>
      <x:c r="E22" s="5" t="str">
        <x:v>SEK 55.0M est.</x:v>
      </x:c>
      <x:c r="F22" s="5" t="str">
        <x:v>SEK 5.5M</x:v>
      </x:c>
      <x:c r="G22" s="5" t="str">
        <x:v>SEK</x:v>
      </x:c>
      <x:c r="H22" s="5" t="str">
        <x:v>FY2023</x:v>
      </x:c>
      <x:c r="I22" s="5" t="str">
        <x:v>Private pharmaceutical manufacturing and packaging group (Höganäs, Karlskoga, Solna sites)</x:v>
      </x:c>
      <x:c r="J22" s="5" t="n">
        <x:v>3</x:v>
      </x:c>
      <x:c r="K22" s="5" t="str">
        <x:v>Private CDMO; Package D (Packaging line overall equipment effectiveness / OEE)</x:v>
      </x:c>
      <x:c r="L22" s="5" t="str">
        <x:v>No structural discrepancy identified</x:v>
      </x:c>
      <x:c r="M22" s="5" t="str">
        <x:v>UNVERIFIED financial claims</x:v>
      </x:c>
      <x:c r="O22" t="str">
        <x:v>https://docs.google.com/spreadsheets/d/1s0pVuA2KPyIdOWL77IS8N2FFcZNPbZvS55Ys9Wkukfo/edit#gid=1633792910&amp;range=A16:H16</x:v>
      </x:c>
    </x:row>
    <x:row r="23" ht="39" customHeight="1">
      <x:c r="A23" s="5" t="n">
        <x:v>17</x:v>
      </x:c>
      <x:c r="B23" s="5" t="str">
        <x:v>AlzeCure Pharma</x:v>
      </x:c>
      <x:c r="C23" s="5" t="str">
        <x:v>Huddinge, Sweden</x:v>
      </x:c>
      <x:c r="D23" s="5" t="str">
        <x:v>Alzheimer's Focused Treatments</x:v>
      </x:c>
      <x:c r="E23" s="5" t="str">
        <x:v>SEK 0M (Clinical stage)</x:v>
      </x:c>
      <x:c r="F23" s="5" t="str">
        <x:v>SEK 54.3M</x:v>
      </x:c>
      <x:c r="G23" s="5" t="str">
        <x:v>SEK</x:v>
      </x:c>
      <x:c r="H23" s="5" t="str">
        <x:v>FY2023/24</x:v>
      </x:c>
      <x:c r="I23" s="5" t="str">
        <x:v>Listed (Nasdaq First North: ALZCUR); Alzheimer's and pain therapies (Alzstatin, NeuroRestore)</x:v>
      </x:c>
      <x:c r="J23" s="5" t="n">
        <x:v>1</x:v>
      </x:c>
      <x:c r="K23" s="5" t="str">
        <x:v>Listed (First North: ALZCUR); Package B (NeuroRestore clinical milestone governance)</x:v>
      </x:c>
      <x:c r="L23" s="5" t="str">
        <x:v>No structural discrepancy identified</x:v>
      </x:c>
      <x:c r="M23" s="5" t="str">
        <x:v>UNVERIFIED financial claims</x:v>
      </x:c>
      <x:c r="O23" t="str">
        <x:v>https://docs.google.com/spreadsheets/d/1s0pVuA2KPyIdOWL77IS8N2FFcZNPbZvS55Ys9Wkukfo/edit#gid=1633792910&amp;range=A17:H17</x:v>
      </x:c>
    </x:row>
    <x:row r="24" ht="39" customHeight="1">
      <x:c r="A24" s="5" t="n">
        <x:v>18</x:v>
      </x:c>
      <x:c r="B24" s="5" t="str">
        <x:v>Sprint Bioscience</x:v>
      </x:c>
      <x:c r="C24" s="5" t="str">
        <x:v>Huddinge, Sweden</x:v>
      </x:c>
      <x:c r="D24" s="5" t="str">
        <x:v>Cancer &amp; Metabolism Therapies</x:v>
      </x:c>
      <x:c r="E24" s="5" t="str">
        <x:v>SEK 65.6M</x:v>
      </x:c>
      <x:c r="F24" s="5" t="str">
        <x:v>SEK 52.8M</x:v>
      </x:c>
      <x:c r="G24" s="5" t="str">
        <x:v>SEK</x:v>
      </x:c>
      <x:c r="H24" s="5" t="str">
        <x:v>FY2024</x:v>
      </x:c>
      <x:c r="I24" s="5" t="str">
        <x:v>Listed (Nasdaq First North: SPRINT); fragment-based preclinical oncology drug discovery and out-licensing</x:v>
      </x:c>
      <x:c r="J24" s="5" t="n">
        <x:v>1</x:v>
      </x:c>
      <x:c r="K24" s="5" t="str">
        <x:v>Listed (First North: SPRINT); Package B (Early pipeline out-licensing data rooms)</x:v>
      </x:c>
      <x:c r="L24" s="5" t="str">
        <x:v>No structural discrepancy identified</x:v>
      </x:c>
      <x:c r="M24" s="5" t="str">
        <x:v>UNVERIFIED financial claims</x:v>
      </x:c>
      <x:c r="O24" t="str">
        <x:v>https://docs.google.com/spreadsheets/d/1s0pVuA2KPyIdOWL77IS8N2FFcZNPbZvS55Ys9Wkukfo/edit#gid=1633792910&amp;range=A18:H18</x:v>
      </x:c>
    </x:row>
    <x:row r="25" ht="39" customHeight="1">
      <x:c r="A25" s="5" t="n">
        <x:v>19</x:v>
      </x:c>
      <x:c r="B25" s="5" t="str">
        <x:v>Cambrex</x:v>
      </x:c>
      <x:c r="C25" s="5" t="str">
        <x:v>Karlskoga, Sweden</x:v>
      </x:c>
      <x:c r="D25" s="5" t="str">
        <x:v>Small Molecules Research, Development &amp; Manufacturing Services</x:v>
      </x:c>
      <x:c r="E25" s="5" t="str">
        <x:v>USD 700.0M est. (Karlskoga site ~SEK 1,250M)</x:v>
      </x:c>
      <x:c r="F25" s="5" t="str">
        <x:v>USD 50.0M (~SEK 65M at Karlskoga)</x:v>
      </x:c>
      <x:c r="G25" s="5" t="str">
        <x:v>USD</x:v>
      </x:c>
      <x:c r="H25" s="5" t="str">
        <x:v>FY2023/24</x:v>
      </x:c>
      <x:c r="I25" s="5" t="str">
        <x:v>Private equity-owned by Permira; global small molecule API CDMO facility in Karlskoga</x:v>
      </x:c>
      <x:c r="J25" s="5" t="n">
        <x:v>1</x:v>
      </x:c>
      <x:c r="K25" s="5" t="str">
        <x:v>Permira PE owned; Package D (Continuous flow API batch yield &amp; margin defense)</x:v>
      </x:c>
      <x:c r="L25" s="5" t="str">
        <x:v>No structural discrepancy identified</x:v>
      </x:c>
      <x:c r="M25" s="5" t="str">
        <x:v>UNVERIFIED financial claims</x:v>
      </x:c>
      <x:c r="O25" t="str">
        <x:v>https://docs.google.com/spreadsheets/d/1s0pVuA2KPyIdOWL77IS8N2FFcZNPbZvS55Ys9Wkukfo/edit#gid=1633792910&amp;range=A19:H19</x:v>
      </x:c>
    </x:row>
    <x:row r="26" ht="39" customHeight="1">
      <x:c r="A26" s="5" t="n">
        <x:v>20</x:v>
      </x:c>
      <x:c r="B26" s="5" t="str">
        <x:v>Meribel Pharma Group</x:v>
      </x:c>
      <x:c r="C26" s="5" t="str">
        <x:v>Karlskoga, Sweden</x:v>
      </x:c>
      <x:c r="D26" s="5" t="str">
        <x:v>Contract Manufacturing</x:v>
      </x:c>
      <x:c r="E26" s="5" t="str">
        <x:v>SEK 55.0M est.</x:v>
      </x:c>
      <x:c r="F26" s="5" t="str">
        <x:v>SEK 5.5M</x:v>
      </x:c>
      <x:c r="G26" s="5" t="str">
        <x:v>SEK</x:v>
      </x:c>
      <x:c r="H26" s="5" t="str">
        <x:v>FY2023</x:v>
      </x:c>
      <x:c r="I26" s="5" t="str">
        <x:v>Private pharmaceutical manufacturing and packaging group (Höganäs, Karlskoga, Solna sites)</x:v>
      </x:c>
      <x:c r="J26" s="5" t="n">
        <x:v>3</x:v>
      </x:c>
      <x:c r="K26" s="5" t="str">
        <x:v>Private CDMO; Package D (Cleanroom changeover time compression)</x:v>
      </x:c>
      <x:c r="L26" s="5" t="str">
        <x:v>No structural discrepancy identified</x:v>
      </x:c>
      <x:c r="M26" s="5" t="str">
        <x:v>UNVERIFIED financial claims</x:v>
      </x:c>
      <x:c r="O26" t="str">
        <x:v>https://docs.google.com/spreadsheets/d/1s0pVuA2KPyIdOWL77IS8N2FFcZNPbZvS55Ys9Wkukfo/edit#gid=1633792910&amp;range=A20:H20</x:v>
      </x:c>
    </x:row>
    <x:row r="27" ht="39" customHeight="1">
      <x:c r="A27" s="5" t="n">
        <x:v>21</x:v>
      </x:c>
      <x:c r="B27" s="5" t="str">
        <x:v>Genovis</x:v>
      </x:c>
      <x:c r="C27" s="5" t="str">
        <x:v>Kävlinge, Sweden</x:v>
      </x:c>
      <x:c r="D27" s="5" t="str">
        <x:v>Nanoparticles</x:v>
      </x:c>
      <x:c r="E27" s="5" t="str">
        <x:v>SEK 130.4M (SEK 158.2M in FY2023)</x:v>
      </x:c>
      <x:c r="F27" s="5" t="str">
        <x:v>SEK 22.8M</x:v>
      </x:c>
      <x:c r="G27" s="5" t="str">
        <x:v>SEK</x:v>
      </x:c>
      <x:c r="H27" s="5" t="str">
        <x:v>FY2024</x:v>
      </x:c>
      <x:c r="I27" s="5" t="str">
        <x:v>Listed (Nasdaq First North: GENO); SmartEnzymes for biopharmaceutical analytical characterization</x:v>
      </x:c>
      <x:c r="J27" s="5" t="n">
        <x:v>1</x:v>
      </x:c>
      <x:c r="K27" s="5" t="str">
        <x:v>Listed (First North: GENO); Package A &amp; C (Biopharma characterization sales analytics)</x:v>
      </x:c>
      <x:c r="L27" s="5" t="str">
        <x:v>No structural discrepancy identified</x:v>
      </x:c>
      <x:c r="M27" s="5" t="str">
        <x:v>UNVERIFIED financial claims</x:v>
      </x:c>
      <x:c r="O27" t="str">
        <x:v>https://docs.google.com/spreadsheets/d/1s0pVuA2KPyIdOWL77IS8N2FFcZNPbZvS55Ys9Wkukfo/edit#gid=1633792910&amp;range=A21:H21</x:v>
      </x:c>
    </x:row>
    <x:row r="28" ht="39" customHeight="1">
      <x:c r="A28" s="5" t="n">
        <x:v>22</x:v>
      </x:c>
      <x:c r="B28" s="5" t="str">
        <x:v>PolyPeptide Group</x:v>
      </x:c>
      <x:c r="C28" s="5" t="str">
        <x:v>Limhamn, Sweden</x:v>
      </x:c>
      <x:c r="D28" s="5" t="str">
        <x:v>Polypeptide Manufacturing</x:v>
      </x:c>
      <x:c r="E28" s="5" t="str">
        <x:v>EUR 336.8M (~SEK 3.82B; €320.4M in FY23)</x:v>
      </x:c>
      <x:c r="F28" s="5" t="str">
        <x:v>EUR 1.1M expensed (+ major CDMO CAPEX)</x:v>
      </x:c>
      <x:c r="G28" s="5" t="str">
        <x:v>EUR</x:v>
      </x:c>
      <x:c r="H28" s="5" t="str">
        <x:v>FY2024</x:v>
      </x:c>
      <x:c r="I28" s="5" t="str">
        <x:v>Listed (SIX Swiss Exchange: PPGN); premier peptide &amp; oligonucleotide CDMO; major manufacturing plant in Malmö</x:v>
      </x:c>
      <x:c r="J28" s="5" t="n">
        <x:v>1</x:v>
      </x:c>
      <x:c r="K28" s="5" t="str">
        <x:v>Listed (SIX: PPGN); Package D (Peptide synthesis raw material buffer &amp; yield optimization)</x:v>
      </x:c>
      <x:c r="L28" s="5" t="str">
        <x:v>No structural discrepancy identified</x:v>
      </x:c>
      <x:c r="M28" s="5" t="str">
        <x:v>UNVERIFIED financial claims</x:v>
      </x:c>
      <x:c r="O28" t="str">
        <x:v>https://docs.google.com/spreadsheets/d/1s0pVuA2KPyIdOWL77IS8N2FFcZNPbZvS55Ys9Wkukfo/edit#gid=1633792910&amp;range=A22:H22</x:v>
      </x:c>
    </x:row>
    <x:row r="29" ht="39" customHeight="1">
      <x:c r="A29" s="5" t="n">
        <x:v>23</x:v>
      </x:c>
      <x:c r="B29" s="5" t="str">
        <x:v>AMRA Medical</x:v>
      </x:c>
      <x:c r="C29" s="5" t="str">
        <x:v>Linköping, Sweden</x:v>
      </x:c>
      <x:c r="D29" s="5" t="str">
        <x:v>MRI Body-composition analysis</x:v>
      </x:c>
      <x:c r="E29" s="5" t="str">
        <x:v>SEK 75.0M est. ($7M)</x:v>
      </x:c>
      <x:c r="F29" s="5" t="str">
        <x:v>SEK 28.0M</x:v>
      </x:c>
      <x:c r="G29" s="5" t="str">
        <x:v>SEK</x:v>
      </x:c>
      <x:c r="H29" s="5" t="str">
        <x:v>FY2023/24</x:v>
      </x:c>
      <x:c r="I29" s="5" t="str">
        <x:v>Private health informatics; MRI body composition analysis; backed by HealthCap &amp; Industrifonden</x:v>
      </x:c>
      <x:c r="J29" s="5" t="n">
        <x:v>1</x:v>
      </x:c>
      <x:c r="K29" s="5" t="str">
        <x:v>HealthCap backed; Package E (EU AI Act Annex III high-risk compliance &amp; PACS workflow)</x:v>
      </x:c>
      <x:c r="L29" s="5" t="str">
        <x:v>No structural discrepancy identified</x:v>
      </x:c>
      <x:c r="M29" s="5" t="str">
        <x:v>UNVERIFIED financial claims</x:v>
      </x:c>
      <x:c r="O29" t="str">
        <x:v>https://docs.google.com/spreadsheets/d/1s0pVuA2KPyIdOWL77IS8N2FFcZNPbZvS55Ys9Wkukfo/edit#gid=1633792910&amp;range=A23:H23</x:v>
      </x:c>
    </x:row>
    <x:row r="30" ht="39" customHeight="1">
      <x:c r="A30" s="5" t="n">
        <x:v>24</x:v>
      </x:c>
      <x:c r="B30" s="5" t="str">
        <x:v>ArgusEye</x:v>
      </x:c>
      <x:c r="C30" s="5" t="str">
        <x:v>Linköping, Sweden</x:v>
      </x:c>
      <x:c r="D30" s="5" t="str">
        <x:v>Biosensors</x:v>
      </x:c>
      <x:c r="E30" s="5" t="str">
        <x:v>SEK 3.0M est.</x:v>
      </x:c>
      <x:c r="F30" s="5" t="str">
        <x:v>SEK 18.0M</x:v>
      </x:c>
      <x:c r="G30" s="5" t="str">
        <x:v>SEK</x:v>
      </x:c>
      <x:c r="H30" s="5" t="str">
        <x:v>FY2023/24</x:v>
      </x:c>
      <x:c r="I30" s="5" t="str">
        <x:v>Private bioprocess sensor technology; raised €3.3M in 2026 and €2.8M in 2024 from Voima &amp; Eir</x:v>
      </x:c>
      <x:c r="J30" s="5" t="n">
        <x:v>1</x:v>
      </x:c>
      <x:c r="K30" s="5" t="str">
        <x:v>Private bioprocess sensors; Package D &amp; E (PAT biomanufacturing sensor integration)</x:v>
      </x:c>
      <x:c r="L30" s="5" t="str">
        <x:v>No structural discrepancy identified</x:v>
      </x:c>
      <x:c r="M30" s="5" t="str">
        <x:v>UNVERIFIED financial claims</x:v>
      </x:c>
      <x:c r="O30" t="str">
        <x:v>https://docs.google.com/spreadsheets/d/1s0pVuA2KPyIdOWL77IS8N2FFcZNPbZvS55Ys9Wkukfo/edit#gid=1633792910&amp;range=A24:H24</x:v>
      </x:c>
    </x:row>
    <x:row r="31" ht="39" customHeight="1">
      <x:c r="A31" s="5" t="n">
        <x:v>25</x:v>
      </x:c>
      <x:c r="B31" s="5" t="str">
        <x:v>BioReperia</x:v>
      </x:c>
      <x:c r="C31" s="5" t="str">
        <x:v>Linköping, Sweden</x:v>
      </x:c>
      <x:c r="D31" s="5" t="str">
        <x:v>Cancer Diagnostics Consulting</x:v>
      </x:c>
      <x:c r="E31" s="5" t="str">
        <x:v>SEK 20.0M est. ($4.3M gross)</x:v>
      </x:c>
      <x:c r="F31" s="5" t="str">
        <x:v>SEK 7.5M</x:v>
      </x:c>
      <x:c r="G31" s="5" t="str">
        <x:v>SEK</x:v>
      </x:c>
      <x:c r="H31" s="5" t="str">
        <x:v>FY2023/24</x:v>
      </x:c>
      <x:c r="I31" s="5" t="str">
        <x:v>Private Linköping spin-out; zebrafish tumor xenograft models for rapid cancer drug screening</x:v>
      </x:c>
      <x:c r="J31" s="5" t="n">
        <x:v>1</x:v>
      </x:c>
      <x:c r="K31" s="5" t="str">
        <x:v>Private oncology CRO; Package B (Rapid preclinical screen data acceleration)</x:v>
      </x:c>
      <x:c r="L31" s="5" t="str">
        <x:v>No structural discrepancy identified</x:v>
      </x:c>
      <x:c r="M31" s="5" t="str">
        <x:v>UNVERIFIED financial claims</x:v>
      </x:c>
      <x:c r="O31" t="str">
        <x:v>https://docs.google.com/spreadsheets/d/1s0pVuA2KPyIdOWL77IS8N2FFcZNPbZvS55Ys9Wkukfo/edit#gid=1633792910&amp;range=A25:H25</x:v>
      </x:c>
    </x:row>
    <x:row r="32" ht="39" customHeight="1">
      <x:c r="A32" s="5" t="n">
        <x:v>26</x:v>
      </x:c>
      <x:c r="B32" s="5" t="str">
        <x:v>Acrivon Therapeutics</x:v>
      </x:c>
      <x:c r="C32" s="5" t="str">
        <x:v>Lund, Sweden</x:v>
      </x:c>
      <x:c r="D32" s="5" t="str">
        <x:v>Checkpoint Inhibitor</x:v>
      </x:c>
      <x:c r="E32" s="5" t="str">
        <x:v>USD 0M (Clinical stage)</x:v>
      </x:c>
      <x:c r="F32" s="5" t="str">
        <x:v>USD 64.0M</x:v>
      </x:c>
      <x:c r="G32" s="5" t="str">
        <x:v>USD</x:v>
      </x:c>
      <x:c r="H32" s="5" t="str">
        <x:v>FY2024</x:v>
      </x:c>
      <x:c r="I32" s="5" t="str">
        <x:v>Listed (Nasdaq US: ACRV); lead drug candidate ACR-368 checkpoint inhibitor &amp; APM platform</x:v>
      </x:c>
      <x:c r="J32" s="5" t="n">
        <x:v>1</x:v>
      </x:c>
      <x:c r="K32" s="5" t="str">
        <x:v>Listed (Nasdaq US: ACRV); Package B (APM platform patient biomarker stratification)</x:v>
      </x:c>
      <x:c r="L32" s="5" t="str">
        <x:v>No structural discrepancy identified</x:v>
      </x:c>
      <x:c r="M32" s="5" t="str">
        <x:v>UNVERIFIED financial claims</x:v>
      </x:c>
      <x:c r="O32" t="str">
        <x:v>https://docs.google.com/spreadsheets/d/1s0pVuA2KPyIdOWL77IS8N2FFcZNPbZvS55Ys9Wkukfo/edit#gid=1633792910&amp;range=A26:H26</x:v>
      </x:c>
    </x:row>
    <x:row r="33" ht="39" customHeight="1">
      <x:c r="A33" s="5" t="n">
        <x:v>27</x:v>
      </x:c>
      <x:c r="B33" s="5" t="str">
        <x:v>Active Biotech</x:v>
      </x:c>
      <x:c r="C33" s="5" t="str">
        <x:v>Lund, Sweden</x:v>
      </x:c>
      <x:c r="D33" s="5" t="str">
        <x:v>Small Molecules, Biologics</x:v>
      </x:c>
      <x:c r="E33" s="5" t="str">
        <x:v>SEK 0.6M</x:v>
      </x:c>
      <x:c r="F33" s="5" t="str">
        <x:v>SEK 38.2M</x:v>
      </x:c>
      <x:c r="G33" s="5" t="str">
        <x:v>SEK</x:v>
      </x:c>
      <x:c r="H33" s="5" t="str">
        <x:v>FY2023/24</x:v>
      </x:c>
      <x:c r="I33" s="5" t="str">
        <x:v>Listed (Nasdaq Stockholm: ACTI); small molecules &amp; biologics (Tasquinimod, Laquinimod)</x:v>
      </x:c>
      <x:c r="J33" s="5" t="n">
        <x:v>1</x:v>
      </x:c>
      <x:c r="K33" s="5" t="str">
        <x:v>Listed (Nasdaq: ACTI); Package B (Tasquinimod clinical cash burn management)</x:v>
      </x:c>
      <x:c r="L33" s="5" t="str">
        <x:v>No structural discrepancy identified</x:v>
      </x:c>
      <x:c r="M33" s="5" t="str">
        <x:v>UNVERIFIED financial claims</x:v>
      </x:c>
      <x:c r="O33" t="str">
        <x:v>https://docs.google.com/spreadsheets/d/1s0pVuA2KPyIdOWL77IS8N2FFcZNPbZvS55Ys9Wkukfo/edit#gid=1633792910&amp;range=A27:H27</x:v>
      </x:c>
    </x:row>
    <x:row r="34" ht="39" customHeight="1">
      <x:c r="A34" s="5" t="n">
        <x:v>28</x:v>
      </x:c>
      <x:c r="B34" s="5" t="str">
        <x:v>Alligator Bioscience</x:v>
      </x:c>
      <x:c r="C34" s="5" t="str">
        <x:v>Lund, Sweden</x:v>
      </x:c>
      <x:c r="D34" s="5" t="str">
        <x:v>Antibody Therapeutics</x:v>
      </x:c>
      <x:c r="E34" s="5" t="str">
        <x:v>SEK 58.1M</x:v>
      </x:c>
      <x:c r="F34" s="5" t="str">
        <x:v>SEK 168.5M</x:v>
      </x:c>
      <x:c r="G34" s="5" t="str">
        <x:v>SEK</x:v>
      </x:c>
      <x:c r="H34" s="5" t="str">
        <x:v>FY2023/24</x:v>
      </x:c>
      <x:c r="I34" s="5" t="str">
        <x:v>Listed (Nasdaq Stockholm: ATORX); tumor-directed antibody therapeutics (Mitazalimab)</x:v>
      </x:c>
      <x:c r="J34" s="5" t="n">
        <x:v>1</x:v>
      </x:c>
      <x:c r="K34" s="5" t="str">
        <x:v>Listed (Nasdaq: ATORX); Package B (Mitazalimab Phase II/III trial site accrual)</x:v>
      </x:c>
      <x:c r="L34" s="5" t="str">
        <x:v>No structural discrepancy identified</x:v>
      </x:c>
      <x:c r="M34" s="5" t="str">
        <x:v>UNVERIFIED financial claims</x:v>
      </x:c>
      <x:c r="O34" t="str">
        <x:v>https://docs.google.com/spreadsheets/d/1s0pVuA2KPyIdOWL77IS8N2FFcZNPbZvS55Ys9Wkukfo/edit#gid=1633792910&amp;range=A28:H28</x:v>
      </x:c>
    </x:row>
    <x:row r="35" ht="39" customHeight="1">
      <x:c r="A35" s="5" t="n">
        <x:v>29</x:v>
      </x:c>
      <x:c r="B35" s="5" t="str">
        <x:v>Asgard Therapeutics</x:v>
      </x:c>
      <x:c r="C35" s="5" t="str">
        <x:v>Lund, Sweden</x:v>
      </x:c>
      <x:c r="D35" s="5" t="str">
        <x:v>Cancer Immunotherapy</x:v>
      </x:c>
      <x:c r="E35" s="5" t="str">
        <x:v>SEK 0M (Pre-clinical)</x:v>
      </x:c>
      <x:c r="F35" s="5" t="str">
        <x:v>EUR 5.5M (~SEK 62M)</x:v>
      </x:c>
      <x:c r="G35" s="5" t="str">
        <x:v>EUR</x:v>
      </x:c>
      <x:c r="H35" s="5" t="str">
        <x:v>FY2024</x:v>
      </x:c>
      <x:c r="I35" s="5" t="str">
        <x:v>Private Lund spin-out; direct cell reprogramming for cancer immunotherapy; raised €30M Series A in March 2024</x:v>
      </x:c>
      <x:c r="J35" s="5" t="n">
        <x:v>1</x:v>
      </x:c>
      <x:c r="K35" s="5" t="str">
        <x:v>Series A (€30M); Package B &amp; E (Cell therapy viral vector process documentation)</x:v>
      </x:c>
      <x:c r="L35" s="5" t="str">
        <x:v>No structural discrepancy identified</x:v>
      </x:c>
      <x:c r="M35" s="5" t="str">
        <x:v>UNVERIFIED financial claims</x:v>
      </x:c>
      <x:c r="O35" t="str">
        <x:v>https://docs.google.com/spreadsheets/d/1s0pVuA2KPyIdOWL77IS8N2FFcZNPbZvS55Ys9Wkukfo/edit#gid=1633792910&amp;range=A29:H29</x:v>
      </x:c>
    </x:row>
    <x:row r="36" ht="39" customHeight="1">
      <x:c r="A36" s="5" t="n">
        <x:v>30</x:v>
      </x:c>
      <x:c r="B36" s="5" t="str">
        <x:v>BioInvent International</x:v>
      </x:c>
      <x:c r="C36" s="5" t="str">
        <x:v>Lund, Sweden</x:v>
      </x:c>
      <x:c r="D36" s="5" t="str">
        <x:v>Antibody Drugs</x:v>
      </x:c>
      <x:c r="E36" s="5" t="str">
        <x:v>SEK 148.5M ($23.1M)</x:v>
      </x:c>
      <x:c r="F36" s="5" t="str">
        <x:v>SEK 342.6M</x:v>
      </x:c>
      <x:c r="G36" s="5" t="str">
        <x:v>SEK</x:v>
      </x:c>
      <x:c r="H36" s="5" t="str">
        <x:v>FY2023/24</x:v>
      </x:c>
      <x:c r="I36" s="5" t="str">
        <x:v>Listed (Nasdaq Stockholm: BINV); novel immuno-oncology antibody therapeutics (n-CoDeR/F.I.R.S.T)</x:v>
      </x:c>
      <x:c r="J36" s="5" t="n">
        <x:v>1</x:v>
      </x:c>
      <x:c r="K36" s="5" t="str">
        <x:v>Listed (Nasdaq: BINV); Package B (High-burn clinical enrollment acceleration)</x:v>
      </x:c>
      <x:c r="L36" s="5" t="str">
        <x:v>No structural discrepancy identified</x:v>
      </x:c>
      <x:c r="M36" s="5" t="str">
        <x:v>UNVERIFIED financial claims</x:v>
      </x:c>
      <x:c r="O36" t="str">
        <x:v>https://docs.google.com/spreadsheets/d/1s0pVuA2KPyIdOWL77IS8N2FFcZNPbZvS55Ys9Wkukfo/edit#gid=1633792910&amp;range=A30:H30</x:v>
      </x:c>
    </x:row>
    <x:row r="37" ht="39" customHeight="1">
      <x:c r="A37" s="5" t="n">
        <x:v>31</x:v>
      </x:c>
      <x:c r="B37" s="5" t="str">
        <x:v>Bionamic</x:v>
      </x:c>
      <x:c r="C37" s="5" t="str">
        <x:v>Lund, Sweden</x:v>
      </x:c>
      <x:c r="D37" s="5" t="str">
        <x:v>Software for Antibody Drug Development</x:v>
      </x:c>
      <x:c r="E37" s="5" t="str">
        <x:v>SEK 11.5M est.</x:v>
      </x:c>
      <x:c r="F37" s="5" t="str">
        <x:v>SEK 8.0M</x:v>
      </x:c>
      <x:c r="G37" s="5" t="str">
        <x:v>SEK</x:v>
      </x:c>
      <x:c r="H37" s="5" t="str">
        <x:v>FY2023/24</x:v>
      </x:c>
      <x:c r="I37" s="5" t="str">
        <x:v>Private biopharma software platform for antibody research and workflow integration</x:v>
      </x:c>
      <x:c r="J37" s="5" t="n">
        <x:v>1</x:v>
      </x:c>
      <x:c r="K37" s="5" t="str">
        <x:v>Private SaaS; Package C &amp; E (Cloud biopharma integration &amp; enterprise sales scaling)</x:v>
      </x:c>
      <x:c r="L37" s="5" t="str">
        <x:v>No structural discrepancy identified</x:v>
      </x:c>
      <x:c r="M37" s="5" t="str">
        <x:v>UNVERIFIED financial claims</x:v>
      </x:c>
      <x:c r="O37" t="str">
        <x:v>https://docs.google.com/spreadsheets/d/1s0pVuA2KPyIdOWL77IS8N2FFcZNPbZvS55Ys9Wkukfo/edit#gid=1633792910&amp;range=A31:H31</x:v>
      </x:c>
    </x:row>
    <x:row r="38" ht="39" customHeight="1">
      <x:c r="A38" s="5" t="n">
        <x:v>32</x:v>
      </x:c>
      <x:c r="B38" s="5" t="str">
        <x:v>Camurus</x:v>
      </x:c>
      <x:c r="C38" s="5" t="str">
        <x:v>Lund, Sweden</x:v>
      </x:c>
      <x:c r="D38" s="5" t="str">
        <x:v>Specialty medicines</x:v>
      </x:c>
      <x:c r="E38" s="5" t="str">
        <x:v>SEK 1,868.0M</x:v>
      </x:c>
      <x:c r="F38" s="5" t="str">
        <x:v>SEK 485.0M</x:v>
      </x:c>
      <x:c r="G38" s="5" t="str">
        <x:v>SEK</x:v>
      </x:c>
      <x:c r="H38" s="5" t="str">
        <x:v>FY2024</x:v>
      </x:c>
      <x:c r="I38" s="5" t="str">
        <x:v>Listed (Nasdaq Stockholm: CAMX); specialty biopharma; FluidCrystal delivery platform (CAM2029)</x:v>
      </x:c>
      <x:c r="J38" s="5" t="n">
        <x:v>1</x:v>
      </x:c>
      <x:c r="K38" s="5" t="str">
        <x:v>Listed (Nasdaq: CAMX); Package C (Smart S&amp;OP replacing 4-month Excel cycles)</x:v>
      </x:c>
      <x:c r="L38" s="5" t="str">
        <x:v>No structural discrepancy identified</x:v>
      </x:c>
      <x:c r="M38" s="5" t="str">
        <x:v>PARTIAL REVIEW — Review_Evidence; raw financial claims may be contradicted</x:v>
      </x:c>
      <x:c r="O38" t="str">
        <x:v>https://docs.google.com/spreadsheets/d/1s0pVuA2KPyIdOWL77IS8N2FFcZNPbZvS55Ys9Wkukfo/edit#gid=1633792910&amp;range=A32:H32</x:v>
      </x:c>
    </x:row>
    <x:row r="39" ht="39" customHeight="1">
      <x:c r="A39" s="5" t="n">
        <x:v>33</x:v>
      </x:c>
      <x:c r="B39" s="5" t="str">
        <x:v>Cantargia</x:v>
      </x:c>
      <x:c r="C39" s="5" t="str">
        <x:v>Lund, Sweden</x:v>
      </x:c>
      <x:c r="D39" s="5" t="str">
        <x:v>Antibody-based Treatments</x:v>
      </x:c>
      <x:c r="E39" s="5" t="str">
        <x:v>SEK 0M (Clinical stage)</x:v>
      </x:c>
      <x:c r="F39" s="5" t="str">
        <x:v>SEK 178.5M</x:v>
      </x:c>
      <x:c r="G39" s="5" t="str">
        <x:v>SEK</x:v>
      </x:c>
      <x:c r="H39" s="5" t="str">
        <x:v>FY2024</x:v>
      </x:c>
      <x:c r="I39" s="5" t="str">
        <x:v>Listed (Nasdaq Stockholm: CANTA); IL1RAP antibody therapeutics (Nadunolimab, CAN10)</x:v>
      </x:c>
      <x:c r="J39" s="5" t="n">
        <x:v>1</x:v>
      </x:c>
      <x:c r="K39" s="5" t="str">
        <x:v>Listed (Nasdaq: CANTA); Package B (Nadunolimab clinical site milestone governance)</x:v>
      </x:c>
      <x:c r="L39" s="5" t="str">
        <x:v>No structural discrepancy identified</x:v>
      </x:c>
      <x:c r="M39" s="5" t="str">
        <x:v>UNVERIFIED financial claims</x:v>
      </x:c>
      <x:c r="O39" t="str">
        <x:v>https://docs.google.com/spreadsheets/d/1s0pVuA2KPyIdOWL77IS8N2FFcZNPbZvS55Ys9Wkukfo/edit#gid=1633792910&amp;range=A33:H33</x:v>
      </x:c>
    </x:row>
    <x:row r="40" ht="39" customHeight="1">
      <x:c r="A40" s="5" t="n">
        <x:v>34</x:v>
      </x:c>
      <x:c r="B40" s="5" t="str">
        <x:v>Carbiotix</x:v>
      </x:c>
      <x:c r="C40" s="5" t="str">
        <x:v>Lund, Sweden</x:v>
      </x:c>
      <x:c r="D40" s="5" t="str">
        <x:v>Gut Microbiota Testing</x:v>
      </x:c>
      <x:c r="E40" s="5" t="str">
        <x:v>SEK 1.8M</x:v>
      </x:c>
      <x:c r="F40" s="5" t="str">
        <x:v>SEK 9.2M</x:v>
      </x:c>
      <x:c r="G40" s="5" t="str">
        <x:v>SEK</x:v>
      </x:c>
      <x:c r="H40" s="5" t="str">
        <x:v>FY2023/24</x:v>
      </x:c>
      <x:c r="I40" s="5" t="str">
        <x:v>Listed (Spotlight: CRBX); prebiotic soluble fibers (CarbiAXOS) and gut microbiome testing</x:v>
      </x:c>
      <x:c r="J40" s="5" t="n">
        <x:v>1</x:v>
      </x:c>
      <x:c r="K40" s="5" t="str">
        <x:v>Listed (Spotlight: CRBX); Package C (DTC microbiome test commercial logistics)</x:v>
      </x:c>
      <x:c r="L40" s="5" t="str">
        <x:v>No structural discrepancy identified</x:v>
      </x:c>
      <x:c r="M40" s="5" t="str">
        <x:v>UNVERIFIED financial claims</x:v>
      </x:c>
      <x:c r="O40" t="str">
        <x:v>https://docs.google.com/spreadsheets/d/1s0pVuA2KPyIdOWL77IS8N2FFcZNPbZvS55Ys9Wkukfo/edit#gid=1633792910&amp;range=A34:H34</x:v>
      </x:c>
    </x:row>
    <x:row r="41" ht="39" customHeight="1">
      <x:c r="A41" s="5" t="n">
        <x:v>35</x:v>
      </x:c>
      <x:c r="B41" s="5" t="str">
        <x:v>Cellevate</x:v>
      </x:c>
      <x:c r="C41" s="5" t="str">
        <x:v>Lund, Sweden</x:v>
      </x:c>
      <x:c r="D41" s="5" t="str">
        <x:v>Nano-material for Upstream Biomanufacturing</x:v>
      </x:c>
      <x:c r="E41" s="5" t="str">
        <x:v>SEK 4.5M est.</x:v>
      </x:c>
      <x:c r="F41" s="5" t="str">
        <x:v>SEK 18.2M</x:v>
      </x:c>
      <x:c r="G41" s="5" t="str">
        <x:v>SEK</x:v>
      </x:c>
      <x:c r="H41" s="5" t="str">
        <x:v>FY2023/24</x:v>
      </x:c>
      <x:c r="I41" s="5" t="str">
        <x:v>Private Lund nanotech; nanofiber microcarriers for upstream biomanufacturing; raised SEK 21.3M in 2026</x:v>
      </x:c>
      <x:c r="J41" s="5" t="n">
        <x:v>1</x:v>
      </x:c>
      <x:c r="K41" s="5" t="str">
        <x:v>Private nanotech; Package D (Upstream bioprocess yield benchmarking)</x:v>
      </x:c>
      <x:c r="L41" s="5" t="str">
        <x:v>No structural discrepancy identified</x:v>
      </x:c>
      <x:c r="M41" s="5" t="str">
        <x:v>UNVERIFIED financial claims</x:v>
      </x:c>
      <x:c r="O41" t="str">
        <x:v>https://docs.google.com/spreadsheets/d/1s0pVuA2KPyIdOWL77IS8N2FFcZNPbZvS55Ys9Wkukfo/edit#gid=1633792910&amp;range=A35:H35</x:v>
      </x:c>
    </x:row>
    <x:row r="42" ht="39" customHeight="1">
      <x:c r="A42" s="5" t="n">
        <x:v>36</x:v>
      </x:c>
      <x:c r="B42" s="5" t="str">
        <x:v>Cytely</x:v>
      </x:c>
      <x:c r="C42" s="5" t="str">
        <x:v>Lund, Sweden</x:v>
      </x:c>
      <x:c r="D42" s="5" t="str">
        <x:v>Automated Assays and Workflows</x:v>
      </x:c>
      <x:c r="E42" s="5" t="str">
        <x:v>EUR 0.1M est.</x:v>
      </x:c>
      <x:c r="F42" s="5" t="str">
        <x:v>EUR 2.5M (~SEK 28M)</x:v>
      </x:c>
      <x:c r="G42" s="5" t="str">
        <x:v>EUR</x:v>
      </x:c>
      <x:c r="H42" s="5" t="str">
        <x:v>FY2024</x:v>
      </x:c>
      <x:c r="I42" s="5" t="str">
        <x:v>Private AI smart microscopy assay automation; raised €3M seed in Oct 2025</x:v>
      </x:c>
      <x:c r="J42" s="5" t="n">
        <x:v>1</x:v>
      </x:c>
      <x:c r="K42" s="5" t="str">
        <x:v>Private AI imaging; Package E (EU AI Act diagnostic software conformity audit)</x:v>
      </x:c>
      <x:c r="L42" s="5" t="str">
        <x:v>No structural discrepancy identified</x:v>
      </x:c>
      <x:c r="M42" s="5" t="str">
        <x:v>UNVERIFIED financial claims</x:v>
      </x:c>
      <x:c r="O42" t="str">
        <x:v>https://docs.google.com/spreadsheets/d/1s0pVuA2KPyIdOWL77IS8N2FFcZNPbZvS55Ys9Wkukfo/edit#gid=1633792910&amp;range=A36:H36</x:v>
      </x:c>
    </x:row>
    <x:row r="43" ht="39" customHeight="1">
      <x:c r="A43" s="5" t="n">
        <x:v>37</x:v>
      </x:c>
      <x:c r="B43" s="5" t="str">
        <x:v>Diagonal Bio</x:v>
      </x:c>
      <x:c r="C43" s="5" t="str">
        <x:v>Lund, Sweden</x:v>
      </x:c>
      <x:c r="D43" s="5" t="str">
        <x:v>Rapid Pathogen Diagnosis</x:v>
      </x:c>
      <x:c r="E43" s="5" t="str">
        <x:v>SEK 2.7M (incl. capitalized dev)</x:v>
      </x:c>
      <x:c r="F43" s="5" t="str">
        <x:v>SEK 14.2M</x:v>
      </x:c>
      <x:c r="G43" s="5" t="str">
        <x:v>SEK</x:v>
      </x:c>
      <x:c r="H43" s="5" t="str">
        <x:v>FY2023/24</x:v>
      </x:c>
      <x:c r="I43" s="5" t="str">
        <x:v>Listed (Nasdaq First North: DIA BIO); LAMPlify point-of-care rapid molecular pathogen diagnosis</x:v>
      </x:c>
      <x:c r="J43" s="5" t="n">
        <x:v>1</x:v>
      </x:c>
      <x:c r="K43" s="5" t="str">
        <x:v>Listed (First North: DIA BIO); Package A (LAMPlify POC hospital emergency ROI models)</x:v>
      </x:c>
      <x:c r="L43" s="5" t="str">
        <x:v>No structural discrepancy identified</x:v>
      </x:c>
      <x:c r="M43" s="5" t="str">
        <x:v>UNVERIFIED financial claims</x:v>
      </x:c>
      <x:c r="O43" t="str">
        <x:v>https://docs.google.com/spreadsheets/d/1s0pVuA2KPyIdOWL77IS8N2FFcZNPbZvS55Ys9Wkukfo/edit#gid=1633792910&amp;range=A37:H37</x:v>
      </x:c>
    </x:row>
    <x:row r="44" ht="39" customHeight="1">
      <x:c r="A44" s="5" t="n">
        <x:v>38</x:v>
      </x:c>
      <x:c r="B44" s="5" t="str">
        <x:v>DIGNITANA</x:v>
      </x:c>
      <x:c r="C44" s="5" t="str">
        <x:v>Lund, Sweden</x:v>
      </x:c>
      <x:c r="D44" s="5" t="str">
        <x:v>Scalp Cooling Device to Minimize Cancer Treatment Hair Loss</x:v>
      </x:c>
      <x:c r="E44" s="5" t="str">
        <x:v>SEK 91.8M (FY2023; ~SEK 88M in FY2024)</x:v>
      </x:c>
      <x:c r="F44" s="5" t="str">
        <x:v>SEK 16.5M</x:v>
      </x:c>
      <x:c r="G44" s="5" t="str">
        <x:v>SEK</x:v>
      </x:c>
      <x:c r="H44" s="5" t="str">
        <x:v>FY2023/24</x:v>
      </x:c>
      <x:c r="I44" s="5" t="str">
        <x:v>Listed (Nasdaq First North: DIGN); DigniCap scalp cooling system to reduce chemotherapy-induced hair loss</x:v>
      </x:c>
      <x:c r="J44" s="5" t="n">
        <x:v>1</x:v>
      </x:c>
      <x:c r="K44" s="5" t="str">
        <x:v>Listed (First North: DIGN); Package A (Hospital oncology infusion center DaaS)</x:v>
      </x:c>
      <x:c r="L44" s="5" t="str">
        <x:v>No structural discrepancy identified</x:v>
      </x:c>
      <x:c r="M44" s="5" t="str">
        <x:v>PARTIAL REVIEW — Review_Evidence; raw financial claims may be contradicted</x:v>
      </x:c>
      <x:c r="O44" t="str">
        <x:v>https://docs.google.com/spreadsheets/d/1s0pVuA2KPyIdOWL77IS8N2FFcZNPbZvS55Ys9Wkukfo/edit#gid=1633792910&amp;range=A38:H38</x:v>
      </x:c>
    </x:row>
    <x:row r="45" ht="39" customHeight="1">
      <x:c r="A45" s="5" t="n">
        <x:v>39</x:v>
      </x:c>
      <x:c r="B45" s="5" t="str">
        <x:v>EQL Pharma</x:v>
      </x:c>
      <x:c r="C45" s="5" t="str">
        <x:v>Lund, Sweden</x:v>
      </x:c>
      <x:c r="D45" s="5" t="str">
        <x:v>Generics</x:v>
      </x:c>
      <x:c r="E45" s="5" t="str">
        <x:v>SEK 373.5M (SEK 302.2M in FY2023/24)</x:v>
      </x:c>
      <x:c r="F45" s="5" t="str">
        <x:v>SEK 28.6M</x:v>
      </x:c>
      <x:c r="G45" s="5" t="str">
        <x:v>SEK</x:v>
      </x:c>
      <x:c r="H45" s="5" t="str">
        <x:v>FY2024/25</x:v>
      </x:c>
      <x:c r="I45" s="5" t="str">
        <x:v>Listed (Nasdaq Stockholm: EQL); specialty and niche generic pharmaceuticals</x:v>
      </x:c>
      <x:c r="J45" s="5" t="n">
        <x:v>1</x:v>
      </x:c>
      <x:c r="K45" s="5" t="str">
        <x:v>Listed (Nasdaq: EQL); Package C (Tender pricing analytics &amp; stockist sales tracking)</x:v>
      </x:c>
      <x:c r="L45" s="5" t="str">
        <x:v>No structural discrepancy identified</x:v>
      </x:c>
      <x:c r="M45" s="5" t="str">
        <x:v>UNVERIFIED financial claims</x:v>
      </x:c>
      <x:c r="O45" t="str">
        <x:v>https://docs.google.com/spreadsheets/d/1s0pVuA2KPyIdOWL77IS8N2FFcZNPbZvS55Ys9Wkukfo/edit#gid=1633792910&amp;range=A39:H39</x:v>
      </x:c>
    </x:row>
    <x:row r="46" ht="39" customHeight="1">
      <x:c r="A46" s="5" t="n">
        <x:v>40</x:v>
      </x:c>
      <x:c r="B46" s="5" t="str">
        <x:v>EXINI Diagnostics</x:v>
      </x:c>
      <x:c r="C46" s="5" t="str">
        <x:v>Lund, Sweden</x:v>
      </x:c>
      <x:c r="D46" s="5" t="str">
        <x:v>Diagnostic Devices</x:v>
      </x:c>
      <x:c r="E46" s="5" t="str">
        <x:v>SEK 30.0M est.</x:v>
      </x:c>
      <x:c r="F46" s="5" t="str">
        <x:v>SEK 18.0M</x:v>
      </x:c>
      <x:c r="G46" s="5" t="str">
        <x:v>SEK</x:v>
      </x:c>
      <x:c r="H46" s="5" t="str">
        <x:v>FY2023/24</x:v>
      </x:c>
      <x:c r="I46" s="5" t="str">
        <x:v>Subsidiary of Lantheus Holdings (Nasdaq: LNTH); AI medical image analysis software (PSMA PET)</x:v>
      </x:c>
      <x:c r="J46" s="5" t="n">
        <x:v>1</x:v>
      </x:c>
      <x:c r="K46" s="5" t="str">
        <x:v>Lantheus (Nasdaq: LNTH) unit; Package E (AI imaging clinical verification &amp; CE-MDR)</x:v>
      </x:c>
      <x:c r="L46" s="5" t="str">
        <x:v>No structural discrepancy identified</x:v>
      </x:c>
      <x:c r="M46" s="5" t="str">
        <x:v>UNVERIFIED financial claims</x:v>
      </x:c>
      <x:c r="O46" t="str">
        <x:v>https://docs.google.com/spreadsheets/d/1s0pVuA2KPyIdOWL77IS8N2FFcZNPbZvS55Ys9Wkukfo/edit#gid=1633792910&amp;range=A40:H40</x:v>
      </x:c>
    </x:row>
    <x:row r="47" ht="52" customHeight="1">
      <x:c r="A47" s="5" t="n">
        <x:v>41</x:v>
      </x:c>
      <x:c r="B47" s="5" t="str">
        <x:v>Hansa Biopharma</x:v>
      </x:c>
      <x:c r="C47" s="5" t="str">
        <x:v>Lund, Sweden</x:v>
      </x:c>
      <x:c r="D47" s="5" t="str">
        <x:v>Novel immunomodulatory enzymes for transplantation and acute autoimmune diseases</x:v>
      </x:c>
      <x:c r="E47" s="5" t="str">
        <x:v>SEK 171.3M</x:v>
      </x:c>
      <x:c r="F47" s="5" t="str">
        <x:v>SEK 398.5M</x:v>
      </x:c>
      <x:c r="G47" s="5" t="str">
        <x:v>SEK</x:v>
      </x:c>
      <x:c r="H47" s="5" t="str">
        <x:v>FY2024</x:v>
      </x:c>
      <x:c r="I47" s="5" t="str">
        <x:v>Listed (Nasdaq Stockholm: HNSA); Idefirix (imlifidase) immunomodulatory enzyme for desensitization</x:v>
      </x:c>
      <x:c r="J47" s="5" t="n">
        <x:v>1</x:v>
      </x:c>
      <x:c r="K47" s="5" t="str">
        <x:v>Listed (Nasdaq: HNSA); Package B (NLP EHR screening for HLA-sensitized kidney patients)</x:v>
      </x:c>
      <x:c r="L47" s="5" t="str">
        <x:v>No structural discrepancy identified</x:v>
      </x:c>
      <x:c r="M47" s="5" t="str">
        <x:v>UNVERIFIED financial claims</x:v>
      </x:c>
      <x:c r="O47" t="str">
        <x:v>https://docs.google.com/spreadsheets/d/1s0pVuA2KPyIdOWL77IS8N2FFcZNPbZvS55Ys9Wkukfo/edit#gid=1633792910&amp;range=A41:H41</x:v>
      </x:c>
    </x:row>
    <x:row r="48" ht="39" customHeight="1">
      <x:c r="A48" s="5" t="n">
        <x:v>42</x:v>
      </x:c>
      <x:c r="B48" s="5" t="str">
        <x:v>Iconovo</x:v>
      </x:c>
      <x:c r="C48" s="5" t="str">
        <x:v>Lund, Sweden</x:v>
      </x:c>
      <x:c r="D48" s="5" t="str">
        <x:v>Inhalation Technology</x:v>
      </x:c>
      <x:c r="E48" s="5" t="str">
        <x:v>SEK 16.8M</x:v>
      </x:c>
      <x:c r="F48" s="5" t="str">
        <x:v>SEK 38.4M</x:v>
      </x:c>
      <x:c r="G48" s="5" t="str">
        <x:v>SEK</x:v>
      </x:c>
      <x:c r="H48" s="5" t="str">
        <x:v>FY2023/24</x:v>
      </x:c>
      <x:c r="I48" s="5" t="str">
        <x:v>Listed (Nasdaq First North: ICO); dry powder inhalation devices (ICOpre, ICOres, ICOcap)</x:v>
      </x:c>
      <x:c r="J48" s="5" t="n">
        <x:v>1</x:v>
      </x:c>
      <x:c r="K48" s="5" t="str">
        <x:v>Listed (First North: ICO); Package A &amp; D (Device licensing &amp; manufacturing scale-up)</x:v>
      </x:c>
      <x:c r="L48" s="5" t="str">
        <x:v>No structural discrepancy identified</x:v>
      </x:c>
      <x:c r="M48" s="5" t="str">
        <x:v>UNVERIFIED financial claims</x:v>
      </x:c>
      <x:c r="O48" t="str">
        <x:v>https://docs.google.com/spreadsheets/d/1s0pVuA2KPyIdOWL77IS8N2FFcZNPbZvS55Ys9Wkukfo/edit#gid=1633792910&amp;range=A42:H42</x:v>
      </x:c>
    </x:row>
    <x:row r="49" ht="39" customHeight="1">
      <x:c r="A49" s="5" t="n">
        <x:v>43</x:v>
      </x:c>
      <x:c r="B49" s="5" t="str">
        <x:v>Innovagen</x:v>
      </x:c>
      <x:c r="C49" s="5" t="str">
        <x:v>Lund, Sweden</x:v>
      </x:c>
      <x:c r="D49" s="5" t="str">
        <x:v>Custom antibody development</x:v>
      </x:c>
      <x:c r="E49" s="5" t="str">
        <x:v>SEK 22.4M</x:v>
      </x:c>
      <x:c r="F49" s="5" t="str">
        <x:v>SEK 4.2M</x:v>
      </x:c>
      <x:c r="G49" s="5" t="str">
        <x:v>SEK</x:v>
      </x:c>
      <x:c r="H49" s="5" t="str">
        <x:v>FY2023</x:v>
      </x:c>
      <x:c r="I49" s="5" t="str">
        <x:v>Private CRO; custom antibody generation, peptide synthesis, and protein biochemistry</x:v>
      </x:c>
      <x:c r="J49" s="5" t="n">
        <x:v>1</x:v>
      </x:c>
      <x:c r="K49" s="5" t="str">
        <x:v>Private CRO; Package D (Custom synthesis batch profitability modeling)</x:v>
      </x:c>
      <x:c r="L49" s="5" t="str">
        <x:v>No structural discrepancy identified</x:v>
      </x:c>
      <x:c r="M49" s="5" t="str">
        <x:v>UNVERIFIED financial claims</x:v>
      </x:c>
      <x:c r="O49" t="str">
        <x:v>https://docs.google.com/spreadsheets/d/1s0pVuA2KPyIdOWL77IS8N2FFcZNPbZvS55Ys9Wkukfo/edit#gid=1633792910&amp;range=A43:H43</x:v>
      </x:c>
    </x:row>
    <x:row r="50" ht="39" customHeight="1">
      <x:c r="A50" s="5" t="n">
        <x:v>44</x:v>
      </x:c>
      <x:c r="B50" s="5" t="str">
        <x:v>Magle Biopharma</x:v>
      </x:c>
      <x:c r="C50" s="5" t="str">
        <x:v>Lund, Sweden</x:v>
      </x:c>
      <x:c r="D50" s="5" t="str">
        <x:v>Stem Cell CDMO</x:v>
      </x:c>
      <x:c r="E50" s="5" t="str">
        <x:v>SEK 185.0M (Group total post-merger)</x:v>
      </x:c>
      <x:c r="F50" s="5" t="str">
        <x:v>SEK 34.5M</x:v>
      </x:c>
      <x:c r="G50" s="5" t="str">
        <x:v>SEK</x:v>
      </x:c>
      <x:c r="H50" s="5" t="str">
        <x:v>FY2024</x:v>
      </x:c>
      <x:c r="I50" s="5" t="str">
        <x:v>Listed (Nasdaq First North: MAGLE); starch microsphere technology and stem cell CDMO services</x:v>
      </x:c>
      <x:c r="J50" s="5" t="n">
        <x:v>1</x:v>
      </x:c>
      <x:c r="K50" s="5" t="str">
        <x:v>Listed (First North: MAGLE); Package D (Cleanroom operations &amp; CDMO pipeline tracking)</x:v>
      </x:c>
      <x:c r="L50" s="5" t="str">
        <x:v>No structural discrepancy identified</x:v>
      </x:c>
      <x:c r="M50" s="5" t="str">
        <x:v>UNVERIFIED financial claims</x:v>
      </x:c>
      <x:c r="O50" t="str">
        <x:v>https://docs.google.com/spreadsheets/d/1s0pVuA2KPyIdOWL77IS8N2FFcZNPbZvS55Ys9Wkukfo/edit#gid=1633792910&amp;range=A44:H44</x:v>
      </x:c>
    </x:row>
    <x:row r="51" ht="39" customHeight="1">
      <x:c r="A51" s="5" t="n">
        <x:v>45</x:v>
      </x:c>
      <x:c r="B51" s="5" t="str">
        <x:v>Newbury Pharmaceuticals</x:v>
      </x:c>
      <x:c r="C51" s="5" t="str">
        <x:v>Lund, Sweden</x:v>
      </x:c>
      <x:c r="D51" s="5" t="str">
        <x:v>Specialty Pharmaceuticals</x:v>
      </x:c>
      <x:c r="E51" s="5" t="str">
        <x:v>SEK 18.5M (SEK 10.3M in FY2023)</x:v>
      </x:c>
      <x:c r="F51" s="5" t="str">
        <x:v>SEK 9.4M</x:v>
      </x:c>
      <x:c r="G51" s="5" t="str">
        <x:v>SEK</x:v>
      </x:c>
      <x:c r="H51" s="5" t="str">
        <x:v>FY2023/24</x:v>
      </x:c>
      <x:c r="I51" s="5" t="str">
        <x:v>Listed (Nasdaq First North: NEWBRY); registration, in-licensing and commercialization of specialty Rx</x:v>
      </x:c>
      <x:c r="J51" s="5" t="n">
        <x:v>1</x:v>
      </x:c>
      <x:c r="K51" s="5" t="str">
        <x:v>Listed (First North: NEWBRY); Package C (Nordic commercial launch S&amp;OP portal)</x:v>
      </x:c>
      <x:c r="L51" s="5" t="str">
        <x:v>No structural discrepancy identified</x:v>
      </x:c>
      <x:c r="M51" s="5" t="str">
        <x:v>UNVERIFIED financial claims</x:v>
      </x:c>
      <x:c r="O51" t="str">
        <x:v>https://docs.google.com/spreadsheets/d/1s0pVuA2KPyIdOWL77IS8N2FFcZNPbZvS55Ys9Wkukfo/edit#gid=1633792910&amp;range=A45:H45</x:v>
      </x:c>
    </x:row>
    <x:row r="52" ht="39" customHeight="1">
      <x:c r="A52" s="5" t="n">
        <x:v>46</x:v>
      </x:c>
      <x:c r="B52" s="5" t="str">
        <x:v>Qlucore</x:v>
      </x:c>
      <x:c r="C52" s="5" t="str">
        <x:v>Lund, Sweden</x:v>
      </x:c>
      <x:c r="D52" s="5" t="str">
        <x:v>Visualization Software</x:v>
      </x:c>
      <x:c r="E52" s="5" t="str">
        <x:v>SEK 14.37M</x:v>
      </x:c>
      <x:c r="F52" s="5" t="str">
        <x:v>SEK 22.8M</x:v>
      </x:c>
      <x:c r="G52" s="5" t="str">
        <x:v>SEK</x:v>
      </x:c>
      <x:c r="H52" s="5" t="str">
        <x:v>FY2023/24</x:v>
      </x:c>
      <x:c r="I52" s="5" t="str">
        <x:v>Listed (Nasdaq First North: QLUC); Omics data visualization software &amp; Qlucore Diagnostics clinical platform</x:v>
      </x:c>
      <x:c r="J52" s="5" t="n">
        <x:v>1</x:v>
      </x:c>
      <x:c r="K52" s="5" t="str">
        <x:v>Listed (First North: QLUC); Package E (IVDR clinical software validation &amp; ISO cloud)</x:v>
      </x:c>
      <x:c r="L52" s="5" t="str">
        <x:v>No structural discrepancy identified</x:v>
      </x:c>
      <x:c r="M52" s="5" t="str">
        <x:v>UNVERIFIED financial claims</x:v>
      </x:c>
      <x:c r="O52" t="str">
        <x:v>https://docs.google.com/spreadsheets/d/1s0pVuA2KPyIdOWL77IS8N2FFcZNPbZvS55Ys9Wkukfo/edit#gid=1633792910&amp;range=A46:H46</x:v>
      </x:c>
    </x:row>
    <x:row r="53" ht="39" customHeight="1">
      <x:c r="A53" s="5" t="n">
        <x:v>47</x:v>
      </x:c>
      <x:c r="B53" s="5" t="str">
        <x:v>Red Glead Discovery</x:v>
      </x:c>
      <x:c r="C53" s="5" t="str">
        <x:v>Lund, Sweden</x:v>
      </x:c>
      <x:c r="D53" s="5" t="str">
        <x:v>Drug Discovery Services</x:v>
      </x:c>
      <x:c r="E53" s="5" t="str">
        <x:v>SEK 48.0M</x:v>
      </x:c>
      <x:c r="F53" s="5" t="str">
        <x:v>SEK 6.8M</x:v>
      </x:c>
      <x:c r="G53" s="5" t="str">
        <x:v>SEK</x:v>
      </x:c>
      <x:c r="H53" s="5" t="str">
        <x:v>FY2023/24</x:v>
      </x:c>
      <x:c r="I53" s="5" t="str">
        <x:v>Acquired by Pelago Bioscience in June 2026; Lund-based preclinical medicinal chemistry &amp; peptide CRO</x:v>
      </x:c>
      <x:c r="J53" s="5" t="n">
        <x:v>1</x:v>
      </x:c>
      <x:c r="K53" s="5" t="str">
        <x:v>Pelago Bioscience unit; Package B (Preclinical chemistry milestone tracking)</x:v>
      </x:c>
      <x:c r="L53" s="5" t="str">
        <x:v>No structural discrepancy identified</x:v>
      </x:c>
      <x:c r="M53" s="5" t="str">
        <x:v>UNVERIFIED financial claims</x:v>
      </x:c>
      <x:c r="O53" t="str">
        <x:v>https://docs.google.com/spreadsheets/d/1s0pVuA2KPyIdOWL77IS8N2FFcZNPbZvS55Ys9Wkukfo/edit#gid=1633792910&amp;range=A47:H47</x:v>
      </x:c>
    </x:row>
    <x:row r="54" ht="39" customHeight="1">
      <x:c r="A54" s="5" t="n">
        <x:v>48</x:v>
      </x:c>
      <x:c r="B54" s="5" t="str">
        <x:v>Redoxis</x:v>
      </x:c>
      <x:c r="C54" s="5" t="str">
        <x:v>Lund, Sweden</x:v>
      </x:c>
      <x:c r="D54" s="5" t="str">
        <x:v>Drug development CRO</x:v>
      </x:c>
      <x:c r="E54" s="5" t="str">
        <x:v>SEK 18.5M</x:v>
      </x:c>
      <x:c r="F54" s="5" t="str">
        <x:v>SEK 3.8M</x:v>
      </x:c>
      <x:c r="G54" s="5" t="str">
        <x:v>SEK</x:v>
      </x:c>
      <x:c r="H54" s="5" t="str">
        <x:v>FY2023</x:v>
      </x:c>
      <x:c r="I54" s="5" t="str">
        <x:v>Private preclinical CRO specialized in in vivo inflammatory and autoimmune disease models (Medicon Village Lund)</x:v>
      </x:c>
      <x:c r="J54" s="5" t="n">
        <x:v>1</x:v>
      </x:c>
      <x:c r="K54" s="5" t="str">
        <x:v>Private CRO; Package B (In vivo trial reporting &amp; client portal software)</x:v>
      </x:c>
      <x:c r="L54" s="5" t="str">
        <x:v>No structural discrepancy identified</x:v>
      </x:c>
      <x:c r="M54" s="5" t="str">
        <x:v>UNVERIFIED financial claims</x:v>
      </x:c>
      <x:c r="O54" t="str">
        <x:v>https://docs.google.com/spreadsheets/d/1s0pVuA2KPyIdOWL77IS8N2FFcZNPbZvS55Ys9Wkukfo/edit#gid=1633792910&amp;range=A48:H48</x:v>
      </x:c>
    </x:row>
    <x:row r="55" ht="39" customHeight="1">
      <x:c r="A55" s="5" t="n">
        <x:v>49</x:v>
      </x:c>
      <x:c r="B55" s="5" t="str">
        <x:v>SARomics Biostructures</x:v>
      </x:c>
      <x:c r="C55" s="5" t="str">
        <x:v>Lund, Sweden</x:v>
      </x:c>
      <x:c r="D55" s="5" t="str">
        <x:v>Structure-Based drug discovery services</x:v>
      </x:c>
      <x:c r="E55" s="5" t="str">
        <x:v>SEK 21.8M</x:v>
      </x:c>
      <x:c r="F55" s="5" t="str">
        <x:v>SEK 4.8M</x:v>
      </x:c>
      <x:c r="G55" s="5" t="str">
        <x:v>SEK</x:v>
      </x:c>
      <x:c r="H55" s="5" t="str">
        <x:v>FY2023</x:v>
      </x:c>
      <x:c r="I55" s="5" t="str">
        <x:v>Private structural biology and X-ray crystallography / cryo-EM CRO services (Lund, Sweden)</x:v>
      </x:c>
      <x:c r="J55" s="5" t="n">
        <x:v>1</x:v>
      </x:c>
      <x:c r="K55" s="5" t="str">
        <x:v>Private structural biology; Package B (Contract screening project milestone tracking)</x:v>
      </x:c>
      <x:c r="L55" s="5" t="str">
        <x:v>No structural discrepancy identified</x:v>
      </x:c>
      <x:c r="M55" s="5" t="str">
        <x:v>UNVERIFIED financial claims</x:v>
      </x:c>
      <x:c r="O55" t="str">
        <x:v>https://docs.google.com/spreadsheets/d/1s0pVuA2KPyIdOWL77IS8N2FFcZNPbZvS55Ys9Wkukfo/edit#gid=1633792910&amp;range=A49:H49</x:v>
      </x:c>
    </x:row>
    <x:row r="56" ht="39" customHeight="1">
      <x:c r="A56" s="5" t="n">
        <x:v>50</x:v>
      </x:c>
      <x:c r="B56" s="5" t="str">
        <x:v>SenzaGen</x:v>
      </x:c>
      <x:c r="C56" s="5" t="str">
        <x:v>Lund, Sweden</x:v>
      </x:c>
      <x:c r="D56" s="5" t="str">
        <x:v>Genomic Assays</x:v>
      </x:c>
      <x:c r="E56" s="5" t="str">
        <x:v>SEK 57.7M (SEK 49.9M in FY2023)</x:v>
      </x:c>
      <x:c r="F56" s="5" t="str">
        <x:v>SEK 14.8M</x:v>
      </x:c>
      <x:c r="G56" s="5" t="str">
        <x:v>SEK</x:v>
      </x:c>
      <x:c r="H56" s="5" t="str">
        <x:v>FY2024</x:v>
      </x:c>
      <x:c r="I56" s="5" t="str">
        <x:v>Listed (Nasdaq First North: SENZA); GARD non-animal in vitro toxicological gene expression test assays</x:v>
      </x:c>
      <x:c r="J56" s="5" t="n">
        <x:v>1</x:v>
      </x:c>
      <x:c r="K56" s="5" t="str">
        <x:v>Listed (First North: SENZA); Package A &amp; C (Laboratory test commercial onboarding)</x:v>
      </x:c>
      <x:c r="L56" s="5" t="str">
        <x:v>No structural discrepancy identified</x:v>
      </x:c>
      <x:c r="M56" s="5" t="str">
        <x:v>UNVERIFIED financial claims</x:v>
      </x:c>
      <x:c r="O56" t="str">
        <x:v>https://docs.google.com/spreadsheets/d/1s0pVuA2KPyIdOWL77IS8N2FFcZNPbZvS55Ys9Wkukfo/edit#gid=1633792910&amp;range=A50:H50</x:v>
      </x:c>
    </x:row>
    <x:row r="57" ht="39" customHeight="1">
      <x:c r="A57" s="5" t="n">
        <x:v>51</x:v>
      </x:c>
      <x:c r="B57" s="5" t="str">
        <x:v>Spago Nanomedical</x:v>
      </x:c>
      <x:c r="C57" s="5" t="str">
        <x:v>Lund, Sweden</x:v>
      </x:c>
      <x:c r="D57" s="5" t="str">
        <x:v>Tumor selective MRI agent; radionuclide cancer treatment</x:v>
      </x:c>
      <x:c r="E57" s="5" t="str">
        <x:v>SEK 1.91M</x:v>
      </x:c>
      <x:c r="F57" s="5" t="str">
        <x:v>SEK 36.5M</x:v>
      </x:c>
      <x:c r="G57" s="5" t="str">
        <x:v>SEK</x:v>
      </x:c>
      <x:c r="H57" s="5" t="str">
        <x:v>FY2024</x:v>
      </x:c>
      <x:c r="I57" s="5" t="str">
        <x:v>Listed (Spotlight: SPAG); tumor-selective polymer nanoparticles (SpagoPix MRI &amp; Tumorad radionuclide)</x:v>
      </x:c>
      <x:c r="J57" s="5" t="n">
        <x:v>1</x:v>
      </x:c>
      <x:c r="K57" s="5" t="str">
        <x:v>Listed (Spotlight: SPAG); Package B (SpagoPix MRI clinical trial milestone monitoring)</x:v>
      </x:c>
      <x:c r="L57" s="5" t="str">
        <x:v>No structural discrepancy identified</x:v>
      </x:c>
      <x:c r="M57" s="5" t="str">
        <x:v>UNVERIFIED financial claims</x:v>
      </x:c>
      <x:c r="O57" t="str">
        <x:v>https://docs.google.com/spreadsheets/d/1s0pVuA2KPyIdOWL77IS8N2FFcZNPbZvS55Ys9Wkukfo/edit#gid=1633792910&amp;range=A51:H51</x:v>
      </x:c>
    </x:row>
    <x:row r="58" ht="39" customHeight="1">
      <x:c r="A58" s="5" t="n">
        <x:v>52</x:v>
      </x:c>
      <x:c r="B58" s="5" t="str">
        <x:v>TFS</x:v>
      </x:c>
      <x:c r="C58" s="5" t="str">
        <x:v>Lund, Sweden</x:v>
      </x:c>
      <x:c r="D58" s="5" t="str">
        <x:v>Clinical Research</x:v>
      </x:c>
      <x:c r="E58" s="5" t="str">
        <x:v>SEK 1,220.0M (Ratos sales)</x:v>
      </x:c>
      <x:c r="F58" s="5" t="str">
        <x:v>SEK 42.0M</x:v>
      </x:c>
      <x:c r="G58" s="5" t="str">
        <x:v>SEK</x:v>
      </x:c>
      <x:c r="H58" s="5" t="str">
        <x:v>FY2023</x:v>
      </x:c>
      <x:c r="I58" s="5" t="str">
        <x:v>TFS HealthScience; subsidiary of Ratos AB (Nasdaq Stockholm: RATO B); leading international mid-sized CRO</x:v>
      </x:c>
      <x:c r="J58" s="5" t="n">
        <x:v>1</x:v>
      </x:c>
      <x:c r="K58" s="5" t="str">
        <x:v>No exact facility match; see Review</x:v>
      </x:c>
      <x:c r="L58" s="5" t="str">
        <x:v>No dossier facility match</x:v>
      </x:c>
      <x:c r="M58" s="5" t="str">
        <x:v>UNVERIFIED financial claims</x:v>
      </x:c>
      <x:c r="O58" t="str">
        <x:v>https://docs.google.com/spreadsheets/d/1s0pVuA2KPyIdOWL77IS8N2FFcZNPbZvS55Ys9Wkukfo/edit#gid=1633792910&amp;range=A52:H52</x:v>
      </x:c>
    </x:row>
    <x:row r="59" ht="39" customHeight="1">
      <x:c r="A59" s="5" t="n">
        <x:v>53</x:v>
      </x:c>
      <x:c r="B59" s="5" t="str">
        <x:v>Xintela</x:v>
      </x:c>
      <x:c r="C59" s="5" t="str">
        <x:v>Lund, Sweden</x:v>
      </x:c>
      <x:c r="D59" s="5" t="str">
        <x:v>Diagnostics, Stem Cells</x:v>
      </x:c>
      <x:c r="E59" s="5" t="str">
        <x:v>SEK 3.8M</x:v>
      </x:c>
      <x:c r="F59" s="5" t="str">
        <x:v>SEK 31.4M</x:v>
      </x:c>
      <x:c r="G59" s="5" t="str">
        <x:v>SEK</x:v>
      </x:c>
      <x:c r="H59" s="5" t="str">
        <x:v>FY2024</x:v>
      </x:c>
      <x:c r="I59" s="5" t="str">
        <x:v>Listed (Nasdaq First North: XINT); integrin-targeted stem cell therapies (XSTEM) and antibody oncology (Targinta)</x:v>
      </x:c>
      <x:c r="J59" s="5" t="n">
        <x:v>1</x:v>
      </x:c>
      <x:c r="K59" s="5" t="str">
        <x:v>Listed (First North: XINT); Package B (ATMP clinical manufacturing quality documentation)</x:v>
      </x:c>
      <x:c r="L59" s="5" t="str">
        <x:v>No structural discrepancy identified</x:v>
      </x:c>
      <x:c r="M59" s="5" t="str">
        <x:v>UNVERIFIED financial claims</x:v>
      </x:c>
      <x:c r="O59" t="str">
        <x:v>https://docs.google.com/spreadsheets/d/1s0pVuA2KPyIdOWL77IS8N2FFcZNPbZvS55Ys9Wkukfo/edit#gid=1633792910&amp;range=A53:H53</x:v>
      </x:c>
    </x:row>
    <x:row r="60" ht="39" customHeight="1">
      <x:c r="A60" s="5" t="n">
        <x:v>54</x:v>
      </x:c>
      <x:c r="B60" s="5" t="str">
        <x:v>Acarix</x:v>
      </x:c>
      <x:c r="C60" s="5" t="str">
        <x:v>Malmö, Sweden</x:v>
      </x:c>
      <x:c r="D60" s="5" t="str">
        <x:v>Acoustic Cardiac Diagnostic Device</x:v>
      </x:c>
      <x:c r="E60" s="5" t="str">
        <x:v>SEK 7.5M (Q4 2024 SEK 1.7M)</x:v>
      </x:c>
      <x:c r="F60" s="5" t="str">
        <x:v>SEK 32.4M</x:v>
      </x:c>
      <x:c r="G60" s="5" t="str">
        <x:v>SEK</x:v>
      </x:c>
      <x:c r="H60" s="5" t="str">
        <x:v>FY2024</x:v>
      </x:c>
      <x:c r="I60" s="5" t="str">
        <x:v>Listed (Nasdaq First North: ACARIX); CADScor acoustic cardiac diagnostic system</x:v>
      </x:c>
      <x:c r="J60" s="5" t="n">
        <x:v>1</x:v>
      </x:c>
      <x:c r="K60" s="5" t="str">
        <x:v>Listed (First North: ACARIX); Package A (Primary care triage HEOR reimbursement proof)</x:v>
      </x:c>
      <x:c r="L60" s="5" t="str">
        <x:v>No structural discrepancy identified</x:v>
      </x:c>
      <x:c r="M60" s="5" t="str">
        <x:v>UNVERIFIED financial claims</x:v>
      </x:c>
      <x:c r="O60" t="str">
        <x:v>https://docs.google.com/spreadsheets/d/1s0pVuA2KPyIdOWL77IS8N2FFcZNPbZvS55Ys9Wkukfo/edit#gid=1633792910&amp;range=A54:H54</x:v>
      </x:c>
    </x:row>
    <x:row r="61" ht="39" customHeight="1">
      <x:c r="A61" s="5" t="n">
        <x:v>55</x:v>
      </x:c>
      <x:c r="B61" s="5" t="str">
        <x:v>Ascelia Pharma</x:v>
      </x:c>
      <x:c r="C61" s="5" t="str">
        <x:v>Malmö, Sweden</x:v>
      </x:c>
      <x:c r="D61" s="5" t="str">
        <x:v>MRI Imaging Drug</x:v>
      </x:c>
      <x:c r="E61" s="5" t="str">
        <x:v>SEK 0M (Clinical stage)</x:v>
      </x:c>
      <x:c r="F61" s="5" t="str">
        <x:v>SEK 74.2M</x:v>
      </x:c>
      <x:c r="G61" s="5" t="str">
        <x:v>SEK</x:v>
      </x:c>
      <x:c r="H61" s="5" t="str">
        <x:v>FY2023/24</x:v>
      </x:c>
      <x:c r="I61" s="5" t="str">
        <x:v>Listed (Nasdaq Stockholm: ACE); liver MRI imaging agent Orviglance (SPARKLE study)</x:v>
      </x:c>
      <x:c r="J61" s="5" t="n">
        <x:v>1</x:v>
      </x:c>
      <x:c r="K61" s="5" t="str">
        <x:v>Listed (Nasdaq: ACE); Package B &amp; C (SPARKLE study readout &amp; launch pricing simulation)</x:v>
      </x:c>
      <x:c r="L61" s="5" t="str">
        <x:v>No structural discrepancy identified</x:v>
      </x:c>
      <x:c r="M61" s="5" t="str">
        <x:v>UNVERIFIED financial claims</x:v>
      </x:c>
      <x:c r="O61" t="str">
        <x:v>https://docs.google.com/spreadsheets/d/1s0pVuA2KPyIdOWL77IS8N2FFcZNPbZvS55Ys9Wkukfo/edit#gid=1633792910&amp;range=A55:H55</x:v>
      </x:c>
    </x:row>
    <x:row r="62" ht="39" customHeight="1">
      <x:c r="A62" s="5" t="n">
        <x:v>56</x:v>
      </x:c>
      <x:c r="B62" s="5" t="str">
        <x:v>Flow Neuroscience</x:v>
      </x:c>
      <x:c r="C62" s="5" t="str">
        <x:v>Malmö, Sweden</x:v>
      </x:c>
      <x:c r="D62" s="5" t="str">
        <x:v>At-home, non-invasive brain stimulation headset</x:v>
      </x:c>
      <x:c r="E62" s="5" t="str">
        <x:v>EUR 2.2M est. (~SEK 25M)</x:v>
      </x:c>
      <x:c r="F62" s="5" t="str">
        <x:v>EUR 5.8M (~SEK 65M)</x:v>
      </x:c>
      <x:c r="G62" s="5" t="str">
        <x:v>EUR</x:v>
      </x:c>
      <x:c r="H62" s="5" t="str">
        <x:v>FY2023/24</x:v>
      </x:c>
      <x:c r="I62" s="5" t="str">
        <x:v>Private brain stimulation headset (tDCS) for major depressive disorder; raised €7.9M Series A</x:v>
      </x:c>
      <x:c r="J62" s="5" t="n">
        <x:v>1</x:v>
      </x:c>
      <x:c r="K62" s="5" t="str">
        <x:v>Private tDCS headset; Package A &amp; E (Clinic DaaS subscription &amp; MDR software file)</x:v>
      </x:c>
      <x:c r="L62" s="5" t="str">
        <x:v>No structural discrepancy identified</x:v>
      </x:c>
      <x:c r="M62" s="5" t="str">
        <x:v>UNVERIFIED financial claims</x:v>
      </x:c>
      <x:c r="O62" t="str">
        <x:v>https://docs.google.com/spreadsheets/d/1s0pVuA2KPyIdOWL77IS8N2FFcZNPbZvS55Ys9Wkukfo/edit#gid=1633792910&amp;range=A56:H56</x:v>
      </x:c>
    </x:row>
    <x:row r="63" ht="39" customHeight="1">
      <x:c r="A63" s="5" t="n">
        <x:v>57</x:v>
      </x:c>
      <x:c r="B63" s="5" t="str">
        <x:v>Laboratorio Reig Jofre</x:v>
      </x:c>
      <x:c r="C63" s="5" t="str">
        <x:v>Malmö, Sweden</x:v>
      </x:c>
      <x:c r="D63" s="5" t="str">
        <x:v>Pharma manufacturing (antibiotics/injectable</x:v>
      </x:c>
      <x:c r="E63" s="5" t="str">
        <x:v>EUR 339.0M (~SEK 3.85B)</x:v>
      </x:c>
      <x:c r="F63" s="5" t="str">
        <x:v>EUR 17.0M (~5% of revenue)</x:v>
      </x:c>
      <x:c r="G63" s="5" t="str">
        <x:v>EUR</x:v>
      </x:c>
      <x:c r="H63" s="5" t="str">
        <x:v>FY2024</x:v>
      </x:c>
      <x:c r="I63" s="5" t="str">
        <x:v>Listed (BME: RJF); European pharmaceutical group; Malmö specialized aseptic antibiotic facility</x:v>
      </x:c>
      <x:c r="J63" s="5" t="n">
        <x:v>1</x:v>
      </x:c>
      <x:c r="K63" s="5" t="str">
        <x:v>Listed (BME: RJF); Package D (Sterile injectable fill-finish yield optimization)</x:v>
      </x:c>
      <x:c r="L63" s="5" t="str">
        <x:v>No structural discrepancy identified</x:v>
      </x:c>
      <x:c r="M63" s="5" t="str">
        <x:v>UNVERIFIED financial claims</x:v>
      </x:c>
      <x:c r="O63" t="str">
        <x:v>https://docs.google.com/spreadsheets/d/1s0pVuA2KPyIdOWL77IS8N2FFcZNPbZvS55Ys9Wkukfo/edit#gid=1633792910&amp;range=A57:H57</x:v>
      </x:c>
    </x:row>
    <x:row r="64" ht="39" customHeight="1">
      <x:c r="A64" s="5" t="n">
        <x:v>58</x:v>
      </x:c>
      <x:c r="B64" s="5" t="str">
        <x:v>Magle Chemoswed</x:v>
      </x:c>
      <x:c r="C64" s="5" t="str">
        <x:v>Malmö, Sweden</x:v>
      </x:c>
      <x:c r="D64" s="5" t="str">
        <x:v>CDMO</x:v>
      </x:c>
      <x:c r="E64" s="5" t="str">
        <x:v>SEK 21.0M (Chemoswed operating unit)</x:v>
      </x:c>
      <x:c r="F64" s="5" t="str">
        <x:v>SEK 12.0M</x:v>
      </x:c>
      <x:c r="G64" s="5" t="str">
        <x:v>SEK</x:v>
      </x:c>
      <x:c r="H64" s="5" t="str">
        <x:v>FY2024</x:v>
      </x:c>
      <x:c r="I64" s="5" t="str">
        <x:v>Operating subsidiary of Magle Group (Malmö API synthesis and chemical development)</x:v>
      </x:c>
      <x:c r="J64" s="5" t="n">
        <x:v>1</x:v>
      </x:c>
      <x:c r="K64" s="5" t="str">
        <x:v>Magle Group; Package D (Small molecule API batch turnaround defense)</x:v>
      </x:c>
      <x:c r="L64" s="5" t="str">
        <x:v>No structural discrepancy identified</x:v>
      </x:c>
      <x:c r="M64" s="5" t="str">
        <x:v>UNVERIFIED financial claims</x:v>
      </x:c>
      <x:c r="O64" t="str">
        <x:v>https://docs.google.com/spreadsheets/d/1s0pVuA2KPyIdOWL77IS8N2FFcZNPbZvS55Ys9Wkukfo/edit#gid=1633792910&amp;range=A58:H58</x:v>
      </x:c>
    </x:row>
    <x:row r="65" ht="39" customHeight="1">
      <x:c r="A65" s="5" t="n">
        <x:v>59</x:v>
      </x:c>
      <x:c r="B65" s="5" t="str">
        <x:v>Svar Life Science</x:v>
      </x:c>
      <x:c r="C65" s="5" t="str">
        <x:v>Malmö, Sweden</x:v>
      </x:c>
      <x:c r="D65" s="5" t="str">
        <x:v>Diagnostics</x:v>
      </x:c>
      <x:c r="E65" s="5" t="str">
        <x:v>SEK 235.0M est.</x:v>
      </x:c>
      <x:c r="F65" s="5" t="str">
        <x:v>SEK 28.0M</x:v>
      </x:c>
      <x:c r="G65" s="5" t="str">
        <x:v>SEK</x:v>
      </x:c>
      <x:c r="H65" s="5" t="str">
        <x:v>FY2023/24</x:v>
      </x:c>
      <x:c r="I65" s="5" t="str">
        <x:v>Private Swedish diagnostic tools and biomarker testing company (iLite cell-based functional assays, Wieslab)</x:v>
      </x:c>
      <x:c r="J65" s="5" t="n">
        <x:v>1</x:v>
      </x:c>
      <x:c r="K65" s="5" t="str">
        <x:v>Private diagnostics; Package C (Custom diagnostic assay supply chain S&amp;OP)</x:v>
      </x:c>
      <x:c r="L65" s="5" t="str">
        <x:v>No structural discrepancy identified</x:v>
      </x:c>
      <x:c r="M65" s="5" t="str">
        <x:v>UNVERIFIED financial claims</x:v>
      </x:c>
      <x:c r="O65" t="str">
        <x:v>https://docs.google.com/spreadsheets/d/1s0pVuA2KPyIdOWL77IS8N2FFcZNPbZvS55Ys9Wkukfo/edit#gid=1633792910&amp;range=A59:H59</x:v>
      </x:c>
    </x:row>
    <x:row r="66" ht="39" customHeight="1">
      <x:c r="A66" s="5" t="n">
        <x:v>60</x:v>
      </x:c>
      <x:c r="B66" s="5" t="str">
        <x:v>Alzinova</x:v>
      </x:c>
      <x:c r="C66" s="5" t="str">
        <x:v>Mölndal, Sweden</x:v>
      </x:c>
      <x:c r="D66" s="5" t="str">
        <x:v>Alzheimer's Vaccine, Monoclonal Antibody Technology</x:v>
      </x:c>
      <x:c r="E66" s="5" t="str">
        <x:v>SEK 0.3M</x:v>
      </x:c>
      <x:c r="F66" s="5" t="str">
        <x:v>SEK 36.4M (incl. SEK 19.6M capitalized)</x:v>
      </x:c>
      <x:c r="G66" s="5" t="str">
        <x:v>SEK</x:v>
      </x:c>
      <x:c r="H66" s="5" t="str">
        <x:v>FY2023</x:v>
      </x:c>
      <x:c r="I66" s="5" t="str">
        <x:v>Listed (Nasdaq First North: ALZ); oligomer-targeting Alzheimer's vaccine (ALZ-101)</x:v>
      </x:c>
      <x:c r="J66" s="5" t="n">
        <x:v>1</x:v>
      </x:c>
      <x:c r="K66" s="5" t="str">
        <x:v>Listed (First North: ALZ); Package B (Phase II trial protocol enrollment analytics)</x:v>
      </x:c>
      <x:c r="L66" s="5" t="str">
        <x:v>No structural discrepancy identified</x:v>
      </x:c>
      <x:c r="M66" s="5" t="str">
        <x:v>UNVERIFIED financial claims</x:v>
      </x:c>
      <x:c r="O66" t="str">
        <x:v>https://docs.google.com/spreadsheets/d/1s0pVuA2KPyIdOWL77IS8N2FFcZNPbZvS55Ys9Wkukfo/edit#gid=1633792910&amp;range=A60:H60</x:v>
      </x:c>
    </x:row>
    <x:row r="67" ht="39" customHeight="1">
      <x:c r="A67" s="5" t="n">
        <x:v>61</x:v>
      </x:c>
      <x:c r="B67" s="5" t="str">
        <x:v>Amferia Kills Bacteria</x:v>
      </x:c>
      <x:c r="C67" s="5" t="str">
        <x:v>Mölndal, Sweden</x:v>
      </x:c>
      <x:c r="D67" s="5" t="str">
        <x:v>Wound Care Antimicrobial</x:v>
      </x:c>
      <x:c r="E67" s="5" t="str">
        <x:v>SEK 3.5M est.</x:v>
      </x:c>
      <x:c r="F67" s="5" t="str">
        <x:v>SEK 15.0M</x:v>
      </x:c>
      <x:c r="G67" s="5" t="str">
        <x:v>SEK</x:v>
      </x:c>
      <x:c r="H67" s="5" t="str">
        <x:v>FY2023/24</x:v>
      </x:c>
      <x:c r="I67" s="5" t="str">
        <x:v>Amferia AB; private Chalmers spin-out; antimicrobial peptide wound care hydrogels (raised €3.5M Dec 2025)</x:v>
      </x:c>
      <x:c r="J67" s="5" t="n">
        <x:v>1</x:v>
      </x:c>
      <x:c r="K67" s="5" t="str">
        <x:v>No exact facility match; see Review</x:v>
      </x:c>
      <x:c r="L67" s="5" t="str">
        <x:v>No dossier facility match</x:v>
      </x:c>
      <x:c r="M67" s="5" t="str">
        <x:v>UNVERIFIED financial claims</x:v>
      </x:c>
      <x:c r="O67" t="str">
        <x:v>https://docs.google.com/spreadsheets/d/1s0pVuA2KPyIdOWL77IS8N2FFcZNPbZvS55Ys9Wkukfo/edit#gid=1633792910&amp;range=A61:H61</x:v>
      </x:c>
    </x:row>
    <x:row r="68" ht="39" customHeight="1">
      <x:c r="A68" s="5" t="n">
        <x:v>62</x:v>
      </x:c>
      <x:c r="B68" s="5" t="str">
        <x:v>Cereno Scientific</x:v>
      </x:c>
      <x:c r="C68" s="5" t="str">
        <x:v>Mölndal, Sweden</x:v>
      </x:c>
      <x:c r="D68" s="5" t="str">
        <x:v>Small Molecule</x:v>
      </x:c>
      <x:c r="E68" s="5" t="str">
        <x:v>SEK 0M (Clinical stage)</x:v>
      </x:c>
      <x:c r="F68" s="5" t="str">
        <x:v>SEK 78.4M</x:v>
      </x:c>
      <x:c r="G68" s="5" t="str">
        <x:v>SEK</x:v>
      </x:c>
      <x:c r="H68" s="5" t="str">
        <x:v>FY2024</x:v>
      </x:c>
      <x:c r="I68" s="5" t="str">
        <x:v>Listed (Nasdaq First North: CRNO B); epigenetic modulation for pulmonary arterial hypertension (CS1)</x:v>
      </x:c>
      <x:c r="J68" s="5" t="n">
        <x:v>1</x:v>
      </x:c>
      <x:c r="K68" s="5" t="str">
        <x:v>Listed (First North: CRNO B); Package B (CS1 pulmonary trial milestone burn control)</x:v>
      </x:c>
      <x:c r="L68" s="5" t="str">
        <x:v>No structural discrepancy identified</x:v>
      </x:c>
      <x:c r="M68" s="5" t="str">
        <x:v>UNVERIFIED financial claims</x:v>
      </x:c>
      <x:c r="O68" t="str">
        <x:v>https://docs.google.com/spreadsheets/d/1s0pVuA2KPyIdOWL77IS8N2FFcZNPbZvS55Ys9Wkukfo/edit#gid=1633792910&amp;range=A62:H62</x:v>
      </x:c>
    </x:row>
    <x:row r="69" ht="39" customHeight="1">
      <x:c r="A69" s="5" t="n">
        <x:v>63</x:v>
      </x:c>
      <x:c r="B69" s="5" t="str">
        <x:v>Fluicell</x:v>
      </x:c>
      <x:c r="C69" s="5" t="str">
        <x:v>Mölndal, Sweden</x:v>
      </x:c>
      <x:c r="D69" s="5" t="str">
        <x:v>Tissue Production Platform</x:v>
      </x:c>
      <x:c r="E69" s="5" t="str">
        <x:v>SEK 4.8M</x:v>
      </x:c>
      <x:c r="F69" s="5" t="str">
        <x:v>SEK 15.6M</x:v>
      </x:c>
      <x:c r="G69" s="5" t="str">
        <x:v>SEK</x:v>
      </x:c>
      <x:c r="H69" s="5" t="str">
        <x:v>FY2023/24</x:v>
      </x:c>
      <x:c r="I69" s="5" t="str">
        <x:v>Listed (Nasdaq First North: FLUI); Biopixlar single-cell bioprinting &amp; Nexocyte tissue therapeutics</x:v>
      </x:c>
      <x:c r="J69" s="5" t="n">
        <x:v>1</x:v>
      </x:c>
      <x:c r="K69" s="5" t="str">
        <x:v>Listed (First North: FLUI); Package A (Microfluidic hardware leasing &amp; lab subscription)</x:v>
      </x:c>
      <x:c r="L69" s="5" t="str">
        <x:v>No structural discrepancy identified</x:v>
      </x:c>
      <x:c r="M69" s="5" t="str">
        <x:v>UNVERIFIED financial claims</x:v>
      </x:c>
      <x:c r="O69" t="str">
        <x:v>https://docs.google.com/spreadsheets/d/1s0pVuA2KPyIdOWL77IS8N2FFcZNPbZvS55Ys9Wkukfo/edit#gid=1633792910&amp;range=A63:H63</x:v>
      </x:c>
    </x:row>
    <x:row r="70" ht="39" customHeight="1">
      <x:c r="A70" s="5" t="n">
        <x:v>64</x:v>
      </x:c>
      <x:c r="B70" s="5" t="str">
        <x:v>Ribocure Pharmaceuticals</x:v>
      </x:c>
      <x:c r="C70" s="5" t="str">
        <x:v>Mölndal, Sweden</x:v>
      </x:c>
      <x:c r="D70" s="5" t="str">
        <x:v>RNA Therapeutics</x:v>
      </x:c>
      <x:c r="E70" s="5" t="str">
        <x:v>USD 0M (Clinical stage)</x:v>
      </x:c>
      <x:c r="F70" s="5" t="str">
        <x:v>USD 8.5M (~SEK 88M)</x:v>
      </x:c>
      <x:c r="G70" s="5" t="str">
        <x:v>USD</x:v>
      </x:c>
      <x:c r="H70" s="5" t="str">
        <x:v>FY2024</x:v>
      </x:c>
      <x:c r="I70" s="5" t="str">
        <x:v>Private RNA therapeutics platform in cardiovascular and renal diseases; secured $33M equity in July 2025</x:v>
      </x:c>
      <x:c r="J70" s="5" t="n">
        <x:v>1</x:v>
      </x:c>
      <x:c r="K70" s="5" t="str">
        <x:v>Private RNA ($33M equity); Package B (Oligonucleotide preclinical-to-clinical data bridge)</x:v>
      </x:c>
      <x:c r="L70" s="5" t="str">
        <x:v>No structural discrepancy identified</x:v>
      </x:c>
      <x:c r="M70" s="5" t="str">
        <x:v>UNVERIFIED financial claims</x:v>
      </x:c>
      <x:c r="O70" t="str">
        <x:v>https://docs.google.com/spreadsheets/d/1s0pVuA2KPyIdOWL77IS8N2FFcZNPbZvS55Ys9Wkukfo/edit#gid=1633792910&amp;range=A64:H64</x:v>
      </x:c>
    </x:row>
    <x:row r="71" ht="39" customHeight="1">
      <x:c r="A71" s="5" t="n">
        <x:v>65</x:v>
      </x:c>
      <x:c r="B71" s="5" t="str">
        <x:v>XVIVO</x:v>
      </x:c>
      <x:c r="C71" s="5" t="str">
        <x:v>Mölndal, Sweden</x:v>
      </x:c>
      <x:c r="D71" s="5" t="str">
        <x:v>Transplantation Systems</x:v>
      </x:c>
      <x:c r="E71" s="5" t="str">
        <x:v>SEK 822.4M (SEK 604.9M in FY2023)</x:v>
      </x:c>
      <x:c r="F71" s="5" t="str">
        <x:v>SEK 114.5M</x:v>
      </x:c>
      <x:c r="G71" s="5" t="str">
        <x:v>SEK</x:v>
      </x:c>
      <x:c r="H71" s="5" t="str">
        <x:v>FY2024</x:v>
      </x:c>
      <x:c r="I71" s="5" t="str">
        <x:v>XVIVO Perfusion; listed (Nasdaq Stockholm: XVIVO); global leader in machine perfusion for organ transplantation</x:v>
      </x:c>
      <x:c r="J71" s="5" t="n">
        <x:v>1</x:v>
      </x:c>
      <x:c r="K71" s="5" t="str">
        <x:v>No exact facility match; see Review</x:v>
      </x:c>
      <x:c r="L71" s="5" t="str">
        <x:v>No dossier facility match</x:v>
      </x:c>
      <x:c r="M71" s="5" t="str">
        <x:v>UNVERIFIED financial claims</x:v>
      </x:c>
      <x:c r="O71" t="str">
        <x:v>https://docs.google.com/spreadsheets/d/1s0pVuA2KPyIdOWL77IS8N2FFcZNPbZvS55Ys9Wkukfo/edit#gid=1633792910&amp;range=A65:H65</x:v>
      </x:c>
    </x:row>
    <x:row r="72" ht="52" customHeight="1">
      <x:c r="A72" s="5" t="n">
        <x:v>66</x:v>
      </x:c>
      <x:c r="B72" s="5" t="str">
        <x:v>ImmunoIVD</x:v>
      </x:c>
      <x:c r="C72" s="5" t="str">
        <x:v>Nacka Strand, Sweden</x:v>
      </x:c>
      <x:c r="D72" s="5" t="str">
        <x:v>In vitro diagnostic qPCR-based newborn screening kits with pre-filled reagent plates</x:v>
      </x:c>
      <x:c r="E72" s="5" t="str">
        <x:v>SEK 16.5M</x:v>
      </x:c>
      <x:c r="F72" s="5" t="str">
        <x:v>SEK 5.2M</x:v>
      </x:c>
      <x:c r="G72" s="5" t="str">
        <x:v>SEK</x:v>
      </x:c>
      <x:c r="H72" s="5" t="str">
        <x:v>FY2023/24</x:v>
      </x:c>
      <x:c r="I72" s="5" t="str">
        <x:v>Private; SPOT-it neonatal qPCR screening assays for severe combined immunodeficiency (SCID) and SMA</x:v>
      </x:c>
      <x:c r="J72" s="5" t="n">
        <x:v>1</x:v>
      </x:c>
      <x:c r="K72" s="5" t="str">
        <x:v>Private; Package A &amp; C (Hospital laboratory neonatal tender submission modeling)</x:v>
      </x:c>
      <x:c r="L72" s="5" t="str">
        <x:v>No structural discrepancy identified</x:v>
      </x:c>
      <x:c r="M72" s="5" t="str">
        <x:v>UNVERIFIED financial claims</x:v>
      </x:c>
      <x:c r="O72" t="str">
        <x:v>https://docs.google.com/spreadsheets/d/1s0pVuA2KPyIdOWL77IS8N2FFcZNPbZvS55Ys9Wkukfo/edit#gid=1633792910&amp;range=A66:H66</x:v>
      </x:c>
    </x:row>
    <x:row r="73" ht="39" customHeight="1">
      <x:c r="A73" s="5" t="n">
        <x:v>67</x:v>
      </x:c>
      <x:c r="B73" s="5" t="str">
        <x:v>Anocca</x:v>
      </x:c>
      <x:c r="C73" s="5" t="str">
        <x:v>Södertälje, Sweden</x:v>
      </x:c>
      <x:c r="D73" s="5" t="str">
        <x:v>Individualized tcr and antigen cancer treatment</x:v>
      </x:c>
      <x:c r="E73" s="5" t="str">
        <x:v>SEK 0M (Clinical stage)</x:v>
      </x:c>
      <x:c r="F73" s="5" t="str">
        <x:v>SEK 195.0M est.</x:v>
      </x:c>
      <x:c r="G73" s="5" t="str">
        <x:v>SEK</x:v>
      </x:c>
      <x:c r="H73" s="5" t="str">
        <x:v>FY2023/24</x:v>
      </x:c>
      <x:c r="I73" s="5" t="str">
        <x:v>Private; TCR immunotherapy against cancer; raised SEK 440M in Aug 2025 and SEK 400M in 2023</x:v>
      </x:c>
      <x:c r="J73" s="5" t="n">
        <x:v>1</x:v>
      </x:c>
      <x:c r="K73" s="5" t="str">
        <x:v>Private (SEK 440M funding); Package B &amp; E (High-throughput library clinical data engine)</x:v>
      </x:c>
      <x:c r="L73" s="5" t="str">
        <x:v>No structural discrepancy identified</x:v>
      </x:c>
      <x:c r="M73" s="5" t="str">
        <x:v>UNVERIFIED financial claims</x:v>
      </x:c>
      <x:c r="O73" t="str">
        <x:v>https://docs.google.com/spreadsheets/d/1s0pVuA2KPyIdOWL77IS8N2FFcZNPbZvS55Ys9Wkukfo/edit#gid=1633792910&amp;range=A67:H67</x:v>
      </x:c>
    </x:row>
    <x:row r="74" ht="39" customHeight="1">
      <x:c r="A74" s="5" t="n">
        <x:v>68</x:v>
      </x:c>
      <x:c r="B74" s="5" t="str">
        <x:v>AstraZeneca</x:v>
      </x:c>
      <x:c r="C74" s="5" t="str">
        <x:v>Södertälje, Sweden</x:v>
      </x:c>
      <x:c r="D74" s="5" t="str">
        <x:v>Small Molecules, Vaccines, Biologics</x:v>
      </x:c>
      <x:c r="E74" s="5" t="str">
        <x:v>USD 54,100.0M ($54.1B)</x:v>
      </x:c>
      <x:c r="F74" s="5" t="str">
        <x:v>USD 13,600.0M ($13.6B)</x:v>
      </x:c>
      <x:c r="G74" s="5" t="str">
        <x:v>USD</x:v>
      </x:c>
      <x:c r="H74" s="5" t="str">
        <x:v>FY2024</x:v>
      </x:c>
      <x:c r="I74" s="5" t="str">
        <x:v>Listed (AZN); global multinational flagship; major global R&amp;D hub in Gothenburg &amp; manufacturing in Södertälje</x:v>
      </x:c>
      <x:c r="J74" s="5" t="n">
        <x:v>2</x:v>
      </x:c>
      <x:c r="K74" s="5" t="str">
        <x:v>AZN flagship; Package D (Packaging line automation &amp; high-volume release analytics)</x:v>
      </x:c>
      <x:c r="L74" s="5" t="str">
        <x:v>No structural discrepancy identified</x:v>
      </x:c>
      <x:c r="M74" s="5" t="str">
        <x:v>PARTIAL REVIEW — Review_Evidence; raw financial claims may be contradicted</x:v>
      </x:c>
      <x:c r="O74" t="str">
        <x:v>https://docs.google.com/spreadsheets/d/1s0pVuA2KPyIdOWL77IS8N2FFcZNPbZvS55Ys9Wkukfo/edit#gid=1633792910&amp;range=A68:H68</x:v>
      </x:c>
    </x:row>
    <x:row r="75" ht="39" customHeight="1">
      <x:c r="A75" s="5" t="n">
        <x:v>69</x:v>
      </x:c>
      <x:c r="B75" s="5" t="str">
        <x:v>Nanologica</x:v>
      </x:c>
      <x:c r="C75" s="5" t="str">
        <x:v>Södertälje, Sweden</x:v>
      </x:c>
      <x:c r="D75" s="5" t="str">
        <x:v>Nanoporous Silica</x:v>
      </x:c>
      <x:c r="E75" s="5" t="str">
        <x:v>SEK 14.54M (SEK 1.44M in FY2023)</x:v>
      </x:c>
      <x:c r="F75" s="5" t="str">
        <x:v>SEK 28.2M</x:v>
      </x:c>
      <x:c r="G75" s="5" t="str">
        <x:v>SEK</x:v>
      </x:c>
      <x:c r="H75" s="5" t="str">
        <x:v>FY2024</x:v>
      </x:c>
      <x:c r="I75" s="5" t="str">
        <x:v>Listed (Nasdaq Stockholm: NICA); nanoporous silica NLAB Saga for preparative chromatography of insulin</x:v>
      </x:c>
      <x:c r="J75" s="5" t="n">
        <x:v>1</x:v>
      </x:c>
      <x:c r="K75" s="5" t="str">
        <x:v>Listed (Nasdaq: NICA); Package D (Insulin preparative purification yield modeling)</x:v>
      </x:c>
      <x:c r="L75" s="5" t="str">
        <x:v>No structural discrepancy identified</x:v>
      </x:c>
      <x:c r="M75" s="5" t="str">
        <x:v>UNVERIFIED financial claims</x:v>
      </x:c>
      <x:c r="O75" t="str">
        <x:v>https://docs.google.com/spreadsheets/d/1s0pVuA2KPyIdOWL77IS8N2FFcZNPbZvS55Ys9Wkukfo/edit#gid=1633792910&amp;range=A69:H69</x:v>
      </x:c>
    </x:row>
    <x:row r="76" ht="39" customHeight="1">
      <x:c r="A76" s="5" t="n">
        <x:v>70</x:v>
      </x:c>
      <x:c r="B76" s="5" t="str">
        <x:v>AAX Biotech</x:v>
      </x:c>
      <x:c r="C76" s="5" t="str">
        <x:v>Solna, Sweden</x:v>
      </x:c>
      <x:c r="D76" s="5" t="str">
        <x:v>Next-gen Antibody Therapeutics</x:v>
      </x:c>
      <x:c r="E76" s="5" t="str">
        <x:v>SEK 0M (Pre-revenue)</x:v>
      </x:c>
      <x:c r="F76" s="5" t="str">
        <x:v>SEK 10.5M</x:v>
      </x:c>
      <x:c r="G76" s="5" t="str">
        <x:v>SEK</x:v>
      </x:c>
      <x:c r="H76" s="5" t="str">
        <x:v>FY2023/24</x:v>
      </x:c>
      <x:c r="I76" s="5" t="str">
        <x:v>Private, spin-out from KTH/Karolinska; developing Seqitope &amp; Opti-mAb antibody technologies; partnered with Daiichi Sankyo</x:v>
      </x:c>
      <x:c r="J76" s="5" t="n">
        <x:v>1</x:v>
      </x:c>
      <x:c r="K76" s="5" t="str">
        <x:v>Karolinska spin-out; Package B (Daiichi Sankyo partnered data room management)</x:v>
      </x:c>
      <x:c r="L76" s="5" t="str">
        <x:v>No structural discrepancy identified</x:v>
      </x:c>
      <x:c r="M76" s="5" t="str">
        <x:v>UNVERIFIED financial claims</x:v>
      </x:c>
      <x:c r="O76" t="str">
        <x:v>https://docs.google.com/spreadsheets/d/1s0pVuA2KPyIdOWL77IS8N2FFcZNPbZvS55Ys9Wkukfo/edit#gid=1633792910&amp;range=A70:H70</x:v>
      </x:c>
    </x:row>
    <x:row r="77" ht="39" customHeight="1">
      <x:c r="A77" s="5" t="n">
        <x:v>71</x:v>
      </x:c>
      <x:c r="B77" s="5" t="str">
        <x:v>Aplex Bio</x:v>
      </x:c>
      <x:c r="C77" s="5" t="str">
        <x:v>Solna, Sweden</x:v>
      </x:c>
      <x:c r="D77" s="5" t="str">
        <x:v>Next-gen PCR-Hyperplexed PCR</x:v>
      </x:c>
      <x:c r="E77" s="5" t="str">
        <x:v>SEK 1.8M est.</x:v>
      </x:c>
      <x:c r="F77" s="5" t="str">
        <x:v>SEK 12.0M</x:v>
      </x:c>
      <x:c r="G77" s="5" t="str">
        <x:v>SEK</x:v>
      </x:c>
      <x:c r="H77" s="5" t="str">
        <x:v>FY2023/24</x:v>
      </x:c>
      <x:c r="I77" s="5" t="str">
        <x:v>Private molecular diagnostics startup; hyperplexed PCR detection platform; raised $1.5M seed</x:v>
      </x:c>
      <x:c r="J77" s="5" t="n">
        <x:v>1</x:v>
      </x:c>
      <x:c r="K77" s="5" t="str">
        <x:v>Private; Package A &amp; E (Point-of-care PCR workflow optimization &amp; software)</x:v>
      </x:c>
      <x:c r="L77" s="5" t="str">
        <x:v>No structural discrepancy identified</x:v>
      </x:c>
      <x:c r="M77" s="5" t="str">
        <x:v>UNVERIFIED financial claims</x:v>
      </x:c>
      <x:c r="O77" t="str">
        <x:v>https://docs.google.com/spreadsheets/d/1s0pVuA2KPyIdOWL77IS8N2FFcZNPbZvS55Ys9Wkukfo/edit#gid=1633792910&amp;range=A71:H71</x:v>
      </x:c>
    </x:row>
    <x:row r="78" ht="39" customHeight="1">
      <x:c r="A78" s="5" t="n">
        <x:v>72</x:v>
      </x:c>
      <x:c r="B78" s="5" t="str">
        <x:v>Elypta</x:v>
      </x:c>
      <x:c r="C78" s="5" t="str">
        <x:v>Solna, Sweden</x:v>
      </x:c>
      <x:c r="D78" s="5" t="str">
        <x:v>Liquid Biopsy</x:v>
      </x:c>
      <x:c r="E78" s="5" t="str">
        <x:v>SEK 3.5M est.</x:v>
      </x:c>
      <x:c r="F78" s="5" t="str">
        <x:v>SEK 72.0M</x:v>
      </x:c>
      <x:c r="G78" s="5" t="str">
        <x:v>SEK</x:v>
      </x:c>
      <x:c r="H78" s="5" t="str">
        <x:v>FY2023/24</x:v>
      </x:c>
      <x:c r="I78" s="5" t="str">
        <x:v>Private metabolism-based liquid biopsy for early cancer detection; raised $21M Series A</x:v>
      </x:c>
      <x:c r="J78" s="5" t="n">
        <x:v>1</x:v>
      </x:c>
      <x:c r="K78" s="5" t="str">
        <x:v>Private ($21M Series A); Package E (AI metabolism liquid biopsy Notified Body audit)</x:v>
      </x:c>
      <x:c r="L78" s="5" t="str">
        <x:v>No structural discrepancy identified</x:v>
      </x:c>
      <x:c r="M78" s="5" t="str">
        <x:v>UNVERIFIED financial claims</x:v>
      </x:c>
      <x:c r="O78" t="str">
        <x:v>https://docs.google.com/spreadsheets/d/1s0pVuA2KPyIdOWL77IS8N2FFcZNPbZvS55Ys9Wkukfo/edit#gid=1633792910&amp;range=A72:H72</x:v>
      </x:c>
    </x:row>
    <x:row r="79" ht="39" customHeight="1">
      <x:c r="A79" s="5" t="n">
        <x:v>73</x:v>
      </x:c>
      <x:c r="B79" s="5" t="str">
        <x:v>FenoMark Diagnostics</x:v>
      </x:c>
      <x:c r="C79" s="5" t="str">
        <x:v>Solna, Sweden</x:v>
      </x:c>
      <x:c r="D79" s="5" t="str">
        <x:v>Diagnostics</x:v>
      </x:c>
      <x:c r="E79" s="5" t="str">
        <x:v>SEK 0M (Early stage)</x:v>
      </x:c>
      <x:c r="F79" s="5" t="str">
        <x:v>SEK 2.8M</x:v>
      </x:c>
      <x:c r="G79" s="5" t="str">
        <x:v>SEK</x:v>
      </x:c>
      <x:c r="H79" s="5" t="str">
        <x:v>FY2023</x:v>
      </x:c>
      <x:c r="I79" s="5" t="str">
        <x:v>Private early-stage molecular diagnostics and proteomics biomarkers for precision oncology</x:v>
      </x:c>
      <x:c r="J79" s="5" t="n">
        <x:v>1</x:v>
      </x:c>
      <x:c r="K79" s="5" t="str">
        <x:v>Private proteomics; Package B &amp; E (Biomarker discovery database architecture)</x:v>
      </x:c>
      <x:c r="L79" s="5" t="str">
        <x:v>No structural discrepancy identified</x:v>
      </x:c>
      <x:c r="M79" s="5" t="str">
        <x:v>UNVERIFIED financial claims</x:v>
      </x:c>
      <x:c r="O79" t="str">
        <x:v>https://docs.google.com/spreadsheets/d/1s0pVuA2KPyIdOWL77IS8N2FFcZNPbZvS55Ys9Wkukfo/edit#gid=1633792910&amp;range=A73:H73</x:v>
      </x:c>
    </x:row>
    <x:row r="80" ht="39" customHeight="1">
      <x:c r="A80" s="5" t="n">
        <x:v>74</x:v>
      </x:c>
      <x:c r="B80" s="5" t="str">
        <x:v>Getinge</x:v>
      </x:c>
      <x:c r="C80" s="5" t="str">
        <x:v>Solna, Sweden</x:v>
      </x:c>
      <x:c r="D80" s="5" t="str">
        <x:v>Medical Technology</x:v>
      </x:c>
      <x:c r="E80" s="5" t="str">
        <x:v>SEK 34,759.0M (SEK 34.76B)</x:v>
      </x:c>
      <x:c r="F80" s="5" t="str">
        <x:v>SEK 1,745.0M (~5.0% of sales)</x:v>
      </x:c>
      <x:c r="G80" s="5" t="str">
        <x:v>SEK</x:v>
      </x:c>
      <x:c r="H80" s="5" t="str">
        <x:v>FY2024</x:v>
      </x:c>
      <x:c r="I80" s="5" t="str">
        <x:v>Listed (Nasdaq Stockholm: GETI B); global leader in intensive care equipment, ventilators, surgical tables</x:v>
      </x:c>
      <x:c r="J80" s="5" t="n">
        <x:v>4</x:v>
      </x:c>
      <x:c r="K80" s="5" t="str">
        <x:v>Listed (Nasdaq: GETI B); Package A (Hospital surgical table &amp; sterilizer DaaS contracts)</x:v>
      </x:c>
      <x:c r="L80" s="5" t="str">
        <x:v>No structural discrepancy identified</x:v>
      </x:c>
      <x:c r="M80" s="5" t="str">
        <x:v>PARTIAL REVIEW — Review_Evidence; raw financial claims may be contradicted</x:v>
      </x:c>
      <x:c r="O80" t="str">
        <x:v>https://docs.google.com/spreadsheets/d/1s0pVuA2KPyIdOWL77IS8N2FFcZNPbZvS55Ys9Wkukfo/edit#gid=1633792910&amp;range=A74:H74</x:v>
      </x:c>
    </x:row>
    <x:row r="81" ht="39" customHeight="1">
      <x:c r="A81" s="5" t="n">
        <x:v>75</x:v>
      </x:c>
      <x:c r="B81" s="5" t="str">
        <x:v>mEDICORENT</x:v>
      </x:c>
      <x:c r="C81" s="5" t="str">
        <x:v>Solna, Sweden</x:v>
      </x:c>
      <x:c r="D81" s="5" t="str">
        <x:v>Clinical Outsourcing &amp; Recruitment</x:v>
      </x:c>
      <x:c r="E81" s="5" t="str">
        <x:v>SEK 22.5M</x:v>
      </x:c>
      <x:c r="F81" s="5" t="str">
        <x:v>SEK 1.2M</x:v>
      </x:c>
      <x:c r="G81" s="5" t="str">
        <x:v>SEK</x:v>
      </x:c>
      <x:c r="H81" s="5" t="str">
        <x:v>FY2023</x:v>
      </x:c>
      <x:c r="I81" s="5" t="str">
        <x:v>Private clinical trial recruitment, staffing, and monitoring outsourcing agency based in Solna</x:v>
      </x:c>
      <x:c r="J81" s="5" t="n">
        <x:v>1</x:v>
      </x:c>
      <x:c r="K81" s="5" t="str">
        <x:v>Private staffing; Package B (Clinical trial site monitor management portal)</x:v>
      </x:c>
      <x:c r="L81" s="5" t="str">
        <x:v>No structural discrepancy identified</x:v>
      </x:c>
      <x:c r="M81" s="5" t="str">
        <x:v>UNVERIFIED financial claims</x:v>
      </x:c>
      <x:c r="O81" t="str">
        <x:v>https://docs.google.com/spreadsheets/d/1s0pVuA2KPyIdOWL77IS8N2FFcZNPbZvS55Ys9Wkukfo/edit#gid=1633792910&amp;range=A75:H75</x:v>
      </x:c>
    </x:row>
    <x:row r="82" ht="39" customHeight="1">
      <x:c r="A82" s="5" t="n">
        <x:v>76</x:v>
      </x:c>
      <x:c r="B82" s="5" t="str">
        <x:v>Meribel Pharma Group</x:v>
      </x:c>
      <x:c r="C82" s="5" t="str">
        <x:v>Solna, Sweden</x:v>
      </x:c>
      <x:c r="D82" s="5" t="str">
        <x:v>Contract Manufacturing</x:v>
      </x:c>
      <x:c r="E82" s="5" t="str">
        <x:v>SEK 55.0M est.</x:v>
      </x:c>
      <x:c r="F82" s="5" t="str">
        <x:v>SEK 5.5M</x:v>
      </x:c>
      <x:c r="G82" s="5" t="str">
        <x:v>SEK</x:v>
      </x:c>
      <x:c r="H82" s="5" t="str">
        <x:v>FY2023</x:v>
      </x:c>
      <x:c r="I82" s="5" t="str">
        <x:v>Private pharmaceutical manufacturing and packaging group (Höganäs, Karlskoga, Solna sites)</x:v>
      </x:c>
      <x:c r="J82" s="5" t="n">
        <x:v>3</x:v>
      </x:c>
      <x:c r="K82" s="5" t="str">
        <x:v>Private CDMO HQ; Package C (Group-wide contract manufacturing ERP consolidation)</x:v>
      </x:c>
      <x:c r="L82" s="5" t="str">
        <x:v>No structural discrepancy identified</x:v>
      </x:c>
      <x:c r="M82" s="5" t="str">
        <x:v>UNVERIFIED financial claims</x:v>
      </x:c>
      <x:c r="O82" t="str">
        <x:v>https://docs.google.com/spreadsheets/d/1s0pVuA2KPyIdOWL77IS8N2FFcZNPbZvS55Ys9Wkukfo/edit#gid=1633792910&amp;range=A76:H76</x:v>
      </x:c>
    </x:row>
    <x:row r="83" ht="39" customHeight="1">
      <x:c r="A83" s="5" t="n">
        <x:v>77</x:v>
      </x:c>
      <x:c r="B83" s="5" t="str">
        <x:v>Moleculent</x:v>
      </x:c>
      <x:c r="C83" s="5" t="str">
        <x:v>Solna, Sweden</x:v>
      </x:c>
      <x:c r="D83" s="5" t="str">
        <x:v>Functional biology platform detecting cell-cell interactions</x:v>
      </x:c>
      <x:c r="E83" s="5" t="str">
        <x:v>USD 0M (Pre-commercial)</x:v>
      </x:c>
      <x:c r="F83" s="5" t="str">
        <x:v>USD 5.5M (~SEK 58M)</x:v>
      </x:c>
      <x:c r="G83" s="5" t="str">
        <x:v>USD</x:v>
      </x:c>
      <x:c r="H83" s="5" t="str">
        <x:v>FY2024</x:v>
      </x:c>
      <x:c r="I83" s="5" t="str">
        <x:v>Private spatial functional profiling; raised $26M Series A (June 2024) + $20M (April 2026)</x:v>
      </x:c>
      <x:c r="J83" s="5" t="n">
        <x:v>1</x:v>
      </x:c>
      <x:c r="K83" s="5" t="str">
        <x:v>Private ($46M funding); Package B &amp; E (Spatial biology high-throughput cloud processing)</x:v>
      </x:c>
      <x:c r="L83" s="5" t="str">
        <x:v>No structural discrepancy identified</x:v>
      </x:c>
      <x:c r="M83" s="5" t="str">
        <x:v>UNVERIFIED financial claims</x:v>
      </x:c>
      <x:c r="O83" t="str">
        <x:v>https://docs.google.com/spreadsheets/d/1s0pVuA2KPyIdOWL77IS8N2FFcZNPbZvS55Ys9Wkukfo/edit#gid=1633792910&amp;range=A77:H77</x:v>
      </x:c>
    </x:row>
    <x:row r="84" ht="39" customHeight="1">
      <x:c r="A84" s="5" t="n">
        <x:v>78</x:v>
      </x:c>
      <x:c r="B84" s="5" t="str">
        <x:v>Pelago Bioscience</x:v>
      </x:c>
      <x:c r="C84" s="5" t="str">
        <x:v>Solna, Sweden</x:v>
      </x:c>
      <x:c r="D84" s="5" t="str">
        <x:v>Assay Services</x:v>
      </x:c>
      <x:c r="E84" s="5" t="str">
        <x:v>SEK 75.0M est.</x:v>
      </x:c>
      <x:c r="F84" s="5" t="str">
        <x:v>SEK 16.0M</x:v>
      </x:c>
      <x:c r="G84" s="5" t="str">
        <x:v>SEK</x:v>
      </x:c>
      <x:c r="H84" s="5" t="str">
        <x:v>FY2023/24</x:v>
      </x:c>
      <x:c r="I84" s="5" t="str">
        <x:v>Private target engagement CRO; inventors of CETSA technology; acquired Red Glead Discovery in 2026</x:v>
      </x:c>
      <x:c r="J84" s="5" t="n">
        <x:v>1</x:v>
      </x:c>
      <x:c r="K84" s="5" t="str">
        <x:v>Private CRO; Package B (Pharma client CETSA screening project delivery portal)</x:v>
      </x:c>
      <x:c r="L84" s="5" t="str">
        <x:v>No structural discrepancy identified</x:v>
      </x:c>
      <x:c r="M84" s="5" t="str">
        <x:v>UNVERIFIED financial claims</x:v>
      </x:c>
      <x:c r="O84" t="str">
        <x:v>https://docs.google.com/spreadsheets/d/1s0pVuA2KPyIdOWL77IS8N2FFcZNPbZvS55Ys9Wkukfo/edit#gid=1633792910&amp;range=A78:H78</x:v>
      </x:c>
    </x:row>
    <x:row r="85" ht="39" customHeight="1">
      <x:c r="A85" s="5" t="n">
        <x:v>79</x:v>
      </x:c>
      <x:c r="B85" s="5" t="str">
        <x:v>Scandinavian Biopharma Holding</x:v>
      </x:c>
      <x:c r="C85" s="5" t="str">
        <x:v>Solna, Sweden</x:v>
      </x:c>
      <x:c r="D85" s="5" t="str">
        <x:v>Various vaccines</x:v>
      </x:c>
      <x:c r="E85" s="5" t="str">
        <x:v>SEK 154.0M</x:v>
      </x:c>
      <x:c r="F85" s="5" t="str">
        <x:v>SEK 75.0M (incl. EDCTP grants)</x:v>
      </x:c>
      <x:c r="G85" s="5" t="str">
        <x:v>SEK</x:v>
      </x:c>
      <x:c r="H85" s="5" t="str">
        <x:v>FY2023</x:v>
      </x:c>
      <x:c r="I85" s="5" t="str">
        <x:v>Private biopharma; ETVAX oral vaccine against ETEC bacterial diarrhea in phase 3 readiness</x:v>
      </x:c>
      <x:c r="J85" s="5" t="n">
        <x:v>1</x:v>
      </x:c>
      <x:c r="K85" s="5" t="str">
        <x:v>No exact facility match; see Review</x:v>
      </x:c>
      <x:c r="L85" s="5" t="str">
        <x:v>No dossier facility match</x:v>
      </x:c>
      <x:c r="M85" s="5" t="str">
        <x:v>UNVERIFIED financial claims</x:v>
      </x:c>
      <x:c r="O85" t="str">
        <x:v>https://docs.google.com/spreadsheets/d/1s0pVuA2KPyIdOWL77IS8N2FFcZNPbZvS55Ys9Wkukfo/edit#gid=1633792910&amp;range=A79:H79</x:v>
      </x:c>
    </x:row>
    <x:row r="86" ht="39" customHeight="1">
      <x:c r="A86" s="5" t="n">
        <x:v>80</x:v>
      </x:c>
      <x:c r="B86" s="5" t="str">
        <x:v>StromaBio</x:v>
      </x:c>
      <x:c r="C86" s="5" t="str">
        <x:v>Solna, Sweden</x:v>
      </x:c>
      <x:c r="D86" s="5" t="str">
        <x:v>Mesenchymal Stromal Cell based cell therapies</x:v>
      </x:c>
      <x:c r="E86" s="5" t="str">
        <x:v>SEK 0M (Early stage)</x:v>
      </x:c>
      <x:c r="F86" s="5" t="str">
        <x:v>SEK 5.5M</x:v>
      </x:c>
      <x:c r="G86" s="5" t="str">
        <x:v>SEK</x:v>
      </x:c>
      <x:c r="H86" s="5" t="str">
        <x:v>FY2023/24</x:v>
      </x:c>
      <x:c r="I86" s="5" t="str">
        <x:v>Private mesenchymal stromal cell (MSC) therapy for acute inflammatory diseases; Karolinska spin-out</x:v>
      </x:c>
      <x:c r="J86" s="5" t="n">
        <x:v>1</x:v>
      </x:c>
      <x:c r="K86" s="5" t="str">
        <x:v>Karolinska spin-out; Package B (Stem cell manufacturing batch quality systems)</x:v>
      </x:c>
      <x:c r="L86" s="5" t="str">
        <x:v>No structural discrepancy identified</x:v>
      </x:c>
      <x:c r="M86" s="5" t="str">
        <x:v>UNVERIFIED financial claims</x:v>
      </x:c>
      <x:c r="O86" t="str">
        <x:v>https://docs.google.com/spreadsheets/d/1s0pVuA2KPyIdOWL77IS8N2FFcZNPbZvS55Ys9Wkukfo/edit#gid=1633792910&amp;range=A80:H80</x:v>
      </x:c>
    </x:row>
    <x:row r="87" ht="39" customHeight="1">
      <x:c r="A87" s="5" t="n">
        <x:v>81</x:v>
      </x:c>
      <x:c r="B87" s="5" t="str">
        <x:v>Xbrane Biopharma</x:v>
      </x:c>
      <x:c r="C87" s="5" t="str">
        <x:v>Solna, Sweden</x:v>
      </x:c>
      <x:c r="D87" s="5" t="str">
        <x:v>Protein &amp; Vaccine Production Technology</x:v>
      </x:c>
      <x:c r="E87" s="5" t="str">
        <x:v>SEK 238.7M (SEK 210M in FY2024)</x:v>
      </x:c>
      <x:c r="F87" s="5" t="str">
        <x:v>SEK 305.8M</x:v>
      </x:c>
      <x:c r="G87" s="5" t="str">
        <x:v>SEK</x:v>
      </x:c>
      <x:c r="H87" s="5" t="str">
        <x:v>FY2023</x:v>
      </x:c>
      <x:c r="I87" s="5" t="str">
        <x:v>Listed (Nasdaq Stockholm: XBRANE); biosimilars developer (Ximluci ranibizumab, biosimilar certolizumab)</x:v>
      </x:c>
      <x:c r="J87" s="5" t="n">
        <x:v>1</x:v>
      </x:c>
      <x:c r="K87" s="5" t="str">
        <x:v>Listed (Nasdaq: XBRANE); Package B &amp; D (High-titer fermentation batch yield defense)</x:v>
      </x:c>
      <x:c r="L87" s="5" t="str">
        <x:v>No structural discrepancy identified</x:v>
      </x:c>
      <x:c r="M87" s="5" t="str">
        <x:v>UNVERIFIED financial claims</x:v>
      </x:c>
      <x:c r="O87" t="str">
        <x:v>https://docs.google.com/spreadsheets/d/1s0pVuA2KPyIdOWL77IS8N2FFcZNPbZvS55Ys9Wkukfo/edit#gid=1633792910&amp;range=A81:H81</x:v>
      </x:c>
    </x:row>
    <x:row r="88" ht="52" customHeight="1">
      <x:c r="A88" s="5" t="n">
        <x:v>82</x:v>
      </x:c>
      <x:c r="B88" s="5" t="str">
        <x:v>Arex Advisor</x:v>
      </x:c>
      <x:c r="C88" s="5" t="str">
        <x:v>Stockholm, Sweden</x:v>
      </x:c>
      <x:c r="D88" s="5" t="str">
        <x:v>Regulatory Affairs, CMC, Quality Assurance, Pharmacovigilance and Market Access in Nordics and EU</x:v>
      </x:c>
      <x:c r="E88" s="5" t="str">
        <x:v>SEK 38.6M</x:v>
      </x:c>
      <x:c r="F88" s="5" t="str">
        <x:v>SEK 1.5M est. (Internal)</x:v>
      </x:c>
      <x:c r="G88" s="5" t="str">
        <x:v>SEK</x:v>
      </x:c>
      <x:c r="H88" s="5" t="str">
        <x:v>FY2023</x:v>
      </x:c>
      <x:c r="I88" s="5" t="str">
        <x:v>Private pharmaceutical regulatory affairs, QA &amp; pharmacovigilance consultancy</x:v>
      </x:c>
      <x:c r="J88" s="5" t="n">
        <x:v>1</x:v>
      </x:c>
      <x:c r="K88" s="5" t="str">
        <x:v>Private advisory; Co-Opetition (Subcontracting 2S HCare360 for continuous QA)</x:v>
      </x:c>
      <x:c r="L88" s="5" t="str">
        <x:v>No structural discrepancy identified</x:v>
      </x:c>
      <x:c r="M88" s="5" t="str">
        <x:v>UNVERIFIED financial claims</x:v>
      </x:c>
      <x:c r="O88" t="str">
        <x:v>https://docs.google.com/spreadsheets/d/1s0pVuA2KPyIdOWL77IS8N2FFcZNPbZvS55Ys9Wkukfo/edit#gid=1633792910&amp;range=A82:H82</x:v>
      </x:c>
    </x:row>
    <x:row r="89" ht="39" customHeight="1">
      <x:c r="A89" s="5" t="n">
        <x:v>83</x:v>
      </x:c>
      <x:c r="B89" s="5" t="str">
        <x:v>Avia Pharma</x:v>
      </x:c>
      <x:c r="C89" s="5" t="str">
        <x:v>Stockholm, Sweden</x:v>
      </x:c>
      <x:c r="D89" s="5" t="str">
        <x:v>In-licensing, Acquisitions</x:v>
      </x:c>
      <x:c r="E89" s="5" t="str">
        <x:v>&gt;SEK 600.0M</x:v>
      </x:c>
      <x:c r="F89" s="5" t="str">
        <x:v>SEK 30.0M est.</x:v>
      </x:c>
      <x:c r="G89" s="5" t="str">
        <x:v>SEK</x:v>
      </x:c>
      <x:c r="H89" s="5" t="str">
        <x:v>FY2023/24</x:v>
      </x:c>
      <x:c r="I89" s="5" t="str">
        <x:v>Private specialty pharma group; backed by Impilo; acquired German dermatology player Neubourg</x:v>
      </x:c>
      <x:c r="J89" s="5" t="n">
        <x:v>1</x:v>
      </x:c>
      <x:c r="K89" s="5" t="str">
        <x:v>Impilo backed; Package C (Multi-country OTC/Rx tender &amp; stockist sales tracking)</x:v>
      </x:c>
      <x:c r="L89" s="5" t="str">
        <x:v>No structural discrepancy identified</x:v>
      </x:c>
      <x:c r="M89" s="5" t="str">
        <x:v>PARTIAL REVIEW — Review_Evidence; raw financial claims may be contradicted</x:v>
      </x:c>
      <x:c r="O89" t="str">
        <x:v>https://docs.google.com/spreadsheets/d/1s0pVuA2KPyIdOWL77IS8N2FFcZNPbZvS55Ys9Wkukfo/edit#gid=1633792910&amp;range=A83:H83</x:v>
      </x:c>
    </x:row>
    <x:row r="90" ht="39" customHeight="1">
      <x:c r="A90" s="5" t="n">
        <x:v>84</x:v>
      </x:c>
      <x:c r="B90" s="5" t="str">
        <x:v>BioArctic</x:v>
      </x:c>
      <x:c r="C90" s="5" t="str">
        <x:v>Stockholm, Sweden</x:v>
      </x:c>
      <x:c r="D90" s="5" t="str">
        <x:v>CNS treatments</x:v>
      </x:c>
      <x:c r="E90" s="5" t="str">
        <x:v>SEK 228.3M (excl. Eisai royalties)</x:v>
      </x:c>
      <x:c r="F90" s="5" t="str">
        <x:v>SEK 284.1M</x:v>
      </x:c>
      <x:c r="G90" s="5" t="str">
        <x:v>SEK</x:v>
      </x:c>
      <x:c r="H90" s="5" t="str">
        <x:v>FY2023/24</x:v>
      </x:c>
      <x:c r="I90" s="5" t="str">
        <x:v>Listed (Nasdaq Stockholm: BIOA B); originator of Leqembi (lecanemab) for Alzheimer's disease</x:v>
      </x:c>
      <x:c r="J90" s="5" t="n">
        <x:v>1</x:v>
      </x:c>
      <x:c r="K90" s="5" t="str">
        <x:v>Listed (Nasdaq: BIOA B); Package B &amp; C (Eisai global royalty &amp; Nordic RWE tracking)</x:v>
      </x:c>
      <x:c r="L90" s="5" t="str">
        <x:v>No structural discrepancy identified</x:v>
      </x:c>
      <x:c r="M90" s="5" t="str">
        <x:v>UNVERIFIED financial claims</x:v>
      </x:c>
      <x:c r="O90" t="str">
        <x:v>https://docs.google.com/spreadsheets/d/1s0pVuA2KPyIdOWL77IS8N2FFcZNPbZvS55Ys9Wkukfo/edit#gid=1633792910&amp;range=A84:H84</x:v>
      </x:c>
    </x:row>
    <x:row r="91" ht="39" customHeight="1">
      <x:c r="A91" s="5" t="n">
        <x:v>85</x:v>
      </x:c>
      <x:c r="B91" s="5" t="str">
        <x:v>BioGaia</x:v>
      </x:c>
      <x:c r="C91" s="5" t="str">
        <x:v>Stockholm, Sweden</x:v>
      </x:c>
      <x:c r="D91" s="5" t="str">
        <x:v>Probiotics</x:v>
      </x:c>
      <x:c r="E91" s="5" t="str">
        <x:v>SEK 1,304.0M</x:v>
      </x:c>
      <x:c r="F91" s="5" t="str">
        <x:v>SEK 128.5M (~10% of sales)</x:v>
      </x:c>
      <x:c r="G91" s="5" t="str">
        <x:v>SEK</x:v>
      </x:c>
      <x:c r="H91" s="5" t="str">
        <x:v>FY2023/24</x:v>
      </x:c>
      <x:c r="I91" s="5" t="str">
        <x:v>Listed (Nasdaq Stockholm: BIOG B); global leader in probiotics and microbiome clinical trials</x:v>
      </x:c>
      <x:c r="J91" s="5" t="n">
        <x:v>1</x:v>
      </x:c>
      <x:c r="K91" s="5" t="str">
        <x:v>Listed (Nasdaq: BIOG B); Package C (Global distributor sales visibility &amp; inventory S&amp;OP)</x:v>
      </x:c>
      <x:c r="L91" s="5" t="str">
        <x:v>No structural discrepancy identified</x:v>
      </x:c>
      <x:c r="M91" s="5" t="str">
        <x:v>UNVERIFIED financial claims</x:v>
      </x:c>
      <x:c r="O91" t="str">
        <x:v>https://docs.google.com/spreadsheets/d/1s0pVuA2KPyIdOWL77IS8N2FFcZNPbZvS55Ys9Wkukfo/edit#gid=1633792910&amp;range=A85:H85</x:v>
      </x:c>
    </x:row>
    <x:row r="92" ht="39" customHeight="1">
      <x:c r="A92" s="5" t="n">
        <x:v>86</x:v>
      </x:c>
      <x:c r="B92" s="5" t="str">
        <x:v>Bluefish Pharmaceuticals</x:v>
      </x:c>
      <x:c r="C92" s="5" t="str">
        <x:v>Stockholm, Sweden</x:v>
      </x:c>
      <x:c r="D92" s="5" t="str">
        <x:v>Generics pharmaceutical company</x:v>
      </x:c>
      <x:c r="E92" s="5" t="str">
        <x:v>SEK 484.8M</x:v>
      </x:c>
      <x:c r="F92" s="5" t="str">
        <x:v>SEK 38.5M</x:v>
      </x:c>
      <x:c r="G92" s="5" t="str">
        <x:v>SEK</x:v>
      </x:c>
      <x:c r="H92" s="5" t="str">
        <x:v>FY2023/24</x:v>
      </x:c>
      <x:c r="I92" s="5" t="str">
        <x:v>Owned by Färna Invest AB; generic pharmaceuticals manufacturer and distributor across Europe</x:v>
      </x:c>
      <x:c r="J92" s="5" t="n">
        <x:v>1</x:v>
      </x:c>
      <x:c r="K92" s="5" t="str">
        <x:v>Färna Invest owned; Package C (Primary/stockist ERP sales reconciliation portal)</x:v>
      </x:c>
      <x:c r="L92" s="5" t="str">
        <x:v>No structural discrepancy identified</x:v>
      </x:c>
      <x:c r="M92" s="5" t="str">
        <x:v>UNVERIFIED financial claims</x:v>
      </x:c>
      <x:c r="O92" t="str">
        <x:v>https://docs.google.com/spreadsheets/d/1s0pVuA2KPyIdOWL77IS8N2FFcZNPbZvS55Ys9Wkukfo/edit#gid=1633792910&amp;range=A86:H86</x:v>
      </x:c>
    </x:row>
    <x:row r="93" ht="39" customHeight="1">
      <x:c r="A93" s="5" t="n">
        <x:v>87</x:v>
      </x:c>
      <x:c r="B93" s="5" t="str">
        <x:v>Calliditas Therapeutics</x:v>
      </x:c>
      <x:c r="C93" s="5" t="str">
        <x:v>Stockholm, Sweden</x:v>
      </x:c>
      <x:c r="D93" s="5" t="str">
        <x:v>Small Molecule</x:v>
      </x:c>
      <x:c r="E93" s="5" t="str">
        <x:v>SEK 1,180.3M</x:v>
      </x:c>
      <x:c r="F93" s="5" t="str">
        <x:v>SEK 647.9M</x:v>
      </x:c>
      <x:c r="G93" s="5" t="str">
        <x:v>SEK</x:v>
      </x:c>
      <x:c r="H93" s="5" t="str">
        <x:v>FY2023</x:v>
      </x:c>
      <x:c r="I93" s="5" t="str">
        <x:v>Acquired by Asahi Kasei in 2024 for SEK 11.2B; Tarpeyo / Kinpeygo for IgA nephropathy</x:v>
      </x:c>
      <x:c r="J93" s="5" t="n">
        <x:v>1</x:v>
      </x:c>
      <x:c r="K93" s="5" t="str">
        <x:v>Asahi Kasei ($1.1B acq); Package C (Global commercial specialty sales automation)</x:v>
      </x:c>
      <x:c r="L93" s="5" t="str">
        <x:v>No structural discrepancy identified</x:v>
      </x:c>
      <x:c r="M93" s="5" t="str">
        <x:v>UNVERIFIED financial claims</x:v>
      </x:c>
      <x:c r="O93" t="str">
        <x:v>https://docs.google.com/spreadsheets/d/1s0pVuA2KPyIdOWL77IS8N2FFcZNPbZvS55Ys9Wkukfo/edit#gid=1633792910&amp;range=A87:H87</x:v>
      </x:c>
    </x:row>
    <x:row r="94" ht="39" customHeight="1">
      <x:c r="A94" s="5" t="n">
        <x:v>88</x:v>
      </x:c>
      <x:c r="B94" s="5" t="str">
        <x:v>Cinclus Pharma</x:v>
      </x:c>
      <x:c r="C94" s="5" t="str">
        <x:v>Stockholm, Sweden</x:v>
      </x:c>
      <x:c r="D94" s="5" t="str">
        <x:v>GERD Treatment</x:v>
      </x:c>
      <x:c r="E94" s="5" t="str">
        <x:v>SEK 5.96M (pre-commercial / interest)</x:v>
      </x:c>
      <x:c r="F94" s="5" t="str">
        <x:v>SEK 162.3M</x:v>
      </x:c>
      <x:c r="G94" s="5" t="str">
        <x:v>SEK</x:v>
      </x:c>
      <x:c r="H94" s="5" t="str">
        <x:v>FY2023/24</x:v>
      </x:c>
      <x:c r="I94" s="5" t="str">
        <x:v>Listed (Nasdaq Stockholm: CINP); Linaprazan glurate P-CAB phase 3 for GERD &amp; erosive esophagitis</x:v>
      </x:c>
      <x:c r="J94" s="5" t="n">
        <x:v>1</x:v>
      </x:c>
      <x:c r="K94" s="5" t="str">
        <x:v>Listed (Nasdaq: CINP); Package B (Phase III erosive esophagitis trial burn control)</x:v>
      </x:c>
      <x:c r="L94" s="5" t="str">
        <x:v>No structural discrepancy identified</x:v>
      </x:c>
      <x:c r="M94" s="5" t="str">
        <x:v>PARTIAL REVIEW — Review_Evidence; raw financial claims may be contradicted</x:v>
      </x:c>
      <x:c r="O94" t="str">
        <x:v>https://docs.google.com/spreadsheets/d/1s0pVuA2KPyIdOWL77IS8N2FFcZNPbZvS55Ys9Wkukfo/edit#gid=1633792910&amp;range=A88:H88</x:v>
      </x:c>
    </x:row>
    <x:row r="95" ht="39" customHeight="1">
      <x:c r="A95" s="5" t="n">
        <x:v>89</x:v>
      </x:c>
      <x:c r="B95" s="5" t="str">
        <x:v>CubaseBio</x:v>
      </x:c>
      <x:c r="C95" s="5" t="str">
        <x:v>Stockholm, Sweden</x:v>
      </x:c>
      <x:c r="D95" s="5" t="str">
        <x:v>Spatial Biology</x:v>
      </x:c>
      <x:c r="E95" s="5" t="str">
        <x:v>EUR 0.2M est.</x:v>
      </x:c>
      <x:c r="F95" s="5" t="str">
        <x:v>EUR 2.8M (~SEK 32M)</x:v>
      </x:c>
      <x:c r="G95" s="5" t="str">
        <x:v>EUR</x:v>
      </x:c>
      <x:c r="H95" s="5" t="str">
        <x:v>FY2024</x:v>
      </x:c>
      <x:c r="I95" s="5" t="str">
        <x:v>Private spatial biology platform; raised €3.9M co-led by Nordic Science Investments in Feb 2026</x:v>
      </x:c>
      <x:c r="J95" s="5" t="n">
        <x:v>1</x:v>
      </x:c>
      <x:c r="K95" s="5" t="str">
        <x:v>Private (€3.9M funding); Package E (Cloud spatial genomics data processing)</x:v>
      </x:c>
      <x:c r="L95" s="5" t="str">
        <x:v>No structural discrepancy identified</x:v>
      </x:c>
      <x:c r="M95" s="5" t="str">
        <x:v>UNVERIFIED financial claims</x:v>
      </x:c>
      <x:c r="O95" t="str">
        <x:v>https://docs.google.com/spreadsheets/d/1s0pVuA2KPyIdOWL77IS8N2FFcZNPbZvS55Ys9Wkukfo/edit#gid=1633792910&amp;range=A89:H89</x:v>
      </x:c>
    </x:row>
    <x:row r="96" ht="39" customHeight="1">
      <x:c r="A96" s="5" t="n">
        <x:v>90</x:v>
      </x:c>
      <x:c r="B96" s="5" t="str">
        <x:v>Curovir</x:v>
      </x:c>
      <x:c r="C96" s="5" t="str">
        <x:v>Stockholm, Sweden</x:v>
      </x:c>
      <x:c r="D96" s="5" t="str">
        <x:v>Broad-spectrum antiviral treatments for enterovirus infections</x:v>
      </x:c>
      <x:c r="E96" s="5" t="str">
        <x:v>SEK 0M (Pre-clinical)</x:v>
      </x:c>
      <x:c r="F96" s="5" t="str">
        <x:v>SEK 6.5M</x:v>
      </x:c>
      <x:c r="G96" s="5" t="str">
        <x:v>SEK</x:v>
      </x:c>
      <x:c r="H96" s="5" t="str">
        <x:v>FY2023/24</x:v>
      </x:c>
      <x:c r="I96" s="5" t="str">
        <x:v>Private antiviral development for enterovirus infections; Karolinska spin-out</x:v>
      </x:c>
      <x:c r="J96" s="5" t="n">
        <x:v>1</x:v>
      </x:c>
      <x:c r="K96" s="5" t="str">
        <x:v>Karolinska spinout; Package B (Preclinical pharmacology milestone tracking)</x:v>
      </x:c>
      <x:c r="L96" s="5" t="str">
        <x:v>No structural discrepancy identified</x:v>
      </x:c>
      <x:c r="M96" s="5" t="str">
        <x:v>UNVERIFIED financial claims</x:v>
      </x:c>
      <x:c r="O96" t="str">
        <x:v>https://docs.google.com/spreadsheets/d/1s0pVuA2KPyIdOWL77IS8N2FFcZNPbZvS55Ys9Wkukfo/edit#gid=1633792910&amp;range=A90:H90</x:v>
      </x:c>
    </x:row>
    <x:row r="97" ht="39" customHeight="1">
      <x:c r="A97" s="5" t="n">
        <x:v>91</x:v>
      </x:c>
      <x:c r="B97" s="5" t="str">
        <x:v>Egetis Therapeutics</x:v>
      </x:c>
      <x:c r="C97" s="5" t="str">
        <x:v>Stockholm, Sweden</x:v>
      </x:c>
      <x:c r="D97" s="5" t="str">
        <x:v>Specialty Pharmaceuticals</x:v>
      </x:c>
      <x:c r="E97" s="5" t="str">
        <x:v>SEK 46.1M</x:v>
      </x:c>
      <x:c r="F97" s="5" t="str">
        <x:v>SEK 295.4M</x:v>
      </x:c>
      <x:c r="G97" s="5" t="str">
        <x:v>SEK</x:v>
      </x:c>
      <x:c r="H97" s="5" t="str">
        <x:v>FY2024</x:v>
      </x:c>
      <x:c r="I97" s="5" t="str">
        <x:v>Listed (Nasdaq Stockholm: EGTX); rare disease treatments; Emcitate for MCT8 deficiency</x:v>
      </x:c>
      <x:c r="J97" s="5" t="n">
        <x:v>1</x:v>
      </x:c>
      <x:c r="K97" s="5" t="str">
        <x:v>Listed (Nasdaq: EGTX); Package B &amp; C (Named Patient Use / Early Access S&amp;OP portal)</x:v>
      </x:c>
      <x:c r="L97" s="5" t="str">
        <x:v>No structural discrepancy identified</x:v>
      </x:c>
      <x:c r="M97" s="5" t="str">
        <x:v>UNVERIFIED financial claims</x:v>
      </x:c>
      <x:c r="O97" t="str">
        <x:v>https://docs.google.com/spreadsheets/d/1s0pVuA2KPyIdOWL77IS8N2FFcZNPbZvS55Ys9Wkukfo/edit#gid=1633792910&amp;range=A91:H91</x:v>
      </x:c>
    </x:row>
    <x:row r="98" ht="39" customHeight="1">
      <x:c r="A98" s="5" t="n">
        <x:v>92</x:v>
      </x:c>
      <x:c r="B98" s="5" t="str">
        <x:v>Elekta</x:v>
      </x:c>
      <x:c r="C98" s="5" t="str">
        <x:v>Stockholm, Sweden</x:v>
      </x:c>
      <x:c r="D98" s="5" t="str">
        <x:v>Radiation Therapy &amp; Technology</x:v>
      </x:c>
      <x:c r="E98" s="5" t="str">
        <x:v>SEK 19,039.0M (SEK 19.04B)</x:v>
      </x:c>
      <x:c r="F98" s="5" t="str">
        <x:v>SEK 2,130.0M (SEK 2.13B)</x:v>
      </x:c>
      <x:c r="G98" s="5" t="str">
        <x:v>SEK</x:v>
      </x:c>
      <x:c r="H98" s="5" t="str">
        <x:v>FY2023/24</x:v>
      </x:c>
      <x:c r="I98" s="5" t="str">
        <x:v>Listed (Nasdaq Stockholm: EKTA B); radiation therapy systems, Elekta Unity MR-Linac &amp; Leksell Gamma Knife</x:v>
      </x:c>
      <x:c r="J98" s="5" t="n">
        <x:v>1</x:v>
      </x:c>
      <x:c r="K98" s="5" t="str">
        <x:v>Listed (Nasdaq: EKTA B); Package A &amp; E (Oncology radiation throughput models &amp; AI audit)</x:v>
      </x:c>
      <x:c r="L98" s="5" t="str">
        <x:v>No structural discrepancy identified</x:v>
      </x:c>
      <x:c r="M98" s="5" t="str">
        <x:v>PARTIAL REVIEW — Review_Evidence; raw financial claims may be contradicted</x:v>
      </x:c>
      <x:c r="O98" t="str">
        <x:v>https://docs.google.com/spreadsheets/d/1s0pVuA2KPyIdOWL77IS8N2FFcZNPbZvS55Ys9Wkukfo/edit#gid=1633792910&amp;range=A92:H92</x:v>
      </x:c>
    </x:row>
    <x:row r="99" ht="39" customHeight="1">
      <x:c r="A99" s="5" t="n">
        <x:v>93</x:v>
      </x:c>
      <x:c r="B99" s="5" t="str">
        <x:v>Hexagon Pharma</x:v>
      </x:c>
      <x:c r="C99" s="5" t="str">
        <x:v>Stockholm, Sweden</x:v>
      </x:c>
      <x:c r="D99" s="5" t="str">
        <x:v>Manufacturing Technology</x:v>
      </x:c>
      <x:c r="E99" s="5" t="str">
        <x:v>SEK 7.5M est.</x:v>
      </x:c>
      <x:c r="F99" s="5" t="str">
        <x:v>SEK 2.5M</x:v>
      </x:c>
      <x:c r="G99" s="5" t="str">
        <x:v>SEK</x:v>
      </x:c>
      <x:c r="H99" s="5" t="str">
        <x:v>FY2023</x:v>
      </x:c>
      <x:c r="I99" s="5" t="str">
        <x:v>Private pharmaceutical manufacturing technology and process engineering</x:v>
      </x:c>
      <x:c r="J99" s="5" t="n">
        <x:v>1</x:v>
      </x:c>
      <x:c r="K99" s="5" t="str">
        <x:v>Private process tech; Package D (Cleanroom automation engineering analytics)</x:v>
      </x:c>
      <x:c r="L99" s="5" t="str">
        <x:v>No structural discrepancy identified</x:v>
      </x:c>
      <x:c r="M99" s="5" t="str">
        <x:v>UNVERIFIED financial claims</x:v>
      </x:c>
      <x:c r="O99" t="str">
        <x:v>https://docs.google.com/spreadsheets/d/1s0pVuA2KPyIdOWL77IS8N2FFcZNPbZvS55Ys9Wkukfo/edit#gid=1633792910&amp;range=A93:H93</x:v>
      </x:c>
    </x:row>
    <x:row r="100" ht="39" customHeight="1">
      <x:c r="A100" s="5" t="n">
        <x:v>94</x:v>
      </x:c>
      <x:c r="B100" s="5" t="str">
        <x:v>IDL Diagnostics</x:v>
      </x:c>
      <x:c r="C100" s="5" t="str">
        <x:v>Stockholm, Sweden</x:v>
      </x:c>
      <x:c r="D100" s="5" t="str">
        <x:v>Diagnostics</x:v>
      </x:c>
      <x:c r="E100" s="5" t="str">
        <x:v>SEK 35.8M (record sales in 2024/25)</x:v>
      </x:c>
      <x:c r="F100" s="5" t="str">
        <x:v>SEK 14.6M</x:v>
      </x:c>
      <x:c r="G100" s="5" t="str">
        <x:v>SEK</x:v>
      </x:c>
      <x:c r="H100" s="5" t="str">
        <x:v>FY2023/24</x:v>
      </x:c>
      <x:c r="I100" s="5" t="str">
        <x:v>AroCell / IDL Biotech (Nasdaq First North: IDLDX); in vitro diagnostics for bladder cancer and oncology</x:v>
      </x:c>
      <x:c r="J100" s="5" t="n">
        <x:v>1</x:v>
      </x:c>
      <x:c r="K100" s="5" t="str">
        <x:v>Listed (First North: IDLDX); Package A (Hospital urology lab test reimbursement models)</x:v>
      </x:c>
      <x:c r="L100" s="5" t="str">
        <x:v>No structural discrepancy identified</x:v>
      </x:c>
      <x:c r="M100" s="5" t="str">
        <x:v>UNVERIFIED financial claims</x:v>
      </x:c>
      <x:c r="O100" t="str">
        <x:v>https://docs.google.com/spreadsheets/d/1s0pVuA2KPyIdOWL77IS8N2FFcZNPbZvS55Ys9Wkukfo/edit#gid=1633792910&amp;range=A94:H94</x:v>
      </x:c>
    </x:row>
    <x:row r="101" ht="39" customHeight="1">
      <x:c r="A101" s="5" t="n">
        <x:v>95</x:v>
      </x:c>
      <x:c r="B101" s="5" t="str">
        <x:v>Infant Bacterial Therapeutics</x:v>
      </x:c>
      <x:c r="C101" s="5" t="str">
        <x:v>Stockholm, Sweden</x:v>
      </x:c>
      <x:c r="D101" s="5" t="str">
        <x:v>Premature Infant Treatments</x:v>
      </x:c>
      <x:c r="E101" s="5" t="str">
        <x:v>SEK 0M (Clinical stage)</x:v>
      </x:c>
      <x:c r="F101" s="5" t="str">
        <x:v>SEK 112.4M</x:v>
      </x:c>
      <x:c r="G101" s="5" t="str">
        <x:v>SEK</x:v>
      </x:c>
      <x:c r="H101" s="5" t="str">
        <x:v>FY2023/24</x:v>
      </x:c>
      <x:c r="I101" s="5" t="str">
        <x:v>Listed (Nasdaq Stockholm: IBT B); IBP-9414 phase 3 drug for necrotizing enterocolitis in preterm infants</x:v>
      </x:c>
      <x:c r="J101" s="5" t="n">
        <x:v>1</x:v>
      </x:c>
      <x:c r="K101" s="5" t="str">
        <x:v>Listed (Nasdaq: IBT B); Package B (Phase III neonatal clinical trial enrollment speedup)</x:v>
      </x:c>
      <x:c r="L101" s="5" t="str">
        <x:v>No structural discrepancy identified</x:v>
      </x:c>
      <x:c r="M101" s="5" t="str">
        <x:v>UNVERIFIED financial claims</x:v>
      </x:c>
      <x:c r="O101" t="str">
        <x:v>https://docs.google.com/spreadsheets/d/1s0pVuA2KPyIdOWL77IS8N2FFcZNPbZvS55Ys9Wkukfo/edit#gid=1633792910&amp;range=A95:H95</x:v>
      </x:c>
    </x:row>
    <x:row r="102" ht="39" customHeight="1">
      <x:c r="A102" s="5" t="n">
        <x:v>96</x:v>
      </x:c>
      <x:c r="B102" s="5" t="str">
        <x:v>Mendus</x:v>
      </x:c>
      <x:c r="C102" s="5" t="str">
        <x:v>Stockholm, Sweden</x:v>
      </x:c>
      <x:c r="D102" s="5" t="str">
        <x:v>Cell Therapy for Immuno-Oncology</x:v>
      </x:c>
      <x:c r="E102" s="5" t="str">
        <x:v>SEK 0M (Clinical stage)</x:v>
      </x:c>
      <x:c r="F102" s="5" t="str">
        <x:v>SEK 114.2M</x:v>
      </x:c>
      <x:c r="G102" s="5" t="str">
        <x:v>SEK</x:v>
      </x:c>
      <x:c r="H102" s="5" t="str">
        <x:v>FY2023/24</x:v>
      </x:c>
      <x:c r="I102" s="5" t="str">
        <x:v>Listed (Nasdaq Stockholm: IMMU); Vididencel allogeneic dendritic cell therapy for cancer maintenance</x:v>
      </x:c>
      <x:c r="J102" s="5" t="n">
        <x:v>1</x:v>
      </x:c>
      <x:c r="K102" s="5" t="str">
        <x:v>Listed (Nasdaq: IMMU); Package B (AML cancer survival clinical trial data analytics)</x:v>
      </x:c>
      <x:c r="L102" s="5" t="str">
        <x:v>No structural discrepancy identified</x:v>
      </x:c>
      <x:c r="M102" s="5" t="str">
        <x:v>UNVERIFIED financial claims</x:v>
      </x:c>
      <x:c r="O102" t="str">
        <x:v>https://docs.google.com/spreadsheets/d/1s0pVuA2KPyIdOWL77IS8N2FFcZNPbZvS55Ys9Wkukfo/edit#gid=1633792910&amp;range=A96:H96</x:v>
      </x:c>
    </x:row>
    <x:row r="103" ht="39" customHeight="1">
      <x:c r="A103" s="5" t="n">
        <x:v>97</x:v>
      </x:c>
      <x:c r="B103" s="5" t="str">
        <x:v>Menten AI</x:v>
      </x:c>
      <x:c r="C103" s="5" t="str">
        <x:v>Stockholm, Sweden</x:v>
      </x:c>
      <x:c r="D103" s="5" t="str">
        <x:v>Generative AI for Peptide Drug Design</x:v>
      </x:c>
      <x:c r="E103" s="5" t="str">
        <x:v>USD 2.0M est.</x:v>
      </x:c>
      <x:c r="F103" s="5" t="str">
        <x:v>USD 7.5M</x:v>
      </x:c>
      <x:c r="G103" s="5" t="str">
        <x:v>USD</x:v>
      </x:c>
      <x:c r="H103" s="5" t="str">
        <x:v>FY2023/24</x:v>
      </x:c>
      <x:c r="I103" s="5" t="str">
        <x:v>Private AI &amp; quantum computing peptide drug discovery platform (collaborations with Swedish biopharma)</x:v>
      </x:c>
      <x:c r="J103" s="5" t="n">
        <x:v>1</x:v>
      </x:c>
      <x:c r="K103" s="5" t="str">
        <x:v>Private AI platform; Package E (Algorithmic reproducibility &amp; pharma IP documentation)</x:v>
      </x:c>
      <x:c r="L103" s="5" t="str">
        <x:v>No structural discrepancy identified</x:v>
      </x:c>
      <x:c r="M103" s="5" t="str">
        <x:v>UNVERIFIED financial claims</x:v>
      </x:c>
      <x:c r="O103" t="str">
        <x:v>https://docs.google.com/spreadsheets/d/1s0pVuA2KPyIdOWL77IS8N2FFcZNPbZvS55Ys9Wkukfo/edit#gid=1633792910&amp;range=A97:H97</x:v>
      </x:c>
    </x:row>
    <x:row r="104" ht="39" customHeight="1">
      <x:c r="A104" s="5" t="n">
        <x:v>98</x:v>
      </x:c>
      <x:c r="B104" s="5" t="str">
        <x:v>Modus Therapeutics</x:v>
      </x:c>
      <x:c r="C104" s="5" t="str">
        <x:v>Stockholm, Sweden</x:v>
      </x:c>
      <x:c r="D104" s="5" t="str">
        <x:v>Heparin Derivatives</x:v>
      </x:c>
      <x:c r="E104" s="5" t="str">
        <x:v>SEK 0M (Clinical stage)</x:v>
      </x:c>
      <x:c r="F104" s="5" t="str">
        <x:v>SEK 24.6M</x:v>
      </x:c>
      <x:c r="G104" s="5" t="str">
        <x:v>SEK</x:v>
      </x:c>
      <x:c r="H104" s="5" t="str">
        <x:v>FY2023/24</x:v>
      </x:c>
      <x:c r="I104" s="5" t="str">
        <x:v>Listed (Nasdaq First North: MODX); Sevuparin low molecular weight heparin for sepsis &amp; inflammation</x:v>
      </x:c>
      <x:c r="J104" s="5" t="n">
        <x:v>1</x:v>
      </x:c>
      <x:c r="K104" s="5" t="str">
        <x:v>Listed (First North: MODX); Package B (ICU sepsis trial patient accrual monitoring)</x:v>
      </x:c>
      <x:c r="L104" s="5" t="str">
        <x:v>No structural discrepancy identified</x:v>
      </x:c>
      <x:c r="M104" s="5" t="str">
        <x:v>UNVERIFIED financial claims</x:v>
      </x:c>
      <x:c r="O104" t="str">
        <x:v>https://docs.google.com/spreadsheets/d/1s0pVuA2KPyIdOWL77IS8N2FFcZNPbZvS55Ys9Wkukfo/edit#gid=1633792910&amp;range=A98:H98</x:v>
      </x:c>
    </x:row>
    <x:row r="105" ht="39" customHeight="1">
      <x:c r="A105" s="5" t="n">
        <x:v>99</x:v>
      </x:c>
      <x:c r="B105" s="5" t="str">
        <x:v>Neogap Therapeutics</x:v>
      </x:c>
      <x:c r="C105" s="5" t="str">
        <x:v>Stockholm, Sweden</x:v>
      </x:c>
      <x:c r="D105" s="5" t="str">
        <x:v>Personalized Tumor Trained Lymphocytes</x:v>
      </x:c>
      <x:c r="E105" s="5" t="str">
        <x:v>SEK 0M (Clinical stage)</x:v>
      </x:c>
      <x:c r="F105" s="5" t="str">
        <x:v>SEK 42.0M</x:v>
      </x:c>
      <x:c r="G105" s="5" t="str">
        <x:v>SEK</x:v>
      </x:c>
      <x:c r="H105" s="5" t="str">
        <x:v>FY2024</x:v>
      </x:c>
      <x:c r="I105" s="5" t="str">
        <x:v>Private personalized cancer immunotherapy; raised SEK 87M in Feb 2026 led by Sciety</x:v>
      </x:c>
      <x:c r="J105" s="5" t="n">
        <x:v>1</x:v>
      </x:c>
      <x:c r="K105" s="5" t="str">
        <x:v>Private (SEK 87M funding); Package B &amp; E (Personalized neoantigen algorithm verification)</x:v>
      </x:c>
      <x:c r="L105" s="5" t="str">
        <x:v>No structural discrepancy identified</x:v>
      </x:c>
      <x:c r="M105" s="5" t="str">
        <x:v>UNVERIFIED financial claims</x:v>
      </x:c>
      <x:c r="O105" t="str">
        <x:v>https://docs.google.com/spreadsheets/d/1s0pVuA2KPyIdOWL77IS8N2FFcZNPbZvS55Ys9Wkukfo/edit#gid=1633792910&amp;range=A99:H99</x:v>
      </x:c>
    </x:row>
    <x:row r="106" ht="39" customHeight="1">
      <x:c r="A106" s="5" t="n">
        <x:v>100</x:v>
      </x:c>
      <x:c r="B106" s="5" t="str">
        <x:v>NuvoAir</x:v>
      </x:c>
      <x:c r="C106" s="5" t="str">
        <x:v>Stockholm, Sweden</x:v>
      </x:c>
      <x:c r="D106" s="5" t="str">
        <x:v>Digital Respiratory Monitoring</x:v>
      </x:c>
      <x:c r="E106" s="5" t="str">
        <x:v>USD 8.5M est. (~SEK 88M)</x:v>
      </x:c>
      <x:c r="F106" s="5" t="str">
        <x:v>USD 10.2M (~SEK 106M)</x:v>
      </x:c>
      <x:c r="G106" s="5" t="str">
        <x:v>USD</x:v>
      </x:c>
      <x:c r="H106" s="5" t="str">
        <x:v>FY2023/24</x:v>
      </x:c>
      <x:c r="I106" s="5" t="str">
        <x:v>Private digital health &amp; virtual clinic for complex respiratory conditions; raised $28M+ funding</x:v>
      </x:c>
      <x:c r="J106" s="5" t="n">
        <x:v>1</x:v>
      </x:c>
      <x:c r="K106" s="5" t="str">
        <x:v>Private ($28M funding); Package A &amp; E (Decentralized clinical trial remote monitoring DaaS)</x:v>
      </x:c>
      <x:c r="L106" s="5" t="str">
        <x:v>No structural discrepancy identified</x:v>
      </x:c>
      <x:c r="M106" s="5" t="str">
        <x:v>UNVERIFIED financial claims</x:v>
      </x:c>
      <x:c r="O106" t="str">
        <x:v>https://docs.google.com/spreadsheets/d/1s0pVuA2KPyIdOWL77IS8N2FFcZNPbZvS55Ys9Wkukfo/edit#gid=1633792910&amp;range=A100:H100</x:v>
      </x:c>
    </x:row>
    <x:row r="107" ht="39" customHeight="1">
      <x:c r="A107" s="5" t="n">
        <x:v>101</x:v>
      </x:c>
      <x:c r="B107" s="5" t="str">
        <x:v>Octapharma</x:v>
      </x:c>
      <x:c r="C107" s="5" t="str">
        <x:v>Stockholm, Sweden</x:v>
      </x:c>
      <x:c r="D107" s="5" t="str">
        <x:v>Plasma Products</x:v>
      </x:c>
      <x:c r="E107" s="5" t="str">
        <x:v>EUR 3,466.0M (Octapharma AB ~SEK 4,600M)</x:v>
      </x:c>
      <x:c r="F107" s="5" t="str">
        <x:v>EUR 108.0M (~SEK 1,220M)</x:v>
      </x:c>
      <x:c r="G107" s="5" t="str">
        <x:v>EUR</x:v>
      </x:c>
      <x:c r="H107" s="5" t="str">
        <x:v>FY2024</x:v>
      </x:c>
      <x:c r="I107" s="5" t="str">
        <x:v>Private global human protein fractionation and recombinant biopharma; large Stockholm production plant</x:v>
      </x:c>
      <x:c r="J107" s="5" t="n">
        <x:v>1</x:v>
      </x:c>
      <x:c r="K107" s="5" t="str">
        <x:v>Private biopharma flagship; Package D (Plasma yield fractionation batch optimization)</x:v>
      </x:c>
      <x:c r="L107" s="5" t="str">
        <x:v>No structural discrepancy identified</x:v>
      </x:c>
      <x:c r="M107" s="5" t="str">
        <x:v>UNVERIFIED financial claims</x:v>
      </x:c>
      <x:c r="O107" t="str">
        <x:v>https://docs.google.com/spreadsheets/d/1s0pVuA2KPyIdOWL77IS8N2FFcZNPbZvS55Ys9Wkukfo/edit#gid=1633792910&amp;range=A101:H101</x:v>
      </x:c>
    </x:row>
    <x:row r="108" ht="39" customHeight="1">
      <x:c r="A108" s="5" t="n">
        <x:v>102</x:v>
      </x:c>
      <x:c r="B108" s="5" t="str">
        <x:v>Oncopeptides</x:v>
      </x:c>
      <x:c r="C108" s="5" t="str">
        <x:v>Stockholm, Sweden</x:v>
      </x:c>
      <x:c r="D108" s="5" t="str">
        <x:v>Cancer Treatments</x:v>
      </x:c>
      <x:c r="E108" s="5" t="str">
        <x:v>SEK 31.65M (SEK 35.22M in FY2023)</x:v>
      </x:c>
      <x:c r="F108" s="5" t="str">
        <x:v>SEK 184.2M</x:v>
      </x:c>
      <x:c r="G108" s="5" t="str">
        <x:v>SEK</x:v>
      </x:c>
      <x:c r="H108" s="5" t="str">
        <x:v>FY2024</x:v>
      </x:c>
      <x:c r="I108" s="5" t="str">
        <x:v>Listed (Nasdaq Stockholm: ONCO); Pepaxti peptide-drug conjugate for relapsed/refractory multiple myeloma</x:v>
      </x:c>
      <x:c r="J108" s="5" t="n">
        <x:v>1</x:v>
      </x:c>
      <x:c r="K108" s="5" t="str">
        <x:v>Listed (Nasdaq: ONCO); Package C (European hematology hospital launch analytics)</x:v>
      </x:c>
      <x:c r="L108" s="5" t="str">
        <x:v>No structural discrepancy identified</x:v>
      </x:c>
      <x:c r="M108" s="5" t="str">
        <x:v>UNVERIFIED financial claims</x:v>
      </x:c>
      <x:c r="O108" t="str">
        <x:v>https://docs.google.com/spreadsheets/d/1s0pVuA2KPyIdOWL77IS8N2FFcZNPbZvS55Ys9Wkukfo/edit#gid=1633792910&amp;range=A102:H102</x:v>
      </x:c>
    </x:row>
    <x:row r="109" ht="78" customHeight="1">
      <x:c r="A109" s="5" t="n">
        <x:v>103</x:v>
      </x:c>
      <x:c r="B109" s="5" t="str">
        <x:v>Optimapharm</x:v>
      </x:c>
      <x:c r="C109" s="5" t="str">
        <x:v>Stockholm, Sweden</x:v>
      </x:c>
      <x:c r="D109" s="5" t="str">
        <x:v>A CRO built to deliver faster Clinical Trials. Optimapharm is a global CRO with integrated therapeutic platforms and 2x NA/EU reach</x:v>
      </x:c>
      <x:c r="E109" s="5" t="str">
        <x:v>EUR 52.0M est. (~SEK 590M)</x:v>
      </x:c>
      <x:c r="F109" s="5" t="str">
        <x:v>EUR 4.8M (~SEK 55M)</x:v>
      </x:c>
      <x:c r="G109" s="5" t="str">
        <x:v>EUR</x:v>
      </x:c>
      <x:c r="H109" s="5" t="str">
        <x:v>FY2023/24</x:v>
      </x:c>
      <x:c r="I109" s="5" t="str">
        <x:v>Private full-service European CRO with clinical operations hub in Stockholm (400+ staff)</x:v>
      </x:c>
      <x:c r="J109" s="5" t="n">
        <x:v>1</x:v>
      </x:c>
      <x:c r="K109" s="5" t="str">
        <x:v>Private CRO operations; Co-Opetition (Subcontracting 2S AI patient recruitment engine)</x:v>
      </x:c>
      <x:c r="L109" s="5" t="str">
        <x:v>No structural discrepancy identified</x:v>
      </x:c>
      <x:c r="M109" s="5" t="str">
        <x:v>UNVERIFIED financial claims</x:v>
      </x:c>
      <x:c r="O109" t="str">
        <x:v>https://docs.google.com/spreadsheets/d/1s0pVuA2KPyIdOWL77IS8N2FFcZNPbZvS55Ys9Wkukfo/edit#gid=1633792910&amp;range=A103:H103</x:v>
      </x:c>
    </x:row>
    <x:row r="110" ht="39" customHeight="1">
      <x:c r="A110" s="5" t="n">
        <x:v>104</x:v>
      </x:c>
      <x:c r="B110" s="5" t="str">
        <x:v>Peptonic Medical</x:v>
      </x:c>
      <x:c r="C110" s="5" t="str">
        <x:v>Stockholm, Sweden</x:v>
      </x:c>
      <x:c r="D110" s="5" t="str">
        <x:v>OTC Vaginal Atrophy Treatment</x:v>
      </x:c>
      <x:c r="E110" s="5" t="str">
        <x:v>SEK 26.9M</x:v>
      </x:c>
      <x:c r="F110" s="5" t="str">
        <x:v>SEK 18.2M</x:v>
      </x:c>
      <x:c r="G110" s="5" t="str">
        <x:v>SEK</x:v>
      </x:c>
      <x:c r="H110" s="5" t="str">
        <x:v>FY2023</x:v>
      </x:c>
      <x:c r="I110" s="5" t="str">
        <x:v>Listed (Spotlight: PMED); women's intimate healthcare; VagiVital non-hormonal treatment for vaginal atrophy</x:v>
      </x:c>
      <x:c r="J110" s="5" t="n">
        <x:v>1</x:v>
      </x:c>
      <x:c r="K110" s="5" t="str">
        <x:v>Listed (Spotlight: PMED); Package C (Pharmacy OTC retail channel distribution tracking)</x:v>
      </x:c>
      <x:c r="L110" s="5" t="str">
        <x:v>No structural discrepancy identified</x:v>
      </x:c>
      <x:c r="M110" s="5" t="str">
        <x:v>UNVERIFIED financial claims</x:v>
      </x:c>
      <x:c r="O110" t="str">
        <x:v>https://docs.google.com/spreadsheets/d/1s0pVuA2KPyIdOWL77IS8N2FFcZNPbZvS55Ys9Wkukfo/edit#gid=1633792910&amp;range=A104:H104</x:v>
      </x:c>
    </x:row>
    <x:row r="111" ht="39" customHeight="1">
      <x:c r="A111" s="5" t="n">
        <x:v>105</x:v>
      </x:c>
      <x:c r="B111" s="5" t="str">
        <x:v>Pharmadule Morimatsu</x:v>
      </x:c>
      <x:c r="C111" s="5" t="str">
        <x:v>Stockholm, Sweden</x:v>
      </x:c>
      <x:c r="D111" s="5" t="str">
        <x:v>Modular Pharma Manufacturing Facilities</x:v>
      </x:c>
      <x:c r="E111" s="5" t="str">
        <x:v>SEK 520.0M est. (Morimatsu RMB 4,850M)</x:v>
      </x:c>
      <x:c r="F111" s="5" t="str">
        <x:v>SEK 28.0M</x:v>
      </x:c>
      <x:c r="G111" s="5" t="str">
        <x:v>SEK</x:v>
      </x:c>
      <x:c r="H111" s="5" t="str">
        <x:v>FY2023/24</x:v>
      </x:c>
      <x:c r="I111" s="5" t="str">
        <x:v>Subsidiary of Morimatsu International (HKEX: 2155); global pioneer in modular pharmaceutical cleanrooms</x:v>
      </x:c>
      <x:c r="J111" s="5" t="n">
        <x:v>1</x:v>
      </x:c>
      <x:c r="K111" s="5" t="str">
        <x:v>Morimatsu (HKEX: 2155); Package D (Modular facility FAT/SAT digital commissioning)</x:v>
      </x:c>
      <x:c r="L111" s="5" t="str">
        <x:v>No structural discrepancy identified</x:v>
      </x:c>
      <x:c r="M111" s="5" t="str">
        <x:v>UNVERIFIED financial claims</x:v>
      </x:c>
      <x:c r="O111" t="str">
        <x:v>https://docs.google.com/spreadsheets/d/1s0pVuA2KPyIdOWL77IS8N2FFcZNPbZvS55Ys9Wkukfo/edit#gid=1633792910&amp;range=A105:H105</x:v>
      </x:c>
    </x:row>
    <x:row r="112" ht="39" customHeight="1">
      <x:c r="A112" s="5" t="n">
        <x:v>106</x:v>
      </x:c>
      <x:c r="B112" s="5" t="str">
        <x:v>Pixelgen Technologies</x:v>
      </x:c>
      <x:c r="C112" s="5" t="str">
        <x:v>Stockholm, Sweden</x:v>
      </x:c>
      <x:c r="D112" s="5" t="str">
        <x:v>3-dimensional spatial mapping of cell surface proteins</x:v>
      </x:c>
      <x:c r="E112" s="5" t="str">
        <x:v>SEK 7.5M est.</x:v>
      </x:c>
      <x:c r="F112" s="5" t="str">
        <x:v>SEK 65.0M</x:v>
      </x:c>
      <x:c r="G112" s="5" t="str">
        <x:v>SEK</x:v>
      </x:c>
      <x:c r="H112" s="5" t="str">
        <x:v>FY2024</x:v>
      </x:c>
      <x:c r="I112" s="5" t="str">
        <x:v>Private Molecular Pixelation 3D spatial proteomics; raised $15.5M Series B (2026) and €12.5M EIC</x:v>
      </x:c>
      <x:c r="J112" s="5" t="n">
        <x:v>1</x:v>
      </x:c>
      <x:c r="K112" s="5" t="str">
        <x:v>Private ($15.5M Series B); Package E (High-dimensional spatial proteomics cloud backend)</x:v>
      </x:c>
      <x:c r="L112" s="5" t="str">
        <x:v>No structural discrepancy identified</x:v>
      </x:c>
      <x:c r="M112" s="5" t="str">
        <x:v>UNVERIFIED financial claims</x:v>
      </x:c>
      <x:c r="O112" t="str">
        <x:v>https://docs.google.com/spreadsheets/d/1s0pVuA2KPyIdOWL77IS8N2FFcZNPbZvS55Ys9Wkukfo/edit#gid=1633792910&amp;range=A106:H106</x:v>
      </x:c>
    </x:row>
    <x:row r="113" ht="39" customHeight="1">
      <x:c r="A113" s="5" t="n">
        <x:v>107</x:v>
      </x:c>
      <x:c r="B113" s="5" t="str">
        <x:v>RaySearch Laboratories</x:v>
      </x:c>
      <x:c r="C113" s="5" t="str">
        <x:v>Stockholm, Sweden</x:v>
      </x:c>
      <x:c r="D113" s="5" t="str">
        <x:v>Cancer Research Software</x:v>
      </x:c>
      <x:c r="E113" s="5" t="str">
        <x:v>SEK 1,192.0M (SEK 1,022.2M in FY2023)</x:v>
      </x:c>
      <x:c r="F113" s="5" t="str">
        <x:v>SEK 174.5M</x:v>
      </x:c>
      <x:c r="G113" s="5" t="str">
        <x:v>SEK</x:v>
      </x:c>
      <x:c r="H113" s="5" t="str">
        <x:v>FY2024</x:v>
      </x:c>
      <x:c r="I113" s="5" t="str">
        <x:v>Listed (Nasdaq Stockholm: RAY B); RayStation radiation treatment planning software &amp; RayCare OIS</x:v>
      </x:c>
      <x:c r="J113" s="5" t="n">
        <x:v>1</x:v>
      </x:c>
      <x:c r="K113" s="5" t="str">
        <x:v>Listed (Nasdaq: RAY B); Package A &amp; E (Oncology clinic software adoption &amp; AI QA files)</x:v>
      </x:c>
      <x:c r="L113" s="5" t="str">
        <x:v>No structural discrepancy identified</x:v>
      </x:c>
      <x:c r="M113" s="5" t="str">
        <x:v>UNVERIFIED financial claims</x:v>
      </x:c>
      <x:c r="O113" t="str">
        <x:v>https://docs.google.com/spreadsheets/d/1s0pVuA2KPyIdOWL77IS8N2FFcZNPbZvS55Ys9Wkukfo/edit#gid=1633792910&amp;range=A107:H107</x:v>
      </x:c>
    </x:row>
    <x:row r="114" ht="65" customHeight="1">
      <x:c r="A114" s="5" t="n">
        <x:v>108</x:v>
      </x:c>
      <x:c r="B114" s="5" t="str">
        <x:v>Recipharm</x:v>
      </x:c>
      <x:c r="C114" s="5" t="str">
        <x:v>Stockholm, Sweden</x:v>
      </x:c>
      <x:c r="D114" s="5" t="str">
        <x:v>Contract development and manufacturing partner to the pharmaceutical and biopharmaceutical industries.</x:v>
      </x:c>
      <x:c r="E114" s="5" t="str">
        <x:v>SEK 12,400.0M est. (~EUR 1.1B)</x:v>
      </x:c>
      <x:c r="F114" s="5" t="str">
        <x:v>SEK 380.0M est.</x:v>
      </x:c>
      <x:c r="G114" s="5" t="str">
        <x:v>SEK</x:v>
      </x:c>
      <x:c r="H114" s="5" t="str">
        <x:v>FY2023/24</x:v>
      </x:c>
      <x:c r="I114" s="5" t="str">
        <x:v>Private global top-5 CDMO; acquired by EQT / Nichepharm; development and manufacturing of sterile injectables</x:v>
      </x:c>
      <x:c r="J114" s="5" t="n">
        <x:v>2</x:v>
      </x:c>
      <x:c r="K114" s="5" t="str">
        <x:v>EQT owned; Package D (Multisite CDMO batch turnaround &amp; changeover optimization)</x:v>
      </x:c>
      <x:c r="L114" s="5" t="str">
        <x:v>Duplicate company/location key: Stockholm, Sweden. Distinct sites not established; retain both source records.</x:v>
      </x:c>
      <x:c r="M114" s="5" t="str">
        <x:v>UNVERIFIED financial claims</x:v>
      </x:c>
      <x:c r="O114" t="str">
        <x:v>https://docs.google.com/spreadsheets/d/1s0pVuA2KPyIdOWL77IS8N2FFcZNPbZvS55Ys9Wkukfo/edit#gid=1633792910&amp;range=A108:H108</x:v>
      </x:c>
    </x:row>
    <x:row r="115" ht="65" customHeight="1">
      <x:c r="A115" s="5" t="n">
        <x:v>109</x:v>
      </x:c>
      <x:c r="B115" s="5" t="str">
        <x:v>Recipharm</x:v>
      </x:c>
      <x:c r="C115" s="5" t="str">
        <x:v>Stockholm, Sweden</x:v>
      </x:c>
      <x:c r="D115" s="5" t="str">
        <x:v>Contract development and manufacturing partner to the pharmaceutical and biopharmaceutical industries.</x:v>
      </x:c>
      <x:c r="E115" s="5" t="str">
        <x:v>SEK 12,400.0M est. (~EUR 1.1B)</x:v>
      </x:c>
      <x:c r="F115" s="5" t="str">
        <x:v>SEK 380.0M est.</x:v>
      </x:c>
      <x:c r="G115" s="5" t="str">
        <x:v>SEK</x:v>
      </x:c>
      <x:c r="H115" s="5" t="str">
        <x:v>FY2023/24</x:v>
      </x:c>
      <x:c r="I115" s="5" t="str">
        <x:v>Private global top-5 CDMO; acquired by EQT / Nichepharm; development and manufacturing of sterile injectables</x:v>
      </x:c>
      <x:c r="J115" s="5" t="n">
        <x:v>2</x:v>
      </x:c>
      <x:c r="K115" s="5" t="str">
        <x:v>EQT owned; Package D (Multisite CDMO batch turnaround &amp; changeover optimization)</x:v>
      </x:c>
      <x:c r="L115" s="5" t="str">
        <x:v>Duplicate company/location key: Stockholm, Sweden. Distinct sites not established; retain both source records.</x:v>
      </x:c>
      <x:c r="M115" s="5" t="str">
        <x:v>UNVERIFIED financial claims</x:v>
      </x:c>
      <x:c r="O115" t="str">
        <x:v>https://docs.google.com/spreadsheets/d/1s0pVuA2KPyIdOWL77IS8N2FFcZNPbZvS55Ys9Wkukfo/edit#gid=1633792910&amp;range=A109:H109</x:v>
      </x:c>
    </x:row>
    <x:row r="116" ht="39" customHeight="1">
      <x:c r="A116" s="5" t="n">
        <x:v>110</x:v>
      </x:c>
      <x:c r="B116" s="5" t="str">
        <x:v>Salipro Biotech</x:v>
      </x:c>
      <x:c r="C116" s="5" t="str">
        <x:v>Stockholm, Sweden</x:v>
      </x:c>
      <x:c r="D116" s="5" t="str">
        <x:v>Membrane Protein Stabilization Technology</x:v>
      </x:c>
      <x:c r="E116" s="5" t="str">
        <x:v>SEK 35.0M</x:v>
      </x:c>
      <x:c r="F116" s="5" t="str">
        <x:v>SEK 24.0M</x:v>
      </x:c>
      <x:c r="G116" s="5" t="str">
        <x:v>SEK</x:v>
      </x:c>
      <x:c r="H116" s="5" t="str">
        <x:v>FY2023/24</x:v>
      </x:c>
      <x:c r="I116" s="5" t="str">
        <x:v>Private; Direct MX membrane protein stabilization technology; partnering with Boehringer Ingelheim &amp; Sanofi</x:v>
      </x:c>
      <x:c r="J116" s="5" t="n">
        <x:v>1</x:v>
      </x:c>
      <x:c r="K116" s="5" t="str">
        <x:v>Partnered with Sanofi; Package B (Pharma collaboration data management portal)</x:v>
      </x:c>
      <x:c r="L116" s="5" t="str">
        <x:v>No structural discrepancy identified</x:v>
      </x:c>
      <x:c r="M116" s="5" t="str">
        <x:v>UNVERIFIED financial claims</x:v>
      </x:c>
      <x:c r="O116" t="str">
        <x:v>https://docs.google.com/spreadsheets/d/1s0pVuA2KPyIdOWL77IS8N2FFcZNPbZvS55Ys9Wkukfo/edit#gid=1633792910&amp;range=A110:H110</x:v>
      </x:c>
    </x:row>
    <x:row r="117" ht="39" customHeight="1">
      <x:c r="A117" s="5" t="n">
        <x:v>111</x:v>
      </x:c>
      <x:c r="B117" s="5" t="str">
        <x:v>Scibase</x:v>
      </x:c>
      <x:c r="C117" s="5" t="str">
        <x:v>Stockholm, Sweden</x:v>
      </x:c>
      <x:c r="D117" s="5" t="str">
        <x:v>Complementary Information for Melanoma Detection</x:v>
      </x:c>
      <x:c r="E117" s="5" t="str">
        <x:v>SEK 29.71M</x:v>
      </x:c>
      <x:c r="F117" s="5" t="str">
        <x:v>SEK 38.6M</x:v>
      </x:c>
      <x:c r="G117" s="5" t="str">
        <x:v>SEK</x:v>
      </x:c>
      <x:c r="H117" s="5" t="str">
        <x:v>FY2024</x:v>
      </x:c>
      <x:c r="I117" s="5" t="str">
        <x:v>Listed (Nasdaq First North: SCIB); Nevisense electrical impedance spectroscopy for melanoma &amp; skin barrier</x:v>
      </x:c>
      <x:c r="J117" s="5" t="n">
        <x:v>1</x:v>
      </x:c>
      <x:c r="K117" s="5" t="str">
        <x:v>Listed (First North: SCIB); Package A (Dermatology clinic reimbursement economics model)</x:v>
      </x:c>
      <x:c r="L117" s="5" t="str">
        <x:v>No structural discrepancy identified</x:v>
      </x:c>
      <x:c r="M117" s="5" t="str">
        <x:v>UNVERIFIED financial claims</x:v>
      </x:c>
      <x:c r="O117" t="str">
        <x:v>https://docs.google.com/spreadsheets/d/1s0pVuA2KPyIdOWL77IS8N2FFcZNPbZvS55Ys9Wkukfo/edit#gid=1633792910&amp;range=A111:H111</x:v>
      </x:c>
    </x:row>
    <x:row r="118" ht="39" customHeight="1">
      <x:c r="A118" s="5" t="n">
        <x:v>112</x:v>
      </x:c>
      <x:c r="B118" s="5" t="str">
        <x:v>SHL Medical</x:v>
      </x:c>
      <x:c r="C118" s="5" t="str">
        <x:v>Stockholm, Sweden</x:v>
      </x:c>
      <x:c r="D118" s="5" t="str">
        <x:v>Medical Device assembly, labeling, packaging</x:v>
      </x:c>
      <x:c r="E118" s="5" t="str">
        <x:v>USD 720.0M est. (~SEK 7.5B)</x:v>
      </x:c>
      <x:c r="F118" s="5" t="str">
        <x:v>USD 58.0M (~SEK 600M)</x:v>
      </x:c>
      <x:c r="G118" s="5" t="str">
        <x:v>USD</x:v>
      </x:c>
      <x:c r="H118" s="5" t="str">
        <x:v>FY2023/24</x:v>
      </x:c>
      <x:c r="I118" s="5" t="str">
        <x:v>Private global autoinjector pioneer; hundreds of millions of units delivered; major design &amp; assembly in Stockholm</x:v>
      </x:c>
      <x:c r="J118" s="5" t="n">
        <x:v>1</x:v>
      </x:c>
      <x:c r="K118" s="5" t="str">
        <x:v>EQT backed; Package A &amp; D (Device assembly line yield &amp; automated GxP documentation)</x:v>
      </x:c>
      <x:c r="L118" s="5" t="str">
        <x:v>No structural discrepancy identified</x:v>
      </x:c>
      <x:c r="M118" s="5" t="str">
        <x:v>UNVERIFIED financial claims</x:v>
      </x:c>
      <x:c r="O118" t="str">
        <x:v>https://docs.google.com/spreadsheets/d/1s0pVuA2KPyIdOWL77IS8N2FFcZNPbZvS55Ys9Wkukfo/edit#gid=1633792910&amp;range=A112:H112</x:v>
      </x:c>
    </x:row>
    <x:row r="119" ht="39" customHeight="1">
      <x:c r="A119" s="5" t="n">
        <x:v>113</x:v>
      </x:c>
      <x:c r="B119" s="5" t="str">
        <x:v>Single Technologies</x:v>
      </x:c>
      <x:c r="C119" s="5" t="str">
        <x:v>Stockholm, Sweden</x:v>
      </x:c>
      <x:c r="D119" s="5" t="str">
        <x:v>Next-Gen Sequencing Platform</x:v>
      </x:c>
      <x:c r="E119" s="5" t="str">
        <x:v>SEK 21.2M</x:v>
      </x:c>
      <x:c r="F119" s="5" t="str">
        <x:v>SEK 52.0M</x:v>
      </x:c>
      <x:c r="G119" s="5" t="str">
        <x:v>SEK</x:v>
      </x:c>
      <x:c r="H119" s="5" t="str">
        <x:v>FY2024</x:v>
      </x:c>
      <x:c r="I119" s="5" t="str">
        <x:v>Private high-throughput 3D sequencing platform (Theta); secured €12.5M (SEK 170M) EIC funding</x:v>
      </x:c>
      <x:c r="J119" s="5" t="n">
        <x:v>1</x:v>
      </x:c>
      <x:c r="K119" s="5" t="str">
        <x:v>Private (€12.5M EIC); Package A &amp; E (Genomic sequencing hardware-to-cloud DaaS)</x:v>
      </x:c>
      <x:c r="L119" s="5" t="str">
        <x:v>No structural discrepancy identified</x:v>
      </x:c>
      <x:c r="M119" s="5" t="str">
        <x:v>UNVERIFIED financial claims</x:v>
      </x:c>
      <x:c r="O119" t="str">
        <x:v>https://docs.google.com/spreadsheets/d/1s0pVuA2KPyIdOWL77IS8N2FFcZNPbZvS55Ys9Wkukfo/edit#gid=1633792910&amp;range=A113:H113</x:v>
      </x:c>
    </x:row>
    <x:row r="120" ht="39" customHeight="1">
      <x:c r="A120" s="5" t="n">
        <x:v>114</x:v>
      </x:c>
      <x:c r="B120" s="5" t="str">
        <x:v>Swedish Orphan Biovitrum</x:v>
      </x:c>
      <x:c r="C120" s="5" t="str">
        <x:v>Stockholm, Sweden</x:v>
      </x:c>
      <x:c r="D120" s="5" t="str">
        <x:v>Biologics</x:v>
      </x:c>
      <x:c r="E120" s="5" t="str">
        <x:v>SEK 26,000.0M (SEK 26.0B; SEK 22.1B in FY23)</x:v>
      </x:c>
      <x:c r="F120" s="5" t="str">
        <x:v>SEK 3,650.0M (SEK 3.65B)</x:v>
      </x:c>
      <x:c r="G120" s="5" t="str">
        <x:v>SEK</x:v>
      </x:c>
      <x:c r="H120" s="5" t="str">
        <x:v>FY2024</x:v>
      </x:c>
      <x:c r="I120" s="5" t="str">
        <x:v>Sobi; listed (Nasdaq Stockholm: SOBI); Nordic biopharma flagship in rare disease hematology &amp; immunology</x:v>
      </x:c>
      <x:c r="J120" s="5" t="n">
        <x:v>1</x:v>
      </x:c>
      <x:c r="K120" s="5" t="str">
        <x:v>Listed (Nasdaq: SOBI); Package C (Merck-proven sales portal &amp; multi-country RWE models)</x:v>
      </x:c>
      <x:c r="L120" s="5" t="str">
        <x:v>No structural discrepancy identified</x:v>
      </x:c>
      <x:c r="M120" s="5" t="str">
        <x:v>UNVERIFIED financial claims</x:v>
      </x:c>
      <x:c r="O120" t="str">
        <x:v>https://docs.google.com/spreadsheets/d/1s0pVuA2KPyIdOWL77IS8N2FFcZNPbZvS55Ys9Wkukfo/edit#gid=1633792910&amp;range=A114:H114</x:v>
      </x:c>
    </x:row>
    <x:row r="121" ht="39" customHeight="1">
      <x:c r="A121" s="5" t="n">
        <x:v>115</x:v>
      </x:c>
      <x:c r="B121" s="5" t="str">
        <x:v>Tribune Therapeutics</x:v>
      </x:c>
      <x:c r="C121" s="5" t="str">
        <x:v>Stockholm, Sweden</x:v>
      </x:c>
      <x:c r="D121" s="5" t="str">
        <x:v>Therapies targeting CCN protein</x:v>
      </x:c>
      <x:c r="E121" s="5" t="str">
        <x:v>EUR 0M (Pre-clinical)</x:v>
      </x:c>
      <x:c r="F121" s="5" t="str">
        <x:v>EUR 4.5M (~SEK 50M)</x:v>
      </x:c>
      <x:c r="G121" s="5" t="str">
        <x:v>EUR</x:v>
      </x:c>
      <x:c r="H121" s="5" t="str">
        <x:v>FY2024</x:v>
      </x:c>
      <x:c r="I121" s="5" t="str">
        <x:v>Private biologics targeting CCN proteins for severe fibrotic disorders; raised €37M Series A in March 2025</x:v>
      </x:c>
      <x:c r="J121" s="5" t="n">
        <x:v>1</x:v>
      </x:c>
      <x:c r="K121" s="5" t="str">
        <x:v>Series A (€37M); Package B (Fibrosis translational biomarker data infrastructure)</x:v>
      </x:c>
      <x:c r="L121" s="5" t="str">
        <x:v>No structural discrepancy identified</x:v>
      </x:c>
      <x:c r="M121" s="5" t="str">
        <x:v>UNVERIFIED financial claims</x:v>
      </x:c>
      <x:c r="O121" t="str">
        <x:v>https://docs.google.com/spreadsheets/d/1s0pVuA2KPyIdOWL77IS8N2FFcZNPbZvS55Ys9Wkukfo/edit#gid=1633792910&amp;range=A115:H115</x:v>
      </x:c>
    </x:row>
    <x:row r="122" ht="39" customHeight="1">
      <x:c r="A122" s="5" t="n">
        <x:v>116</x:v>
      </x:c>
      <x:c r="B122" s="5" t="str">
        <x:v>Vicore Pharma</x:v>
      </x:c>
      <x:c r="C122" s="5" t="str">
        <x:v>Stockholm, Sweden</x:v>
      </x:c>
      <x:c r="D122" s="5" t="str">
        <x:v>Small Molecule</x:v>
      </x:c>
      <x:c r="E122" s="5" t="str">
        <x:v>SEK 8.4M</x:v>
      </x:c>
      <x:c r="F122" s="5" t="str">
        <x:v>SEK 264.2M</x:v>
      </x:c>
      <x:c r="G122" s="5" t="str">
        <x:v>SEK</x:v>
      </x:c>
      <x:c r="H122" s="5" t="str">
        <x:v>FY2024</x:v>
      </x:c>
      <x:c r="I122" s="5" t="str">
        <x:v>Listed (Nasdaq Stockholm: VICO); angiotensin II type 2 receptor agonists (ATRAGs) for IPF (ASPIRE study)</x:v>
      </x:c>
      <x:c r="J122" s="5" t="n">
        <x:v>1</x:v>
      </x:c>
      <x:c r="K122" s="5" t="str">
        <x:v>Listed (Nasdaq: VICO); Package B (ASPIRE Phase IIb trial milestone burn governance)</x:v>
      </x:c>
      <x:c r="L122" s="5" t="str">
        <x:v>No structural discrepancy identified</x:v>
      </x:c>
      <x:c r="M122" s="5" t="str">
        <x:v>UNVERIFIED financial claims</x:v>
      </x:c>
      <x:c r="O122" t="str">
        <x:v>https://docs.google.com/spreadsheets/d/1s0pVuA2KPyIdOWL77IS8N2FFcZNPbZvS55Ys9Wkukfo/edit#gid=1633792910&amp;range=A116:H116</x:v>
      </x:c>
    </x:row>
    <x:row r="123" ht="39" customHeight="1">
      <x:c r="A123" s="5" t="n">
        <x:v>117</x:v>
      </x:c>
      <x:c r="B123" s="5" t="str">
        <x:v>BioLamina</x:v>
      </x:c>
      <x:c r="C123" s="5" t="str">
        <x:v>Sundbyberg, Sweden</x:v>
      </x:c>
      <x:c r="D123" s="5" t="str">
        <x:v>Cell Culture Technologies</x:v>
      </x:c>
      <x:c r="E123" s="5" t="str">
        <x:v>SEK 95.0M est. ($9M)</x:v>
      </x:c>
      <x:c r="F123" s="5" t="str">
        <x:v>SEK 28.0M</x:v>
      </x:c>
      <x:c r="G123" s="5" t="str">
        <x:v>SEK</x:v>
      </x:c>
      <x:c r="H123" s="5" t="str">
        <x:v>FY2023/24</x:v>
      </x:c>
      <x:c r="I123" s="5" t="str">
        <x:v>Private cell culture matrix developer; human recombinant laminins; secured €20M EIB loan in 2026</x:v>
      </x:c>
      <x:c r="J123" s="5" t="n">
        <x:v>1</x:v>
      </x:c>
      <x:c r="K123" s="5" t="str">
        <x:v>Private (€20M EIB loan); Package D (Bioprocess consumable manufacturing scale-up)</x:v>
      </x:c>
      <x:c r="L123" s="5" t="str">
        <x:v>No structural discrepancy identified</x:v>
      </x:c>
      <x:c r="M123" s="5" t="str">
        <x:v>UNVERIFIED financial claims</x:v>
      </x:c>
      <x:c r="O123" t="str">
        <x:v>https://docs.google.com/spreadsheets/d/1s0pVuA2KPyIdOWL77IS8N2FFcZNPbZvS55Ys9Wkukfo/edit#gid=1633792910&amp;range=A117:H117</x:v>
      </x:c>
    </x:row>
    <x:row r="124" ht="39" customHeight="1">
      <x:c r="A124" s="5" t="n">
        <x:v>118</x:v>
      </x:c>
      <x:c r="B124" s="5" t="str">
        <x:v>Abera Bioscience</x:v>
      </x:c>
      <x:c r="C124" s="5" t="str">
        <x:v>Uppsala, Sweden</x:v>
      </x:c>
      <x:c r="D124" s="5" t="str">
        <x:v>Vaccine platform that can be decorated with multiple antigens</x:v>
      </x:c>
      <x:c r="E124" s="5" t="str">
        <x:v>SEK 0M (Pre-revenue)</x:v>
      </x:c>
      <x:c r="F124" s="5" t="str">
        <x:v>SEK 14.8M</x:v>
      </x:c>
      <x:c r="G124" s="5" t="str">
        <x:v>SEK</x:v>
      </x:c>
      <x:c r="H124" s="5" t="str">
        <x:v>FY2023/24</x:v>
      </x:c>
      <x:c r="I124" s="5" t="str">
        <x:v>Listed (Spotlight: ABERA); outer membrane vesicle mucosal vaccine platform (Ab-01.12)</x:v>
      </x:c>
      <x:c r="J124" s="5" t="n">
        <x:v>1</x:v>
      </x:c>
      <x:c r="K124" s="5" t="str">
        <x:v>Listed (Spotlight: ABERA); Package B (Mucosal vaccine trial site tracking)</x:v>
      </x:c>
      <x:c r="L124" s="5" t="str">
        <x:v>No structural discrepancy identified</x:v>
      </x:c>
      <x:c r="M124" s="5" t="str">
        <x:v>UNVERIFIED financial claims</x:v>
      </x:c>
      <x:c r="O124" t="str">
        <x:v>https://docs.google.com/spreadsheets/d/1s0pVuA2KPyIdOWL77IS8N2FFcZNPbZvS55Ys9Wkukfo/edit#gid=1633792910&amp;range=A118:H118</x:v>
      </x:c>
    </x:row>
    <x:row r="125" ht="39" customHeight="1">
      <x:c r="A125" s="5" t="n">
        <x:v>119</x:v>
      </x:c>
      <x:c r="B125" s="5" t="str">
        <x:v>Aurevia</x:v>
      </x:c>
      <x:c r="C125" s="5" t="str">
        <x:v>Uppsala, Sweden</x:v>
      </x:c>
      <x:c r="D125" s="5" t="str">
        <x:v>Clinical Research Organizations</x:v>
      </x:c>
      <x:c r="E125" s="5" t="str">
        <x:v>SEK 46.9M</x:v>
      </x:c>
      <x:c r="F125" s="5" t="str">
        <x:v>SEK 4.0M</x:v>
      </x:c>
      <x:c r="G125" s="5" t="str">
        <x:v>SEK</x:v>
      </x:c>
      <x:c r="H125" s="5" t="str">
        <x:v>FY2023</x:v>
      </x:c>
      <x:c r="I125" s="5" t="str">
        <x:v>Private CRO &amp; QARA provider; backed by Mérieux Equity Partners (independent spin from Labquality)</x:v>
      </x:c>
      <x:c r="J125" s="5" t="n">
        <x:v>1</x:v>
      </x:c>
      <x:c r="K125" s="5" t="str">
        <x:v>Mérieux Equity unit; Co-Opetition (Subcontracting 2S EU AI Act compliance engine)</x:v>
      </x:c>
      <x:c r="L125" s="5" t="str">
        <x:v>No structural discrepancy identified</x:v>
      </x:c>
      <x:c r="M125" s="5" t="str">
        <x:v>UNVERIFIED financial claims</x:v>
      </x:c>
      <x:c r="O125" t="str">
        <x:v>https://docs.google.com/spreadsheets/d/1s0pVuA2KPyIdOWL77IS8N2FFcZNPbZvS55Ys9Wkukfo/edit#gid=1633792910&amp;range=A119:H119</x:v>
      </x:c>
    </x:row>
    <x:row r="126" ht="39" customHeight="1">
      <x:c r="A126" s="5" t="n">
        <x:v>120</x:v>
      </x:c>
      <x:c r="B126" s="5" t="str">
        <x:v>Beactica Therapeutics</x:v>
      </x:c>
      <x:c r="C126" s="5" t="str">
        <x:v>Uppsala, Sweden</x:v>
      </x:c>
      <x:c r="D126" s="5" t="str">
        <x:v>Fragment-based drug discovery platform</x:v>
      </x:c>
      <x:c r="E126" s="5" t="str">
        <x:v>SEK 8.5M</x:v>
      </x:c>
      <x:c r="F126" s="5" t="str">
        <x:v>SEK 32.1M</x:v>
      </x:c>
      <x:c r="G126" s="5" t="str">
        <x:v>SEK</x:v>
      </x:c>
      <x:c r="H126" s="5" t="str">
        <x:v>FY2023/24</x:v>
      </x:c>
      <x:c r="I126" s="5" t="str">
        <x:v>Private clinical-stage drug discovery; fragment-based oncology (awarded €2.5M EIC grant)</x:v>
      </x:c>
      <x:c r="J126" s="5" t="n">
        <x:v>1</x:v>
      </x:c>
      <x:c r="K126" s="5" t="str">
        <x:v>Private (€2.5M EIC grant); Package B (Early stage drug discovery milestone pipeline)</x:v>
      </x:c>
      <x:c r="L126" s="5" t="str">
        <x:v>No structural discrepancy identified</x:v>
      </x:c>
      <x:c r="M126" s="5" t="str">
        <x:v>UNVERIFIED financial claims</x:v>
      </x:c>
      <x:c r="O126" t="str">
        <x:v>https://docs.google.com/spreadsheets/d/1s0pVuA2KPyIdOWL77IS8N2FFcZNPbZvS55Ys9Wkukfo/edit#gid=1633792910&amp;range=A120:H120</x:v>
      </x:c>
    </x:row>
    <x:row r="127" ht="39" customHeight="1">
      <x:c r="A127" s="5" t="n">
        <x:v>121</x:v>
      </x:c>
      <x:c r="B127" s="5" t="str">
        <x:v>Bio-Works</x:v>
      </x:c>
      <x:c r="C127" s="5" t="str">
        <x:v>Uppsala, Sweden</x:v>
      </x:c>
      <x:c r="D127" s="5" t="str">
        <x:v>Purification technologies</x:v>
      </x:c>
      <x:c r="E127" s="5" t="str">
        <x:v>SEK 43.9M</x:v>
      </x:c>
      <x:c r="F127" s="5" t="str">
        <x:v>SEK 16.8M</x:v>
      </x:c>
      <x:c r="G127" s="5" t="str">
        <x:v>SEK</x:v>
      </x:c>
      <x:c r="H127" s="5" t="str">
        <x:v>FY2023/24</x:v>
      </x:c>
      <x:c r="I127" s="5" t="str">
        <x:v>Listed (Nasdaq First North: BIOWKS); agarose-based chromatography resins for bioprocessing</x:v>
      </x:c>
      <x:c r="J127" s="5" t="n">
        <x:v>1</x:v>
      </x:c>
      <x:c r="K127" s="5" t="str">
        <x:v>Listed (First North: BIOWKS); Package D (Downstream resin batch manufacturing control)</x:v>
      </x:c>
      <x:c r="L127" s="5" t="str">
        <x:v>No structural discrepancy identified</x:v>
      </x:c>
      <x:c r="M127" s="5" t="str">
        <x:v>UNVERIFIED financial claims</x:v>
      </x:c>
      <x:c r="O127" t="str">
        <x:v>https://docs.google.com/spreadsheets/d/1s0pVuA2KPyIdOWL77IS8N2FFcZNPbZvS55Ys9Wkukfo/edit#gid=1633792910&amp;range=A121:H121</x:v>
      </x:c>
    </x:row>
    <x:row r="128" ht="39" customHeight="1">
      <x:c r="A128" s="5" t="n">
        <x:v>122</x:v>
      </x:c>
      <x:c r="B128" s="5" t="str">
        <x:v>Biotage</x:v>
      </x:c>
      <x:c r="C128" s="5" t="str">
        <x:v>Uppsala, Sweden</x:v>
      </x:c>
      <x:c r="D128" s="5" t="str">
        <x:v>Medicinal &amp; Analytical Chemistry</x:v>
      </x:c>
      <x:c r="E128" s="5" t="str">
        <x:v>SEK 2,056.0M</x:v>
      </x:c>
      <x:c r="F128" s="5" t="str">
        <x:v>SEK 180.0M</x:v>
      </x:c>
      <x:c r="G128" s="5" t="str">
        <x:v>SEK</x:v>
      </x:c>
      <x:c r="H128" s="5" t="str">
        <x:v>FY2024</x:v>
      </x:c>
      <x:c r="I128" s="5" t="str">
        <x:v>Listed (Nasdaq Stockholm: BIOT); automated synthesis, flash chromatography &amp; analytical chemistry</x:v>
      </x:c>
      <x:c r="J128" s="5" t="n">
        <x:v>1</x:v>
      </x:c>
      <x:c r="K128" s="5" t="str">
        <x:v>Listed (Nasdaq: BIOT); Package A (Analytical instruments recurring consumable SaaS portal)</x:v>
      </x:c>
      <x:c r="L128" s="5" t="str">
        <x:v>No structural discrepancy identified</x:v>
      </x:c>
      <x:c r="M128" s="5" t="str">
        <x:v>PARTIAL REVIEW — Review_Evidence; raw financial claims may be contradicted</x:v>
      </x:c>
      <x:c r="O128" t="str">
        <x:v>https://docs.google.com/spreadsheets/d/1s0pVuA2KPyIdOWL77IS8N2FFcZNPbZvS55Ys9Wkukfo/edit#gid=1633792910&amp;range=A122:H122</x:v>
      </x:c>
    </x:row>
    <x:row r="129" ht="39" customHeight="1">
      <x:c r="A129" s="5" t="n">
        <x:v>123</x:v>
      </x:c>
      <x:c r="B129" s="5" t="str">
        <x:v>Biovica</x:v>
      </x:c>
      <x:c r="C129" s="5" t="str">
        <x:v>Uppsala, Sweden</x:v>
      </x:c>
      <x:c r="D129" s="5" t="str">
        <x:v>Biomarker Cancer Diagnostics</x:v>
      </x:c>
      <x:c r="E129" s="5" t="str">
        <x:v>SEK 7.29M (FY23/24; SEK 8.62M FY24/25)</x:v>
      </x:c>
      <x:c r="F129" s="5" t="str">
        <x:v>SEK 48.6M</x:v>
      </x:c>
      <x:c r="G129" s="5" t="str">
        <x:v>SEK</x:v>
      </x:c>
      <x:c r="H129" s="5" t="str">
        <x:v>FY2023/24</x:v>
      </x:c>
      <x:c r="I129" s="5" t="str">
        <x:v>Listed (Nasdaq First North: BIOVIC B); DiviTum TKa biomarker assay for metastatic breast cancer</x:v>
      </x:c>
      <x:c r="J129" s="5" t="n">
        <x:v>1</x:v>
      </x:c>
      <x:c r="K129" s="5" t="str">
        <x:v>Listed (First North: BIOVIC B); Package A (Hospital oncology diagnostic adoption proof)</x:v>
      </x:c>
      <x:c r="L129" s="5" t="str">
        <x:v>No structural discrepancy identified</x:v>
      </x:c>
      <x:c r="M129" s="5" t="str">
        <x:v>UNVERIFIED financial claims</x:v>
      </x:c>
      <x:c r="O129" t="str">
        <x:v>https://docs.google.com/spreadsheets/d/1s0pVuA2KPyIdOWL77IS8N2FFcZNPbZvS55Ys9Wkukfo/edit#gid=1633792910&amp;range=A123:H123</x:v>
      </x:c>
    </x:row>
    <x:row r="130" ht="39" customHeight="1">
      <x:c r="A130" s="5" t="n">
        <x:v>124</x:v>
      </x:c>
      <x:c r="B130" s="5" t="str">
        <x:v>Corline Biomedical</x:v>
      </x:c>
      <x:c r="C130" s="5" t="str">
        <x:v>Uppsala, Sweden</x:v>
      </x:c>
      <x:c r="D130" s="5" t="str">
        <x:v>Heparin Aggregates</x:v>
      </x:c>
      <x:c r="E130" s="5" t="str">
        <x:v>SEK 18.2M (H1 2026 SEK 8.98M)</x:v>
      </x:c>
      <x:c r="F130" s="5" t="str">
        <x:v>SEK 14.5M</x:v>
      </x:c>
      <x:c r="G130" s="5" t="str">
        <x:v>SEK</x:v>
      </x:c>
      <x:c r="H130" s="5" t="str">
        <x:v>FY2023/24</x:v>
      </x:c>
      <x:c r="I130" s="5" t="str">
        <x:v>Listed (Nasdaq First North: CLBI); Corline Heparin Surface (CHS) for medical devices and tissue implants</x:v>
      </x:c>
      <x:c r="J130" s="5" t="n">
        <x:v>1</x:v>
      </x:c>
      <x:c r="K130" s="5" t="str">
        <x:v>Listed (First North: CLBI); Package A &amp; D (Device OEM coating integration economics)</x:v>
      </x:c>
      <x:c r="L130" s="5" t="str">
        <x:v>No structural discrepancy identified</x:v>
      </x:c>
      <x:c r="M130" s="5" t="str">
        <x:v>UNVERIFIED financial claims</x:v>
      </x:c>
      <x:c r="O130" t="str">
        <x:v>https://docs.google.com/spreadsheets/d/1s0pVuA2KPyIdOWL77IS8N2FFcZNPbZvS55Ys9Wkukfo/edit#gid=1633792910&amp;range=A124:H124</x:v>
      </x:c>
    </x:row>
    <x:row r="131" ht="39" customHeight="1">
      <x:c r="A131" s="5" t="n">
        <x:v>125</x:v>
      </x:c>
      <x:c r="B131" s="5" t="str">
        <x:v>Fresenius Kabi</x:v>
      </x:c>
      <x:c r="C131" s="5" t="str">
        <x:v>Uppsala, Sweden</x:v>
      </x:c>
      <x:c r="D131" s="5" t="str">
        <x:v>Contract Manufacturing</x:v>
      </x:c>
      <x:c r="E131" s="5" t="str">
        <x:v>EUR 8,414.0M (Swedish affiliate ~SEK 4,800M)</x:v>
      </x:c>
      <x:c r="F131" s="5" t="str">
        <x:v>EUR 636.0M (~SEK 7.2B group R&amp;D)</x:v>
      </x:c>
      <x:c r="G131" s="5" t="str">
        <x:v>EUR</x:v>
      </x:c>
      <x:c r="H131" s="5" t="str">
        <x:v>FY2024</x:v>
      </x:c>
      <x:c r="I131" s="5" t="str">
        <x:v>Subsidiary of Fresenius SE (DAX: FRE); major parenteral manufacturing sites in Brunna and Uppsala</x:v>
      </x:c>
      <x:c r="J131" s="5" t="n">
        <x:v>2</x:v>
      </x:c>
      <x:c r="K131" s="5" t="str">
        <x:v>Fresenius SE; Package D (High-speed aseptic filling line yield &amp; margin defense)</x:v>
      </x:c>
      <x:c r="L131" s="5" t="str">
        <x:v>No structural discrepancy identified</x:v>
      </x:c>
      <x:c r="M131" s="5" t="str">
        <x:v>PARTIAL REVIEW — Review_Evidence; raw financial claims may be contradicted</x:v>
      </x:c>
      <x:c r="O131" t="str">
        <x:v>https://docs.google.com/spreadsheets/d/1s0pVuA2KPyIdOWL77IS8N2FFcZNPbZvS55Ys9Wkukfo/edit#gid=1633792910&amp;range=A125:H125</x:v>
      </x:c>
    </x:row>
    <x:row r="132" ht="39" customHeight="1">
      <x:c r="A132" s="5" t="n">
        <x:v>126</x:v>
      </x:c>
      <x:c r="B132" s="5" t="str">
        <x:v>Gradientech</x:v>
      </x:c>
      <x:c r="C132" s="5" t="str">
        <x:v>Uppsala, Sweden</x:v>
      </x:c>
      <x:c r="D132" s="5" t="str">
        <x:v>Diagnostics, Cell Culture Assays</x:v>
      </x:c>
      <x:c r="E132" s="5" t="str">
        <x:v>SEK 2.1M</x:v>
      </x:c>
      <x:c r="F132" s="5" t="str">
        <x:v>SEK 46.8M</x:v>
      </x:c>
      <x:c r="G132" s="5" t="str">
        <x:v>SEK</x:v>
      </x:c>
      <x:c r="H132" s="5" t="str">
        <x:v>FY2023/24</x:v>
      </x:c>
      <x:c r="I132" s="5" t="str">
        <x:v>Listed (Nasdaq First North: GRNT); QuickMIC ultra-rapid antibiotic susceptibility testing (AST)</x:v>
      </x:c>
      <x:c r="J132" s="5" t="n">
        <x:v>1</x:v>
      </x:c>
      <x:c r="K132" s="5" t="str">
        <x:v>Listed (First North: GRNT); Package A (ICU sepsis antibiotic stewardship HEOR models)</x:v>
      </x:c>
      <x:c r="L132" s="5" t="str">
        <x:v>No structural discrepancy identified</x:v>
      </x:c>
      <x:c r="M132" s="5" t="str">
        <x:v>UNVERIFIED financial claims</x:v>
      </x:c>
      <x:c r="O132" t="str">
        <x:v>https://docs.google.com/spreadsheets/d/1s0pVuA2KPyIdOWL77IS8N2FFcZNPbZvS55Ys9Wkukfo/edit#gid=1633792910&amp;range=A126:H126</x:v>
      </x:c>
    </x:row>
    <x:row r="133" ht="39" customHeight="1">
      <x:c r="A133" s="5" t="n">
        <x:v>127</x:v>
      </x:c>
      <x:c r="B133" s="5" t="str">
        <x:v>Gyros Protein Technologies</x:v>
      </x:c>
      <x:c r="C133" s="5" t="str">
        <x:v>Uppsala, Sweden</x:v>
      </x:c>
      <x:c r="D133" s="5" t="str">
        <x:v>Bioassay Equipment</x:v>
      </x:c>
      <x:c r="E133" s="5" t="str">
        <x:v>USD 52.0M est. (~SEK 540M)</x:v>
      </x:c>
      <x:c r="F133" s="5" t="str">
        <x:v>USD 7.2M (~SEK 75M)</x:v>
      </x:c>
      <x:c r="G133" s="5" t="str">
        <x:v>USD</x:v>
      </x:c>
      <x:c r="H133" s="5" t="str">
        <x:v>FY2023/24</x:v>
      </x:c>
      <x:c r="I133" s="5" t="str">
        <x:v>Subsidiary of Mesa Laboratories (Nasdaq: MLAB); Gyrolab automated nanoliter immunoassay platform</x:v>
      </x:c>
      <x:c r="J133" s="5" t="n">
        <x:v>1</x:v>
      </x:c>
      <x:c r="K133" s="5" t="str">
        <x:v>Mesa Labs (Nasdaq: MLAB); Package A (Biopharma bioanalysis instrument utilization DaaS)</x:v>
      </x:c>
      <x:c r="L133" s="5" t="str">
        <x:v>No structural discrepancy identified</x:v>
      </x:c>
      <x:c r="M133" s="5" t="str">
        <x:v>UNVERIFIED financial claims</x:v>
      </x:c>
      <x:c r="O133" t="str">
        <x:v>https://docs.google.com/spreadsheets/d/1s0pVuA2KPyIdOWL77IS8N2FFcZNPbZvS55Ys9Wkukfo/edit#gid=1633792910&amp;range=A127:H127</x:v>
      </x:c>
    </x:row>
    <x:row r="134" ht="39" customHeight="1">
      <x:c r="A134" s="5" t="n">
        <x:v>128</x:v>
      </x:c>
      <x:c r="B134" s="5" t="str">
        <x:v>Navinci Diagnostics</x:v>
      </x:c>
      <x:c r="C134" s="5" t="str">
        <x:v>Uppsala, Sweden</x:v>
      </x:c>
      <x:c r="D134" s="5" t="str">
        <x:v>Biomarker Services</x:v>
      </x:c>
      <x:c r="E134" s="5" t="str">
        <x:v>SEK 18.1M (72% YoY growth)</x:v>
      </x:c>
      <x:c r="F134" s="5" t="str">
        <x:v>SEK 25.0M</x:v>
      </x:c>
      <x:c r="G134" s="5" t="str">
        <x:v>SEK</x:v>
      </x:c>
      <x:c r="H134" s="5" t="str">
        <x:v>FY2024/25</x:v>
      </x:c>
      <x:c r="I134" s="5" t="str">
        <x:v>Private in situ proximity ligation assay kits for protein interaction imaging; raised €5.3M in 2025</x:v>
      </x:c>
      <x:c r="J134" s="5" t="n">
        <x:v>1</x:v>
      </x:c>
      <x:c r="K134" s="5" t="str">
        <x:v>Private (€5.3M funding); Package A &amp; C (Protein interaction imaging kit sales scaling)</x:v>
      </x:c>
      <x:c r="L134" s="5" t="str">
        <x:v>Location whitespace normalized</x:v>
      </x:c>
      <x:c r="M134" s="5" t="str">
        <x:v>UNVERIFIED financial claims</x:v>
      </x:c>
      <x:c r="O134" t="str">
        <x:v>https://docs.google.com/spreadsheets/d/1s0pVuA2KPyIdOWL77IS8N2FFcZNPbZvS55Ys9Wkukfo/edit#gid=1633792910&amp;range=A128:H128</x:v>
      </x:c>
    </x:row>
    <x:row r="135" ht="39" customHeight="1">
      <x:c r="A135" s="5" t="n">
        <x:v>129</x:v>
      </x:c>
      <x:c r="B135" s="5" t="str">
        <x:v>NIOX</x:v>
      </x:c>
      <x:c r="C135" s="5" t="str">
        <x:v>Uppsala, Sweden</x:v>
      </x:c>
      <x:c r="D135" s="5" t="str">
        <x:v>Asthma management device</x:v>
      </x:c>
      <x:c r="E135" s="5" t="str">
        <x:v>GBP 41.8M (~SEK 570M; £36.8M in FY23)</x:v>
      </x:c>
      <x:c r="F135" s="5" t="str">
        <x:v>GBP 4.2M (~SEK 57M)</x:v>
      </x:c>
      <x:c r="G135" s="5" t="str">
        <x:v>GBP</x:v>
      </x:c>
      <x:c r="H135" s="5" t="str">
        <x:v>FY2024</x:v>
      </x:c>
      <x:c r="I135" s="5" t="str">
        <x:v>NIOX Group plc; listed (LSE AIM: NIOX); NIOX VERO fractional exhaled nitric oxide (FeNO) asthma devices</x:v>
      </x:c>
      <x:c r="J135" s="5" t="n">
        <x:v>1</x:v>
      </x:c>
      <x:c r="K135" s="5" t="str">
        <x:v>Listed (LSE AIM: NIOX); Package A (Primary care respiratory test reimbursement models)</x:v>
      </x:c>
      <x:c r="L135" s="5" t="str">
        <x:v>No structural discrepancy identified</x:v>
      </x:c>
      <x:c r="M135" s="5" t="str">
        <x:v>UNVERIFIED financial claims</x:v>
      </x:c>
      <x:c r="O135" t="str">
        <x:v>https://docs.google.com/spreadsheets/d/1s0pVuA2KPyIdOWL77IS8N2FFcZNPbZvS55Ys9Wkukfo/edit#gid=1633792910&amp;range=A129:H129</x:v>
      </x:c>
    </x:row>
    <x:row r="136" ht="52" customHeight="1">
      <x:c r="A136" s="5" t="n">
        <x:v>130</x:v>
      </x:c>
      <x:c r="B136" s="5" t="str">
        <x:v>Orexo</x:v>
      </x:c>
      <x:c r="C136" s="5" t="str">
        <x:v>Uppsala, Sweden</x:v>
      </x:c>
      <x:c r="D136" s="5" t="str">
        <x:v>Improved specialty pharmaceuticals and treatments for new areas of use</x:v>
      </x:c>
      <x:c r="E136" s="5" t="str">
        <x:v>SEK 590.0M</x:v>
      </x:c>
      <x:c r="F136" s="5" t="str">
        <x:v>SEK 148.6M</x:v>
      </x:c>
      <x:c r="G136" s="5" t="str">
        <x:v>SEK</x:v>
      </x:c>
      <x:c r="H136" s="5" t="str">
        <x:v>FY2024</x:v>
      </x:c>
      <x:c r="I136" s="5" t="str">
        <x:v>Listed (Nasdaq Stockholm: ORX); Zubsolv opioid dependence; AmorphOX nasal drug delivery platform</x:v>
      </x:c>
      <x:c r="J136" s="5" t="n">
        <x:v>1</x:v>
      </x:c>
      <x:c r="K136" s="5" t="str">
        <x:v>Listed (Nasdaq: ORX); Package C &amp; D (US/Nordic specialty distribution &amp; nasal fill-finish)</x:v>
      </x:c>
      <x:c r="L136" s="5" t="str">
        <x:v>No structural discrepancy identified</x:v>
      </x:c>
      <x:c r="M136" s="5" t="str">
        <x:v>UNVERIFIED financial claims</x:v>
      </x:c>
      <x:c r="O136" t="str">
        <x:v>https://docs.google.com/spreadsheets/d/1s0pVuA2KPyIdOWL77IS8N2FFcZNPbZvS55Ys9Wkukfo/edit#gid=1633792910&amp;range=A130:H130</x:v>
      </x:c>
    </x:row>
    <x:row r="137" ht="39" customHeight="1">
      <x:c r="A137" s="5" t="n">
        <x:v>131</x:v>
      </x:c>
      <x:c r="B137" s="5" t="str">
        <x:v>Q-Linea</x:v>
      </x:c>
      <x:c r="C137" s="5" t="str">
        <x:v>Uppsala, Sweden</x:v>
      </x:c>
      <x:c r="D137" s="5" t="str">
        <x:v>Blood Analysis Device</x:v>
      </x:c>
      <x:c r="E137" s="5" t="str">
        <x:v>SEK 4.4M</x:v>
      </x:c>
      <x:c r="F137" s="5" t="str">
        <x:v>SEK 178.4M</x:v>
      </x:c>
      <x:c r="G137" s="5" t="str">
        <x:v>SEK</x:v>
      </x:c>
      <x:c r="H137" s="5" t="str">
        <x:v>FY2023/24</x:v>
      </x:c>
      <x:c r="I137" s="5" t="str">
        <x:v>Listed (Nasdaq Stockholm: QLINEA); ASTar rapid antimicrobial susceptibility testing system (FDA 510(k) cleared)</x:v>
      </x:c>
      <x:c r="J137" s="5" t="n">
        <x:v>1</x:v>
      </x:c>
      <x:c r="K137" s="5" t="str">
        <x:v>Listed (Nasdaq: QLINEA); Package A (Hospital microbiology lab consumable placement DaaS)</x:v>
      </x:c>
      <x:c r="L137" s="5" t="str">
        <x:v>No structural discrepancy identified</x:v>
      </x:c>
      <x:c r="M137" s="5" t="str">
        <x:v>UNVERIFIED financial claims</x:v>
      </x:c>
      <x:c r="O137" t="str">
        <x:v>https://docs.google.com/spreadsheets/d/1s0pVuA2KPyIdOWL77IS8N2FFcZNPbZvS55Ys9Wkukfo/edit#gid=1633792910&amp;range=A131:H131</x:v>
      </x:c>
    </x:row>
    <x:row r="138" ht="39" customHeight="1">
      <x:c r="A138" s="5" t="n">
        <x:v>132</x:v>
      </x:c>
      <x:c r="B138" s="5" t="str">
        <x:v>Senzime</x:v>
      </x:c>
      <x:c r="C138" s="5" t="str">
        <x:v>Uppsala, Sweden</x:v>
      </x:c>
      <x:c r="D138" s="5" t="str">
        <x:v>Devices</x:v>
      </x:c>
      <x:c r="E138" s="5" t="str">
        <x:v>SEK 58.5M (SEK 35.8M in FY2023)</x:v>
      </x:c>
      <x:c r="F138" s="5" t="str">
        <x:v>SEK 44.2M</x:v>
      </x:c>
      <x:c r="G138" s="5" t="str">
        <x:v>SEK</x:v>
      </x:c>
      <x:c r="H138" s="5" t="str">
        <x:v>FY2024</x:v>
      </x:c>
      <x:c r="I138" s="5" t="str">
        <x:v>Listed (Nasdaq Stockholm: SEZI); TetraGraph electromyography monitoring to eliminate post-op paralysis</x:v>
      </x:c>
      <x:c r="J138" s="5" t="n">
        <x:v>1</x:v>
      </x:c>
      <x:c r="K138" s="5" t="str">
        <x:v>Listed (Nasdaq: SEZI); Package A (Anesthesia complication reduction hospital ROI models)</x:v>
      </x:c>
      <x:c r="L138" s="5" t="str">
        <x:v>No structural discrepancy identified</x:v>
      </x:c>
      <x:c r="M138" s="5" t="str">
        <x:v>UNVERIFIED financial claims</x:v>
      </x:c>
      <x:c r="O138" t="str">
        <x:v>https://docs.google.com/spreadsheets/d/1s0pVuA2KPyIdOWL77IS8N2FFcZNPbZvS55Ys9Wkukfo/edit#gid=1633792910&amp;range=A132:H132</x:v>
      </x:c>
    </x:row>
    <x:row r="139" ht="39" customHeight="1">
      <x:c r="A139" s="5" t="n">
        <x:v>133</x:v>
      </x:c>
      <x:c r="B139" s="5" t="str">
        <x:v>Strike Pharma</x:v>
      </x:c>
      <x:c r="C139" s="5" t="str">
        <x:v>Uppsala, Sweden</x:v>
      </x:c>
      <x:c r="D139" s="5" t="str">
        <x:v>Delivery Technology for Immunogenic Peptides</x:v>
      </x:c>
      <x:c r="E139" s="5" t="str">
        <x:v>SEK 0M (Pre-clinical)</x:v>
      </x:c>
      <x:c r="F139" s="5" t="str">
        <x:v>SEK 18.5M</x:v>
      </x:c>
      <x:c r="G139" s="5" t="str">
        <x:v>SEK</x:v>
      </x:c>
      <x:c r="H139" s="5" t="str">
        <x:v>FY2023/24</x:v>
      </x:c>
      <x:c r="I139" s="5" t="str">
        <x:v>Private immunotherapy; Adapt vaCC individualized therapeutic cancer vaccines; raised SEK 45M</x:v>
      </x:c>
      <x:c r="J139" s="5" t="n">
        <x:v>1</x:v>
      </x:c>
      <x:c r="K139" s="5" t="str">
        <x:v>Private (SEK 45M funding); Package B (Neoantigen manufacturing specification files)</x:v>
      </x:c>
      <x:c r="L139" s="5" t="str">
        <x:v>No structural discrepancy identified</x:v>
      </x:c>
      <x:c r="M139" s="5" t="str">
        <x:v>UNVERIFIED financial claims</x:v>
      </x:c>
      <x:c r="O139" t="str">
        <x:v>https://docs.google.com/spreadsheets/d/1s0pVuA2KPyIdOWL77IS8N2FFcZNPbZvS55Ys9Wkukfo/edit#gid=1633792910&amp;range=A133:H133</x:v>
      </x:c>
    </x:row>
    <x:row r="140" ht="39" customHeight="1">
      <x:c r="A140" s="5" t="n">
        <x:v>134</x:v>
      </x:c>
      <x:c r="B140" s="5" t="str">
        <x:v>Agrisera</x:v>
      </x:c>
      <x:c r="C140" s="5" t="str">
        <x:v>Vännäs, Sweden</x:v>
      </x:c>
      <x:c r="D140" s="5" t="str">
        <x:v>Antibodies</x:v>
      </x:c>
      <x:c r="E140" s="5" t="str">
        <x:v>SEK 42.5M</x:v>
      </x:c>
      <x:c r="F140" s="5" t="str">
        <x:v>SEK 5.2M</x:v>
      </x:c>
      <x:c r="G140" s="5" t="str">
        <x:v>SEK</x:v>
      </x:c>
      <x:c r="H140" s="5" t="str">
        <x:v>FY2023</x:v>
      </x:c>
      <x:c r="I140" s="5" t="str">
        <x:v>Private antibody producer (Vännäs, Sweden); specialized plant and algal research antibodies</x:v>
      </x:c>
      <x:c r="J140" s="5" t="n">
        <x:v>1</x:v>
      </x:c>
      <x:c r="K140" s="5" t="str">
        <x:v>Private antibody supplier; Package C (E-commerce research antibody distributor portal)</x:v>
      </x:c>
      <x:c r="L140" s="5" t="str">
        <x:v>No structural discrepancy identified</x:v>
      </x:c>
      <x:c r="M140" s="5" t="str">
        <x:v>UNVERIFIED financial claims</x:v>
      </x:c>
      <x:c r="O140" t="str">
        <x:v>https://docs.google.com/spreadsheets/d/1s0pVuA2KPyIdOWL77IS8N2FFcZNPbZvS55Ys9Wkukfo/edit#gid=1633792910&amp;range=A134:H134</x:v>
      </x:c>
    </x:row>
    <x:row r="141" ht="39" customHeight="1">
      <x:c r="A141" s="5" t="n">
        <x:v>135</x:v>
      </x:c>
      <x:c r="B141" s="5" t="str">
        <x:v>Getinge</x:v>
      </x:c>
      <x:c r="C141" s="5" t="str">
        <x:v>Växjö, Sweden</x:v>
      </x:c>
      <x:c r="D141" s="5" t="str">
        <x:v>Medical Technology</x:v>
      </x:c>
      <x:c r="E141" s="5" t="str">
        <x:v>SEK 34,759.0M (SEK 34.76B)</x:v>
      </x:c>
      <x:c r="F141" s="5" t="str">
        <x:v>SEK 1,745.0M (~5.0% of sales)</x:v>
      </x:c>
      <x:c r="G141" s="5" t="str">
        <x:v>SEK</x:v>
      </x:c>
      <x:c r="H141" s="5" t="str">
        <x:v>FY2024</x:v>
      </x:c>
      <x:c r="I141" s="5" t="str">
        <x:v>Listed (Nasdaq Stockholm: GETI B); global leader in intensive care equipment, ventilators, surgical tables</x:v>
      </x:c>
      <x:c r="J141" s="5" t="n">
        <x:v>4</x:v>
      </x:c>
      <x:c r="K141" s="5" t="str">
        <x:v>Listed (Nasdaq: GETI B); Package A (Central sterile services department / CSSD contracts)</x:v>
      </x:c>
      <x:c r="L141" s="5" t="str">
        <x:v>No structural discrepancy identified</x:v>
      </x:c>
      <x:c r="M141" s="5" t="str">
        <x:v>PARTIAL REVIEW — Review_Evidence; raw financial claims may be contradicted</x:v>
      </x:c>
      <x:c r="O141" t="str">
        <x:v>https://docs.google.com/spreadsheets/d/1s0pVuA2KPyIdOWL77IS8N2FFcZNPbZvS55Ys9Wkukfo/edit#gid=1633792910&amp;range=A135:H135</x:v>
      </x:c>
    </x:row>
    <x:row r="142" ht="39" customHeight="1">
      <x:c r="A142" s="5" t="n">
        <x:v>136</x:v>
      </x:c>
      <x:c r="B142" s="5" t="str">
        <x:v>Metenova</x:v>
      </x:c>
      <x:c r="C142" s="5" t="str">
        <x:v>Mölndal, Sweden</x:v>
      </x:c>
      <x:c r="D142" s="5" t="str">
        <x:v>Mixers</x:v>
      </x:c>
      <x:c r="E142" s="5" t="str">
        <x:v>USD 24.5M (~SEK 255M)</x:v>
      </x:c>
      <x:c r="F142" s="5" t="str">
        <x:v>USD 4.2M (~SEK 44M)</x:v>
      </x:c>
      <x:c r="G142" s="5" t="str">
        <x:v>USD</x:v>
      </x:c>
      <x:c r="H142" s="5" t="str">
        <x:v>FY2023</x:v>
      </x:c>
      <x:c r="I142" s="5" t="str">
        <x:v>Acquired by Repligen Corporation (Nasdaq: RGEN) in Oct 2023 for $173M; aseptic magnetic mixing systems</x:v>
      </x:c>
      <x:c r="J142" s="5" t="n">
        <x:v>1</x:v>
      </x:c>
      <x:c r="K142" s="5" t="str">
        <x:v>No exact facility match; see Review</x:v>
      </x:c>
      <x:c r="L142" s="5" t="str">
        <x:v>Location corrected from company-hosted certificate; financials and local service mapping unverified</x:v>
      </x:c>
      <x:c r="M142" s="5" t="str">
        <x:v>PARTIAL REVIEW — Review_Evidence; raw financial claims may be contradicted</x:v>
      </x:c>
      <x:c r="O142" t="str">
        <x:v>https://docs.google.com/spreadsheets/d/1s0pVuA2KPyIdOWL77IS8N2FFcZNPbZvS55Ys9Wkukfo/edit#gid=1633792910&amp;range=A136:H136</x:v>
      </x:c>
    </x:row>
  </x:sheetData>
  <x:conditionalFormatting sqref="J8:J142">
    <x:cfRule type="cellIs" dxfId="0" priority="1" operator="greaterThan">
      <x:formula>1</x:formula>
    </x:cfRule>
  </x:conditionalFormatting>
  <x:pageMargins left="0.7" right="0.7" top="0.75" bottom="0.75" header="0.3" footer="0.3"/>
  <x:tableParts count="1">
    <x:tablePart xmlns:r="http://schemas.openxmlformats.org/officeDocument/2006/relationships" r:id="R269f40050c76436a"/>
  </x:tableParts>
</x:worksheet>
</file>

<file path=xl/worksheets/sheet2.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2" hidden="0" customWidth="1"/>
    <x:col min="2" max="2" width="14" hidden="0" customWidth="1"/>
    <x:col min="3" max="3" width="22" hidden="0" customWidth="1"/>
    <x:col min="4" max="4" width="21" hidden="0" customWidth="1"/>
    <x:col min="5" max="5" width="43" hidden="0" customWidth="1"/>
    <x:col min="6" max="6" width="21" hidden="0" customWidth="1"/>
    <x:col min="7" max="7" width="43" hidden="0" customWidth="1"/>
    <x:col min="8" max="8" width="55" hidden="0" customWidth="1"/>
    <x:col min="9" max="9" width="48" hidden="0" customWidth="1"/>
    <x:col min="10" max="10" width="85" hidden="0" customWidth="1"/>
    <x:col min="11" max="11" width="38" hidden="0" customWidth="1"/>
  </x:cols>
  <x:sheetData>
    <x:row r="1">
      <x:c r="A1" s="1"/>
      <x:c r="B1" s="1"/>
      <x:c r="C1" s="1"/>
      <x:c r="D1" s="1"/>
      <x:c r="E1" s="1"/>
      <x:c r="F1" s="1"/>
      <x:c r="G1" s="1"/>
      <x:c r="H1" s="1"/>
      <x:c r="I1" s="1"/>
      <x:c r="J1" s="1"/>
      <x:c r="K1" s="1"/>
    </x:row>
    <x:row r="2">
      <x:c r="A2" s="2" t="str">
        <x:v>Historical source financial claims — see Review_Evidence for checked values</x:v>
      </x:c>
      <x:c r="B2" s="1"/>
      <x:c r="C2" s="1"/>
      <x:c r="D2" s="1"/>
      <x:c r="E2" s="1"/>
      <x:c r="F2" s="1"/>
      <x:c r="G2" s="1"/>
      <x:c r="H2" s="1"/>
      <x:c r="I2" s="1"/>
      <x:c r="J2" s="1"/>
      <x:c r="K2" s="1"/>
    </x:row>
    <x:row r="3">
      <x:c r="A3" s="1" t="str">
        <x:v>v0003 · 2026-09-28T10:47:52Z (UTC)</x:v>
      </x:c>
      <x:c r="B3" s="1"/>
      <x:c r="C3" s="1"/>
      <x:c r="D3" s="1"/>
      <x:c r="E3" s="1"/>
      <x:c r="F3" s="1"/>
      <x:c r="G3" s="1"/>
      <x:c r="H3" s="1"/>
      <x:c r="I3" s="1"/>
      <x:c r="J3" s="1"/>
      <x:c r="K3" s="1"/>
    </x:row>
    <x:row r="4">
      <x:c r="A4" s="3" t="str">
        <x:v>Unverified source parsing only. Entity scope and periods may differ. Checked values and definitions are in Review_Evidence; do not sum these columns.</x:v>
      </x:c>
      <x:c r="B4" s="1"/>
      <x:c r="C4" s="1"/>
      <x:c r="D4" s="1"/>
      <x:c r="E4" s="1"/>
      <x:c r="F4" s="1"/>
      <x:c r="G4" s="1"/>
      <x:c r="H4" s="1"/>
      <x:c r="I4" s="1"/>
      <x:c r="J4" s="1"/>
      <x:c r="K4" s="1"/>
    </x:row>
    <x:row r="5">
      <x:c r="A5" s="1" t="str">
        <x:v>Source: master_financials.json; exact source SHA-256 is recorded in Versions.</x:v>
      </x:c>
      <x:c r="B5" s="1"/>
      <x:c r="C5" s="1"/>
      <x:c r="D5" s="1"/>
      <x:c r="E5" s="1"/>
      <x:c r="F5" s="1"/>
      <x:c r="G5" s="1"/>
      <x:c r="H5" s="1"/>
      <x:c r="I5" s="1"/>
      <x:c r="J5" s="1"/>
      <x:c r="K5" s="1"/>
    </x:row>
    <x:row r="6">
      <x:c r="A6" s="1"/>
      <x:c r="B6" s="1"/>
      <x:c r="C6" s="1"/>
      <x:c r="D6" s="1"/>
      <x:c r="E6" s="1"/>
      <x:c r="F6" s="1"/>
      <x:c r="G6" s="1"/>
      <x:c r="H6" s="1"/>
      <x:c r="I6" s="1"/>
      <x:c r="J6" s="1"/>
      <x:c r="K6" s="1"/>
    </x:row>
    <x:row r="7" ht="32" customHeight="1">
      <x:c r="A7" s="9" t="str">
        <x:v>Company</x:v>
      </x:c>
      <x:c r="B7" s="9" t="str">
        <x:v>Currency</x:v>
      </x:c>
      <x:c r="C7" s="9" t="str">
        <x:v>Fiscal period</x:v>
      </x:c>
      <x:c r="D7" s="9" t="str">
        <x:v>Source revenue claim (millions)</x:v>
      </x:c>
      <x:c r="E7" s="9" t="str">
        <x:v>Revenue qualifier</x:v>
      </x:c>
      <x:c r="F7" s="9" t="str">
        <x:v>Source R&amp;D claim (millions)</x:v>
      </x:c>
      <x:c r="G7" s="9" t="str">
        <x:v>R&amp;D qualifier</x:v>
      </x:c>
      <x:c r="H7" s="9" t="str">
        <x:v>Original revenue text</x:v>
      </x:c>
      <x:c r="I7" s="9" t="str">
        <x:v>Original R&amp;D text</x:v>
      </x:c>
      <x:c r="J7" s="9" t="str">
        <x:v>Original source notes</x:v>
      </x:c>
      <x:c r="K7" s="9" t="str">
        <x:v>Evidence status</x:v>
      </x:c>
    </x:row>
    <x:row r="8" ht="39" customHeight="1">
      <x:c r="A8" s="5" t="str">
        <x:v>AAX Biotech</x:v>
      </x:c>
      <x:c r="B8" s="5" t="str">
        <x:v>SEK</x:v>
      </x:c>
      <x:c r="C8" s="5" t="str">
        <x:v>FY2023/24</x:v>
      </x:c>
      <x:c r="D8" s="11" t="n">
        <x:v>0</x:v>
      </x:c>
      <x:c r="E8" s="5" t="str">
        <x:v>Stated leading amount; unverified source claim</x:v>
      </x:c>
      <x:c r="F8" s="11" t="n">
        <x:v>10.5</x:v>
      </x:c>
      <x:c r="G8" s="5" t="str">
        <x:v>Stated leading amount; unverified source claim</x:v>
      </x:c>
      <x:c r="H8" s="5" t="str">
        <x:v>SEK 0M (Pre-revenue)</x:v>
      </x:c>
      <x:c r="I8" s="5" t="str">
        <x:v>SEK 10.5M</x:v>
      </x:c>
      <x:c r="J8" s="5" t="str">
        <x:v>Private, spin-out from KTH/Karolinska; developing Seqitope &amp; Opti-mAb antibody technologies; partnered with Daiichi Sankyo</x:v>
      </x:c>
      <x:c r="K8" s="5" t="str">
        <x:v>UNVERIFIED; check entity scope</x:v>
      </x:c>
    </x:row>
    <x:row r="9" ht="39" customHeight="1">
      <x:c r="A9" s="5" t="str">
        <x:v>AMRA Medical</x:v>
      </x:c>
      <x:c r="B9" s="5" t="str">
        <x:v>SEK</x:v>
      </x:c>
      <x:c r="C9" s="5" t="str">
        <x:v>FY2023/24</x:v>
      </x:c>
      <x:c r="D9" s="11" t="n">
        <x:v>75</x:v>
      </x:c>
      <x:c r="E9" s="5" t="str">
        <x:v>Approximate / estimated leading amount; unverified source claim</x:v>
      </x:c>
      <x:c r="F9" s="11" t="n">
        <x:v>28</x:v>
      </x:c>
      <x:c r="G9" s="5" t="str">
        <x:v>Stated leading amount; unverified source claim</x:v>
      </x:c>
      <x:c r="H9" s="5" t="str">
        <x:v>SEK 75.0M est. ($7M)</x:v>
      </x:c>
      <x:c r="I9" s="5" t="str">
        <x:v>SEK 28.0M</x:v>
      </x:c>
      <x:c r="J9" s="5" t="str">
        <x:v>Private health informatics; MRI body composition analysis; backed by HealthCap &amp; Industrifonden</x:v>
      </x:c>
      <x:c r="K9" s="5" t="str">
        <x:v>UNVERIFIED; check entity scope</x:v>
      </x:c>
    </x:row>
    <x:row r="10" ht="39" customHeight="1">
      <x:c r="A10" s="5" t="str">
        <x:v>ANYO Labs</x:v>
      </x:c>
      <x:c r="B10" s="5" t="str">
        <x:v>SEK</x:v>
      </x:c>
      <x:c r="C10" s="5" t="str">
        <x:v>FY2023/24</x:v>
      </x:c>
      <x:c r="D10" s="11" t="n">
        <x:v>2</x:v>
      </x:c>
      <x:c r="E10" s="5" t="str">
        <x:v>Approximate / estimated leading amount; unverified source claim</x:v>
      </x:c>
      <x:c r="F10" s="11" t="n">
        <x:v>5.2</x:v>
      </x:c>
      <x:c r="G10" s="5" t="str">
        <x:v>Stated leading amount; unverified source claim</x:v>
      </x:c>
      <x:c r="H10" s="5" t="str">
        <x:v>SEK 2.0M est.</x:v>
      </x:c>
      <x:c r="I10" s="5" t="str">
        <x:v>SEK 5.2M</x:v>
      </x:c>
      <x:c r="J10" s="5" t="str">
        <x:v>Private AI small molecule discovery platform; backed by Chalmers Ventures &amp; Vinnova</x:v>
      </x:c>
      <x:c r="K10" s="5" t="str">
        <x:v>UNVERIFIED; check entity scope</x:v>
      </x:c>
    </x:row>
    <x:row r="11" ht="39" customHeight="1">
      <x:c r="A11" s="5" t="str">
        <x:v>AOP Orphan Diseases</x:v>
      </x:c>
      <x:c r="B11" s="5" t="str">
        <x:v>EUR</x:v>
      </x:c>
      <x:c r="C11" s="5" t="str">
        <x:v>FY2024/25</x:v>
      </x:c>
      <x:c r="D11" s="11" t="n">
        <x:v>450</x:v>
      </x:c>
      <x:c r="E11" s="5" t="str">
        <x:v>Stated leading amount; unverified source claim</x:v>
      </x:c>
      <x:c r="F11" s="11" t="n">
        <x:v>85</x:v>
      </x:c>
      <x:c r="G11" s="5" t="str">
        <x:v>Stated leading amount; unverified source claim</x:v>
      </x:c>
      <x:c r="H11" s="5" t="str">
        <x:v>EUR 450.0M</x:v>
      </x:c>
      <x:c r="I11" s="5" t="str">
        <x:v>EUR 85.0M (~19% of sales)</x:v>
      </x:c>
      <x:c r="J11" s="5" t="str">
        <x:v>AOP Health Group (Austria/Sweden commercial affiliate); rare disease treatments</x:v>
      </x:c>
      <x:c r="K11" s="5" t="str">
        <x:v>UNVERIFIED; check entity scope</x:v>
      </x:c>
    </x:row>
    <x:row r="12" ht="39" customHeight="1">
      <x:c r="A12" s="5" t="str">
        <x:v>Abera Bioscience</x:v>
      </x:c>
      <x:c r="B12" s="5" t="str">
        <x:v>SEK</x:v>
      </x:c>
      <x:c r="C12" s="5" t="str">
        <x:v>FY2023/24</x:v>
      </x:c>
      <x:c r="D12" s="11" t="n">
        <x:v>0</x:v>
      </x:c>
      <x:c r="E12" s="5" t="str">
        <x:v>Stated leading amount; unverified source claim</x:v>
      </x:c>
      <x:c r="F12" s="11" t="n">
        <x:v>14.8</x:v>
      </x:c>
      <x:c r="G12" s="5" t="str">
        <x:v>Stated leading amount; unverified source claim</x:v>
      </x:c>
      <x:c r="H12" s="5" t="str">
        <x:v>SEK 0M (Pre-revenue)</x:v>
      </x:c>
      <x:c r="I12" s="5" t="str">
        <x:v>SEK 14.8M</x:v>
      </x:c>
      <x:c r="J12" s="5" t="str">
        <x:v>Listed (Spotlight: ABERA); outer membrane vesicle mucosal vaccine platform (Ab-01.12)</x:v>
      </x:c>
      <x:c r="K12" s="5" t="str">
        <x:v>UNVERIFIED; check entity scope</x:v>
      </x:c>
    </x:row>
    <x:row r="13" ht="39" customHeight="1">
      <x:c r="A13" s="5" t="str">
        <x:v>Acarix</x:v>
      </x:c>
      <x:c r="B13" s="5" t="str">
        <x:v>SEK</x:v>
      </x:c>
      <x:c r="C13" s="5" t="str">
        <x:v>FY2024</x:v>
      </x:c>
      <x:c r="D13" s="11" t="n">
        <x:v>7.5</x:v>
      </x:c>
      <x:c r="E13" s="5" t="str">
        <x:v>Stated leading amount; unverified source claim</x:v>
      </x:c>
      <x:c r="F13" s="11" t="n">
        <x:v>32.4</x:v>
      </x:c>
      <x:c r="G13" s="5" t="str">
        <x:v>Stated leading amount; unverified source claim</x:v>
      </x:c>
      <x:c r="H13" s="5" t="str">
        <x:v>SEK 7.5M (Q4 2024 SEK 1.7M)</x:v>
      </x:c>
      <x:c r="I13" s="5" t="str">
        <x:v>SEK 32.4M</x:v>
      </x:c>
      <x:c r="J13" s="5" t="str">
        <x:v>Listed (Nasdaq First North: ACARIX); CADScor acoustic cardiac diagnostic system</x:v>
      </x:c>
      <x:c r="K13" s="5" t="str">
        <x:v>UNVERIFIED; check entity scope</x:v>
      </x:c>
    </x:row>
    <x:row r="14" ht="39" customHeight="1">
      <x:c r="A14" s="5" t="str">
        <x:v>Acrivon Therapeutics</x:v>
      </x:c>
      <x:c r="B14" s="5" t="str">
        <x:v>USD</x:v>
      </x:c>
      <x:c r="C14" s="5" t="str">
        <x:v>FY2024</x:v>
      </x:c>
      <x:c r="D14" s="11" t="n">
        <x:v>0</x:v>
      </x:c>
      <x:c r="E14" s="5" t="str">
        <x:v>Stated leading amount; unverified source claim</x:v>
      </x:c>
      <x:c r="F14" s="11" t="n">
        <x:v>64</x:v>
      </x:c>
      <x:c r="G14" s="5" t="str">
        <x:v>Stated leading amount; unverified source claim</x:v>
      </x:c>
      <x:c r="H14" s="5" t="str">
        <x:v>USD 0M (Clinical stage)</x:v>
      </x:c>
      <x:c r="I14" s="5" t="str">
        <x:v>USD 64.0M</x:v>
      </x:c>
      <x:c r="J14" s="5" t="str">
        <x:v>Listed (Nasdaq US: ACRV); lead drug candidate ACR-368 checkpoint inhibitor &amp; APM platform</x:v>
      </x:c>
      <x:c r="K14" s="5" t="str">
        <x:v>UNVERIFIED; check entity scope</x:v>
      </x:c>
    </x:row>
    <x:row r="15" ht="39" customHeight="1">
      <x:c r="A15" s="5" t="str">
        <x:v>Active Biotech</x:v>
      </x:c>
      <x:c r="B15" s="5" t="str">
        <x:v>SEK</x:v>
      </x:c>
      <x:c r="C15" s="5" t="str">
        <x:v>FY2023/24</x:v>
      </x:c>
      <x:c r="D15" s="11" t="n">
        <x:v>0.6</x:v>
      </x:c>
      <x:c r="E15" s="5" t="str">
        <x:v>Stated leading amount; unverified source claim</x:v>
      </x:c>
      <x:c r="F15" s="11" t="n">
        <x:v>38.2</x:v>
      </x:c>
      <x:c r="G15" s="5" t="str">
        <x:v>Stated leading amount; unverified source claim</x:v>
      </x:c>
      <x:c r="H15" s="5" t="str">
        <x:v>SEK 0.6M</x:v>
      </x:c>
      <x:c r="I15" s="5" t="str">
        <x:v>SEK 38.2M</x:v>
      </x:c>
      <x:c r="J15" s="5" t="str">
        <x:v>Listed (Nasdaq Stockholm: ACTI); small molecules &amp; biologics (Tasquinimod, Laquinimod)</x:v>
      </x:c>
      <x:c r="K15" s="5" t="str">
        <x:v>UNVERIFIED; check entity scope</x:v>
      </x:c>
    </x:row>
    <x:row r="16" ht="39" customHeight="1">
      <x:c r="A16" s="5" t="str">
        <x:v>Agrisera</x:v>
      </x:c>
      <x:c r="B16" s="5" t="str">
        <x:v>SEK</x:v>
      </x:c>
      <x:c r="C16" s="5" t="str">
        <x:v>FY2023</x:v>
      </x:c>
      <x:c r="D16" s="11" t="n">
        <x:v>42.5</x:v>
      </x:c>
      <x:c r="E16" s="5" t="str">
        <x:v>Stated leading amount; unverified source claim</x:v>
      </x:c>
      <x:c r="F16" s="11" t="n">
        <x:v>5.2</x:v>
      </x:c>
      <x:c r="G16" s="5" t="str">
        <x:v>Stated leading amount; unverified source claim</x:v>
      </x:c>
      <x:c r="H16" s="5" t="str">
        <x:v>SEK 42.5M</x:v>
      </x:c>
      <x:c r="I16" s="5" t="str">
        <x:v>SEK 5.2M</x:v>
      </x:c>
      <x:c r="J16" s="5" t="str">
        <x:v>Private antibody producer (Vännäs, Sweden); specialized plant and algal research antibodies</x:v>
      </x:c>
      <x:c r="K16" s="5" t="str">
        <x:v>UNVERIFIED; check entity scope</x:v>
      </x:c>
    </x:row>
    <x:row r="17" ht="39" customHeight="1">
      <x:c r="A17" s="5" t="str">
        <x:v>Alligator Bioscience</x:v>
      </x:c>
      <x:c r="B17" s="5" t="str">
        <x:v>SEK</x:v>
      </x:c>
      <x:c r="C17" s="5" t="str">
        <x:v>FY2023/24</x:v>
      </x:c>
      <x:c r="D17" s="11" t="n">
        <x:v>58.1</x:v>
      </x:c>
      <x:c r="E17" s="5" t="str">
        <x:v>Stated leading amount; unverified source claim</x:v>
      </x:c>
      <x:c r="F17" s="11" t="n">
        <x:v>168.5</x:v>
      </x:c>
      <x:c r="G17" s="5" t="str">
        <x:v>Stated leading amount; unverified source claim</x:v>
      </x:c>
      <x:c r="H17" s="5" t="str">
        <x:v>SEK 58.1M</x:v>
      </x:c>
      <x:c r="I17" s="5" t="str">
        <x:v>SEK 168.5M</x:v>
      </x:c>
      <x:c r="J17" s="5" t="str">
        <x:v>Listed (Nasdaq Stockholm: ATORX); tumor-directed antibody therapeutics (Mitazalimab)</x:v>
      </x:c>
      <x:c r="K17" s="5" t="str">
        <x:v>UNVERIFIED; check entity scope</x:v>
      </x:c>
    </x:row>
    <x:row r="18" ht="39" customHeight="1">
      <x:c r="A18" s="5" t="str">
        <x:v>AlzeCure Pharma</x:v>
      </x:c>
      <x:c r="B18" s="5" t="str">
        <x:v>SEK</x:v>
      </x:c>
      <x:c r="C18" s="5" t="str">
        <x:v>FY2023/24</x:v>
      </x:c>
      <x:c r="D18" s="11" t="n">
        <x:v>0</x:v>
      </x:c>
      <x:c r="E18" s="5" t="str">
        <x:v>Stated leading amount; unverified source claim</x:v>
      </x:c>
      <x:c r="F18" s="11" t="n">
        <x:v>54.3</x:v>
      </x:c>
      <x:c r="G18" s="5" t="str">
        <x:v>Stated leading amount; unverified source claim</x:v>
      </x:c>
      <x:c r="H18" s="5" t="str">
        <x:v>SEK 0M (Clinical stage)</x:v>
      </x:c>
      <x:c r="I18" s="5" t="str">
        <x:v>SEK 54.3M</x:v>
      </x:c>
      <x:c r="J18" s="5" t="str">
        <x:v>Listed (Nasdaq First North: ALZCUR); Alzheimer's and pain therapies (Alzstatin, NeuroRestore)</x:v>
      </x:c>
      <x:c r="K18" s="5" t="str">
        <x:v>UNVERIFIED; check entity scope</x:v>
      </x:c>
    </x:row>
    <x:row r="19" ht="39" customHeight="1">
      <x:c r="A19" s="5" t="str">
        <x:v>Alzinova</x:v>
      </x:c>
      <x:c r="B19" s="5" t="str">
        <x:v>SEK</x:v>
      </x:c>
      <x:c r="C19" s="5" t="str">
        <x:v>FY2023</x:v>
      </x:c>
      <x:c r="D19" s="11" t="n">
        <x:v>0.3</x:v>
      </x:c>
      <x:c r="E19" s="5" t="str">
        <x:v>Stated leading amount; unverified source claim</x:v>
      </x:c>
      <x:c r="F19" s="11" t="n">
        <x:v>36.4</x:v>
      </x:c>
      <x:c r="G19" s="5" t="str">
        <x:v>Stated leading amount; unverified source claim</x:v>
      </x:c>
      <x:c r="H19" s="5" t="str">
        <x:v>SEK 0.3M</x:v>
      </x:c>
      <x:c r="I19" s="5" t="str">
        <x:v>SEK 36.4M (incl. SEK 19.6M capitalized)</x:v>
      </x:c>
      <x:c r="J19" s="5" t="str">
        <x:v>Listed (Nasdaq First North: ALZ); oligomer-targeting Alzheimer's vaccine (ALZ-101)</x:v>
      </x:c>
      <x:c r="K19" s="5" t="str">
        <x:v>UNVERIFIED; check entity scope</x:v>
      </x:c>
    </x:row>
    <x:row r="20" ht="39" customHeight="1">
      <x:c r="A20" s="5" t="str">
        <x:v>Amferia Kills Bacteria</x:v>
      </x:c>
      <x:c r="B20" s="5" t="str">
        <x:v>SEK</x:v>
      </x:c>
      <x:c r="C20" s="5" t="str">
        <x:v>FY2023/24</x:v>
      </x:c>
      <x:c r="D20" s="11" t="n">
        <x:v>3.5</x:v>
      </x:c>
      <x:c r="E20" s="5" t="str">
        <x:v>Approximate / estimated leading amount; unverified source claim</x:v>
      </x:c>
      <x:c r="F20" s="11" t="n">
        <x:v>15</x:v>
      </x:c>
      <x:c r="G20" s="5" t="str">
        <x:v>Stated leading amount; unverified source claim</x:v>
      </x:c>
      <x:c r="H20" s="5" t="str">
        <x:v>SEK 3.5M est.</x:v>
      </x:c>
      <x:c r="I20" s="5" t="str">
        <x:v>SEK 15.0M</x:v>
      </x:c>
      <x:c r="J20" s="5" t="str">
        <x:v>Amferia AB; private Chalmers spin-out; antimicrobial peptide wound care hydrogels (raised €3.5M Dec 2025)</x:v>
      </x:c>
      <x:c r="K20" s="5" t="str">
        <x:v>UNVERIFIED; check entity scope</x:v>
      </x:c>
    </x:row>
    <x:row r="21" ht="39" customHeight="1">
      <x:c r="A21" s="5" t="str">
        <x:v>Anocca</x:v>
      </x:c>
      <x:c r="B21" s="5" t="str">
        <x:v>SEK</x:v>
      </x:c>
      <x:c r="C21" s="5" t="str">
        <x:v>FY2023/24</x:v>
      </x:c>
      <x:c r="D21" s="11" t="n">
        <x:v>0</x:v>
      </x:c>
      <x:c r="E21" s="5" t="str">
        <x:v>Stated leading amount; unverified source claim</x:v>
      </x:c>
      <x:c r="F21" s="11" t="n">
        <x:v>195</x:v>
      </x:c>
      <x:c r="G21" s="5" t="str">
        <x:v>Approximate / estimated leading amount; unverified source claim</x:v>
      </x:c>
      <x:c r="H21" s="5" t="str">
        <x:v>SEK 0M (Clinical stage)</x:v>
      </x:c>
      <x:c r="I21" s="5" t="str">
        <x:v>SEK 195.0M est.</x:v>
      </x:c>
      <x:c r="J21" s="5" t="str">
        <x:v>Private; TCR immunotherapy against cancer; raised SEK 440M in Aug 2025 and SEK 400M in 2023</x:v>
      </x:c>
      <x:c r="K21" s="5" t="str">
        <x:v>UNVERIFIED; check entity scope</x:v>
      </x:c>
    </x:row>
    <x:row r="22" ht="39" customHeight="1">
      <x:c r="A22" s="5" t="str">
        <x:v>Aplex Bio</x:v>
      </x:c>
      <x:c r="B22" s="5" t="str">
        <x:v>SEK</x:v>
      </x:c>
      <x:c r="C22" s="5" t="str">
        <x:v>FY2023/24</x:v>
      </x:c>
      <x:c r="D22" s="11" t="n">
        <x:v>1.8</x:v>
      </x:c>
      <x:c r="E22" s="5" t="str">
        <x:v>Approximate / estimated leading amount; unverified source claim</x:v>
      </x:c>
      <x:c r="F22" s="11" t="n">
        <x:v>12</x:v>
      </x:c>
      <x:c r="G22" s="5" t="str">
        <x:v>Stated leading amount; unverified source claim</x:v>
      </x:c>
      <x:c r="H22" s="5" t="str">
        <x:v>SEK 1.8M est.</x:v>
      </x:c>
      <x:c r="I22" s="5" t="str">
        <x:v>SEK 12.0M</x:v>
      </x:c>
      <x:c r="J22" s="5" t="str">
        <x:v>Private molecular diagnostics startup; hyperplexed PCR detection platform; raised $1.5M seed</x:v>
      </x:c>
      <x:c r="K22" s="5" t="str">
        <x:v>UNVERIFIED; check entity scope</x:v>
      </x:c>
    </x:row>
    <x:row r="23" ht="39" customHeight="1">
      <x:c r="A23" s="5" t="str">
        <x:v>Arex Advisor</x:v>
      </x:c>
      <x:c r="B23" s="5" t="str">
        <x:v>SEK</x:v>
      </x:c>
      <x:c r="C23" s="5" t="str">
        <x:v>FY2023</x:v>
      </x:c>
      <x:c r="D23" s="11" t="n">
        <x:v>38.6</x:v>
      </x:c>
      <x:c r="E23" s="5" t="str">
        <x:v>Stated leading amount; unverified source claim</x:v>
      </x:c>
      <x:c r="F23" s="11" t="n">
        <x:v>1.5</x:v>
      </x:c>
      <x:c r="G23" s="5" t="str">
        <x:v>Approximate / estimated leading amount; unverified source claim</x:v>
      </x:c>
      <x:c r="H23" s="5" t="str">
        <x:v>SEK 38.6M</x:v>
      </x:c>
      <x:c r="I23" s="5" t="str">
        <x:v>SEK 1.5M est. (Internal)</x:v>
      </x:c>
      <x:c r="J23" s="5" t="str">
        <x:v>Private pharmaceutical regulatory affairs, QA &amp; pharmacovigilance consultancy</x:v>
      </x:c>
      <x:c r="K23" s="5" t="str">
        <x:v>UNVERIFIED; check entity scope</x:v>
      </x:c>
    </x:row>
    <x:row r="24" ht="39" customHeight="1">
      <x:c r="A24" s="5" t="str">
        <x:v>ArgusEye</x:v>
      </x:c>
      <x:c r="B24" s="5" t="str">
        <x:v>SEK</x:v>
      </x:c>
      <x:c r="C24" s="5" t="str">
        <x:v>FY2023/24</x:v>
      </x:c>
      <x:c r="D24" s="11" t="n">
        <x:v>3</x:v>
      </x:c>
      <x:c r="E24" s="5" t="str">
        <x:v>Approximate / estimated leading amount; unverified source claim</x:v>
      </x:c>
      <x:c r="F24" s="11" t="n">
        <x:v>18</x:v>
      </x:c>
      <x:c r="G24" s="5" t="str">
        <x:v>Stated leading amount; unverified source claim</x:v>
      </x:c>
      <x:c r="H24" s="5" t="str">
        <x:v>SEK 3.0M est.</x:v>
      </x:c>
      <x:c r="I24" s="5" t="str">
        <x:v>SEK 18.0M</x:v>
      </x:c>
      <x:c r="J24" s="5" t="str">
        <x:v>Private bioprocess sensor technology; raised €3.3M in 2026 and €2.8M in 2024 from Voima &amp; Eir</x:v>
      </x:c>
      <x:c r="K24" s="5" t="str">
        <x:v>UNVERIFIED; check entity scope</x:v>
      </x:c>
    </x:row>
    <x:row r="25" ht="39" customHeight="1">
      <x:c r="A25" s="5" t="str">
        <x:v>Ascelia Pharma</x:v>
      </x:c>
      <x:c r="B25" s="5" t="str">
        <x:v>SEK</x:v>
      </x:c>
      <x:c r="C25" s="5" t="str">
        <x:v>FY2023/24</x:v>
      </x:c>
      <x:c r="D25" s="11" t="n">
        <x:v>0</x:v>
      </x:c>
      <x:c r="E25" s="5" t="str">
        <x:v>Stated leading amount; unverified source claim</x:v>
      </x:c>
      <x:c r="F25" s="11" t="n">
        <x:v>74.2</x:v>
      </x:c>
      <x:c r="G25" s="5" t="str">
        <x:v>Stated leading amount; unverified source claim</x:v>
      </x:c>
      <x:c r="H25" s="5" t="str">
        <x:v>SEK 0M (Clinical stage)</x:v>
      </x:c>
      <x:c r="I25" s="5" t="str">
        <x:v>SEK 74.2M</x:v>
      </x:c>
      <x:c r="J25" s="5" t="str">
        <x:v>Listed (Nasdaq Stockholm: ACE); liver MRI imaging agent Orviglance (SPARKLE study)</x:v>
      </x:c>
      <x:c r="K25" s="5" t="str">
        <x:v>UNVERIFIED; check entity scope</x:v>
      </x:c>
    </x:row>
    <x:row r="26" ht="39" customHeight="1">
      <x:c r="A26" s="5" t="str">
        <x:v>Asgard Therapeutics</x:v>
      </x:c>
      <x:c r="B26" s="5" t="str">
        <x:v>EUR</x:v>
      </x:c>
      <x:c r="C26" s="5" t="str">
        <x:v>FY2024</x:v>
      </x:c>
      <x:c r="D26" s="11" t="n">
        <x:v>0</x:v>
      </x:c>
      <x:c r="E26" s="5" t="str">
        <x:v>Stated leading amount; unverified source claim</x:v>
      </x:c>
      <x:c r="F26" s="11" t="n">
        <x:v>5.5</x:v>
      </x:c>
      <x:c r="G26" s="5" t="str">
        <x:v>Stated leading amount; unverified source claim</x:v>
      </x:c>
      <x:c r="H26" s="5" t="str">
        <x:v>SEK 0M (Pre-clinical)</x:v>
      </x:c>
      <x:c r="I26" s="5" t="str">
        <x:v>EUR 5.5M (~SEK 62M)</x:v>
      </x:c>
      <x:c r="J26" s="5" t="str">
        <x:v>Private Lund spin-out; direct cell reprogramming for cancer immunotherapy; raised €30M Series A in March 2024</x:v>
      </x:c>
      <x:c r="K26" s="5" t="str">
        <x:v>UNVERIFIED; check entity scope</x:v>
      </x:c>
    </x:row>
    <x:row r="27" ht="100" customHeight="1">
      <x:c r="A27" s="5" t="str">
        <x:v>AstraZeneca</x:v>
      </x:c>
      <x:c r="B27" s="5" t="str">
        <x:v>USD</x:v>
      </x:c>
      <x:c r="C27" s="5" t="str">
        <x:v>FY2024</x:v>
      </x:c>
      <x:c r="D27" s="11" t="n">
        <x:v>54100</x:v>
      </x:c>
      <x:c r="E27" s="5" t="str">
        <x:v>Stated leading amount; unverified source claim</x:v>
      </x:c>
      <x:c r="F27" s="11" t="n">
        <x:v>13600</x:v>
      </x:c>
      <x:c r="G27" s="5" t="str">
        <x:v>Stated leading amount; unverified source claim</x:v>
      </x:c>
      <x:c r="H27" s="5" t="str">
        <x:v>USD 54,100.0M ($54.1B)</x:v>
      </x:c>
      <x:c r="I27" s="5" t="str">
        <x:v>USD 13,600.0M ($13.6B)</x:v>
      </x:c>
      <x:c r="J27" s="5" t="str">
        <x:v>Listed (AZN); global multinational flagship; major global R&amp;D hub in Gothenburg &amp; manufacturing in Södertälje</x:v>
      </x:c>
      <x:c r="K27" s="5" t="str">
        <x:v>PARTIAL — Review_Evidence: ROUNDED SOURCE</x:v>
      </x:c>
    </x:row>
    <x:row r="28" ht="39" customHeight="1">
      <x:c r="A28" s="5" t="str">
        <x:v>Aurevia</x:v>
      </x:c>
      <x:c r="B28" s="5" t="str">
        <x:v>SEK</x:v>
      </x:c>
      <x:c r="C28" s="5" t="str">
        <x:v>FY2023</x:v>
      </x:c>
      <x:c r="D28" s="11" t="n">
        <x:v>46.9</x:v>
      </x:c>
      <x:c r="E28" s="5" t="str">
        <x:v>Stated leading amount; unverified source claim</x:v>
      </x:c>
      <x:c r="F28" s="11" t="n">
        <x:v>4</x:v>
      </x:c>
      <x:c r="G28" s="5" t="str">
        <x:v>Stated leading amount; unverified source claim</x:v>
      </x:c>
      <x:c r="H28" s="5" t="str">
        <x:v>SEK 46.9M</x:v>
      </x:c>
      <x:c r="I28" s="5" t="str">
        <x:v>SEK 4.0M</x:v>
      </x:c>
      <x:c r="J28" s="5" t="str">
        <x:v>Private CRO &amp; QARA provider; backed by Mérieux Equity Partners (independent spin from Labquality)</x:v>
      </x:c>
      <x:c r="K28" s="5" t="str">
        <x:v>UNVERIFIED; check entity scope</x:v>
      </x:c>
    </x:row>
    <x:row r="29" ht="100" customHeight="1">
      <x:c r="A29" s="5" t="str">
        <x:v>Avia Pharma</x:v>
      </x:c>
      <x:c r="B29" s="5" t="str">
        <x:v>SEK</x:v>
      </x:c>
      <x:c r="C29" s="5" t="str">
        <x:v>FY2023/24</x:v>
      </x:c>
      <x:c r="D29" s="11" t="n">
        <x:v>600</x:v>
      </x:c>
      <x:c r="E29" s="5" t="str">
        <x:v>&gt; lower bound; unverified source claim</x:v>
      </x:c>
      <x:c r="F29" s="11" t="n">
        <x:v>30</x:v>
      </x:c>
      <x:c r="G29" s="5" t="str">
        <x:v>Approximate / estimated leading amount; unverified source claim</x:v>
      </x:c>
      <x:c r="H29" s="5" t="str">
        <x:v>&gt;SEK 600.0M</x:v>
      </x:c>
      <x:c r="I29" s="5" t="str">
        <x:v>SEK 30.0M est.</x:v>
      </x:c>
      <x:c r="J29" s="5" t="str">
        <x:v>Private specialty pharma group; backed by Impilo; acquired German dermatology player Neubourg</x:v>
      </x:c>
      <x:c r="K29" s="5" t="str">
        <x:v>PARTIAL — Review_Evidence: LOWER BOUND SUPPORTED; FISCAL PERIOD NOT ESTABLISHED</x:v>
      </x:c>
    </x:row>
    <x:row r="30" ht="39" customHeight="1">
      <x:c r="A30" s="5" t="str">
        <x:v>Beactica Therapeutics</x:v>
      </x:c>
      <x:c r="B30" s="5" t="str">
        <x:v>SEK</x:v>
      </x:c>
      <x:c r="C30" s="5" t="str">
        <x:v>FY2023/24</x:v>
      </x:c>
      <x:c r="D30" s="11" t="n">
        <x:v>8.5</x:v>
      </x:c>
      <x:c r="E30" s="5" t="str">
        <x:v>Stated leading amount; unverified source claim</x:v>
      </x:c>
      <x:c r="F30" s="11" t="n">
        <x:v>32.1</x:v>
      </x:c>
      <x:c r="G30" s="5" t="str">
        <x:v>Stated leading amount; unverified source claim</x:v>
      </x:c>
      <x:c r="H30" s="5" t="str">
        <x:v>SEK 8.5M</x:v>
      </x:c>
      <x:c r="I30" s="5" t="str">
        <x:v>SEK 32.1M</x:v>
      </x:c>
      <x:c r="J30" s="5" t="str">
        <x:v>Private clinical-stage drug discovery; fragment-based oncology (awarded €2.5M EIC grant)</x:v>
      </x:c>
      <x:c r="K30" s="5" t="str">
        <x:v>UNVERIFIED; check entity scope</x:v>
      </x:c>
    </x:row>
    <x:row r="31" ht="39" customHeight="1">
      <x:c r="A31" s="5" t="str">
        <x:v>Bio-Works</x:v>
      </x:c>
      <x:c r="B31" s="5" t="str">
        <x:v>SEK</x:v>
      </x:c>
      <x:c r="C31" s="5" t="str">
        <x:v>FY2023/24</x:v>
      </x:c>
      <x:c r="D31" s="11" t="n">
        <x:v>43.9</x:v>
      </x:c>
      <x:c r="E31" s="5" t="str">
        <x:v>Stated leading amount; unverified source claim</x:v>
      </x:c>
      <x:c r="F31" s="11" t="n">
        <x:v>16.8</x:v>
      </x:c>
      <x:c r="G31" s="5" t="str">
        <x:v>Stated leading amount; unverified source claim</x:v>
      </x:c>
      <x:c r="H31" s="5" t="str">
        <x:v>SEK 43.9M</x:v>
      </x:c>
      <x:c r="I31" s="5" t="str">
        <x:v>SEK 16.8M</x:v>
      </x:c>
      <x:c r="J31" s="5" t="str">
        <x:v>Listed (Nasdaq First North: BIOWKS); agarose-based chromatography resins for bioprocessing</x:v>
      </x:c>
      <x:c r="K31" s="5" t="str">
        <x:v>UNVERIFIED; check entity scope</x:v>
      </x:c>
    </x:row>
    <x:row r="32" ht="39" customHeight="1">
      <x:c r="A32" s="5" t="str">
        <x:v>BioArctic</x:v>
      </x:c>
      <x:c r="B32" s="5" t="str">
        <x:v>SEK</x:v>
      </x:c>
      <x:c r="C32" s="5" t="str">
        <x:v>FY2023/24</x:v>
      </x:c>
      <x:c r="D32" s="11" t="n">
        <x:v>228.3</x:v>
      </x:c>
      <x:c r="E32" s="5" t="str">
        <x:v>Stated leading amount; unverified source claim</x:v>
      </x:c>
      <x:c r="F32" s="11" t="n">
        <x:v>284.1</x:v>
      </x:c>
      <x:c r="G32" s="5" t="str">
        <x:v>Stated leading amount; unverified source claim</x:v>
      </x:c>
      <x:c r="H32" s="5" t="str">
        <x:v>SEK 228.3M (excl. Eisai royalties)</x:v>
      </x:c>
      <x:c r="I32" s="5" t="str">
        <x:v>SEK 284.1M</x:v>
      </x:c>
      <x:c r="J32" s="5" t="str">
        <x:v>Listed (Nasdaq Stockholm: BIOA B); originator of Leqembi (lecanemab) for Alzheimer's disease</x:v>
      </x:c>
      <x:c r="K32" s="5" t="str">
        <x:v>UNVERIFIED; check entity scope</x:v>
      </x:c>
    </x:row>
    <x:row r="33" ht="39" customHeight="1">
      <x:c r="A33" s="5" t="str">
        <x:v>BioGaia</x:v>
      </x:c>
      <x:c r="B33" s="5" t="str">
        <x:v>SEK</x:v>
      </x:c>
      <x:c r="C33" s="5" t="str">
        <x:v>FY2023/24</x:v>
      </x:c>
      <x:c r="D33" s="11" t="n">
        <x:v>1304</x:v>
      </x:c>
      <x:c r="E33" s="5" t="str">
        <x:v>Stated leading amount; unverified source claim</x:v>
      </x:c>
      <x:c r="F33" s="11" t="n">
        <x:v>128.5</x:v>
      </x:c>
      <x:c r="G33" s="5" t="str">
        <x:v>Stated leading amount; unverified source claim</x:v>
      </x:c>
      <x:c r="H33" s="5" t="str">
        <x:v>SEK 1,304.0M</x:v>
      </x:c>
      <x:c r="I33" s="5" t="str">
        <x:v>SEK 128.5M (~10% of sales)</x:v>
      </x:c>
      <x:c r="J33" s="5" t="str">
        <x:v>Listed (Nasdaq Stockholm: BIOG B); global leader in probiotics and microbiome clinical trials</x:v>
      </x:c>
      <x:c r="K33" s="5" t="str">
        <x:v>UNVERIFIED; check entity scope</x:v>
      </x:c>
    </x:row>
    <x:row r="34" ht="39" customHeight="1">
      <x:c r="A34" s="5" t="str">
        <x:v>BioInvent International</x:v>
      </x:c>
      <x:c r="B34" s="5" t="str">
        <x:v>SEK</x:v>
      </x:c>
      <x:c r="C34" s="5" t="str">
        <x:v>FY2023/24</x:v>
      </x:c>
      <x:c r="D34" s="11" t="n">
        <x:v>148.5</x:v>
      </x:c>
      <x:c r="E34" s="5" t="str">
        <x:v>Stated leading amount; unverified source claim</x:v>
      </x:c>
      <x:c r="F34" s="11" t="n">
        <x:v>342.6</x:v>
      </x:c>
      <x:c r="G34" s="5" t="str">
        <x:v>Stated leading amount; unverified source claim</x:v>
      </x:c>
      <x:c r="H34" s="5" t="str">
        <x:v>SEK 148.5M ($23.1M)</x:v>
      </x:c>
      <x:c r="I34" s="5" t="str">
        <x:v>SEK 342.6M</x:v>
      </x:c>
      <x:c r="J34" s="5" t="str">
        <x:v>Listed (Nasdaq Stockholm: BINV); novel immuno-oncology antibody therapeutics (n-CoDeR/F.I.R.S.T)</x:v>
      </x:c>
      <x:c r="K34" s="5" t="str">
        <x:v>UNVERIFIED; check entity scope</x:v>
      </x:c>
    </x:row>
    <x:row r="35" ht="39" customHeight="1">
      <x:c r="A35" s="5" t="str">
        <x:v>BioLamina</x:v>
      </x:c>
      <x:c r="B35" s="5" t="str">
        <x:v>SEK</x:v>
      </x:c>
      <x:c r="C35" s="5" t="str">
        <x:v>FY2023/24</x:v>
      </x:c>
      <x:c r="D35" s="11" t="n">
        <x:v>95</x:v>
      </x:c>
      <x:c r="E35" s="5" t="str">
        <x:v>Approximate / estimated leading amount; unverified source claim</x:v>
      </x:c>
      <x:c r="F35" s="11" t="n">
        <x:v>28</x:v>
      </x:c>
      <x:c r="G35" s="5" t="str">
        <x:v>Stated leading amount; unverified source claim</x:v>
      </x:c>
      <x:c r="H35" s="5" t="str">
        <x:v>SEK 95.0M est. ($9M)</x:v>
      </x:c>
      <x:c r="I35" s="5" t="str">
        <x:v>SEK 28.0M</x:v>
      </x:c>
      <x:c r="J35" s="5" t="str">
        <x:v>Private cell culture matrix developer; human recombinant laminins; secured €20M EIB loan in 2026</x:v>
      </x:c>
      <x:c r="K35" s="5" t="str">
        <x:v>UNVERIFIED; check entity scope</x:v>
      </x:c>
    </x:row>
    <x:row r="36" ht="39" customHeight="1">
      <x:c r="A36" s="5" t="str">
        <x:v>BioReperia</x:v>
      </x:c>
      <x:c r="B36" s="5" t="str">
        <x:v>SEK</x:v>
      </x:c>
      <x:c r="C36" s="5" t="str">
        <x:v>FY2023/24</x:v>
      </x:c>
      <x:c r="D36" s="11" t="n">
        <x:v>20</x:v>
      </x:c>
      <x:c r="E36" s="5" t="str">
        <x:v>Approximate / estimated leading amount; unverified source claim</x:v>
      </x:c>
      <x:c r="F36" s="11" t="n">
        <x:v>7.5</x:v>
      </x:c>
      <x:c r="G36" s="5" t="str">
        <x:v>Stated leading amount; unverified source claim</x:v>
      </x:c>
      <x:c r="H36" s="5" t="str">
        <x:v>SEK 20.0M est. ($4.3M gross)</x:v>
      </x:c>
      <x:c r="I36" s="5" t="str">
        <x:v>SEK 7.5M</x:v>
      </x:c>
      <x:c r="J36" s="5" t="str">
        <x:v>Private Linköping spin-out; zebrafish tumor xenograft models for rapid cancer drug screening</x:v>
      </x:c>
      <x:c r="K36" s="5" t="str">
        <x:v>UNVERIFIED; check entity scope</x:v>
      </x:c>
    </x:row>
    <x:row r="37" ht="39" customHeight="1">
      <x:c r="A37" s="5" t="str">
        <x:v>Bionamic</x:v>
      </x:c>
      <x:c r="B37" s="5" t="str">
        <x:v>SEK</x:v>
      </x:c>
      <x:c r="C37" s="5" t="str">
        <x:v>FY2023/24</x:v>
      </x:c>
      <x:c r="D37" s="11" t="n">
        <x:v>11.5</x:v>
      </x:c>
      <x:c r="E37" s="5" t="str">
        <x:v>Approximate / estimated leading amount; unverified source claim</x:v>
      </x:c>
      <x:c r="F37" s="11" t="n">
        <x:v>8</x:v>
      </x:c>
      <x:c r="G37" s="5" t="str">
        <x:v>Stated leading amount; unverified source claim</x:v>
      </x:c>
      <x:c r="H37" s="5" t="str">
        <x:v>SEK 11.5M est.</x:v>
      </x:c>
      <x:c r="I37" s="5" t="str">
        <x:v>SEK 8.0M</x:v>
      </x:c>
      <x:c r="J37" s="5" t="str">
        <x:v>Private biopharma software platform for antibody research and workflow integration</x:v>
      </x:c>
      <x:c r="K37" s="5" t="str">
        <x:v>UNVERIFIED; check entity scope</x:v>
      </x:c>
    </x:row>
    <x:row r="38" ht="100" customHeight="1">
      <x:c r="A38" s="5" t="str">
        <x:v>Biotage</x:v>
      </x:c>
      <x:c r="B38" s="5" t="str">
        <x:v>SEK</x:v>
      </x:c>
      <x:c r="C38" s="5" t="str">
        <x:v>FY2024</x:v>
      </x:c>
      <x:c r="D38" s="11" t="n">
        <x:v>2056</x:v>
      </x:c>
      <x:c r="E38" s="5" t="str">
        <x:v>Stated leading amount; unverified source claim</x:v>
      </x:c>
      <x:c r="F38" s="11" t="n">
        <x:v>180</x:v>
      </x:c>
      <x:c r="G38" s="5" t="str">
        <x:v>Stated leading amount; unverified source claim</x:v>
      </x:c>
      <x:c r="H38" s="5" t="str">
        <x:v>SEK 2,056.0M</x:v>
      </x:c>
      <x:c r="I38" s="5" t="str">
        <x:v>SEK 180.0M</x:v>
      </x:c>
      <x:c r="J38" s="5" t="str">
        <x:v>Listed (Nasdaq Stockholm: BIOT); automated synthesis, flash chromatography &amp; analytical chemistry</x:v>
      </x:c>
      <x:c r="K38" s="5" t="str">
        <x:v>PARTIAL — Review_Evidence: SUPPORTED; SUPPORTED WITH DEFINITION LIMIT</x:v>
      </x:c>
    </x:row>
    <x:row r="39" ht="39" customHeight="1">
      <x:c r="A39" s="5" t="str">
        <x:v>Biovica</x:v>
      </x:c>
      <x:c r="B39" s="5" t="str">
        <x:v>SEK</x:v>
      </x:c>
      <x:c r="C39" s="5" t="str">
        <x:v>FY2023/24</x:v>
      </x:c>
      <x:c r="D39" s="11" t="n">
        <x:v>7.29</x:v>
      </x:c>
      <x:c r="E39" s="5" t="str">
        <x:v>Stated leading amount; unverified source claim</x:v>
      </x:c>
      <x:c r="F39" s="11" t="n">
        <x:v>48.6</x:v>
      </x:c>
      <x:c r="G39" s="5" t="str">
        <x:v>Stated leading amount; unverified source claim</x:v>
      </x:c>
      <x:c r="H39" s="5" t="str">
        <x:v>SEK 7.29M (FY23/24; SEK 8.62M FY24/25)</x:v>
      </x:c>
      <x:c r="I39" s="5" t="str">
        <x:v>SEK 48.6M</x:v>
      </x:c>
      <x:c r="J39" s="5" t="str">
        <x:v>Listed (Nasdaq First North: BIOVIC B); DiviTum TKa biomarker assay for metastatic breast cancer</x:v>
      </x:c>
      <x:c r="K39" s="5" t="str">
        <x:v>UNVERIFIED; check entity scope</x:v>
      </x:c>
    </x:row>
    <x:row r="40" ht="39" customHeight="1">
      <x:c r="A40" s="5" t="str">
        <x:v>Bluefish Pharmaceuticals</x:v>
      </x:c>
      <x:c r="B40" s="5" t="str">
        <x:v>SEK</x:v>
      </x:c>
      <x:c r="C40" s="5" t="str">
        <x:v>FY2023/24</x:v>
      </x:c>
      <x:c r="D40" s="11" t="n">
        <x:v>484.8</x:v>
      </x:c>
      <x:c r="E40" s="5" t="str">
        <x:v>Stated leading amount; unverified source claim</x:v>
      </x:c>
      <x:c r="F40" s="11" t="n">
        <x:v>38.5</x:v>
      </x:c>
      <x:c r="G40" s="5" t="str">
        <x:v>Stated leading amount; unverified source claim</x:v>
      </x:c>
      <x:c r="H40" s="5" t="str">
        <x:v>SEK 484.8M</x:v>
      </x:c>
      <x:c r="I40" s="5" t="str">
        <x:v>SEK 38.5M</x:v>
      </x:c>
      <x:c r="J40" s="5" t="str">
        <x:v>Owned by Färna Invest AB; generic pharmaceuticals manufacturer and distributor across Europe</x:v>
      </x:c>
      <x:c r="K40" s="5" t="str">
        <x:v>UNVERIFIED; check entity scope</x:v>
      </x:c>
    </x:row>
    <x:row r="41" ht="39" customHeight="1">
      <x:c r="A41" s="5" t="str">
        <x:v>Calliditas Therapeutics</x:v>
      </x:c>
      <x:c r="B41" s="5" t="str">
        <x:v>SEK</x:v>
      </x:c>
      <x:c r="C41" s="5" t="str">
        <x:v>FY2023</x:v>
      </x:c>
      <x:c r="D41" s="11" t="n">
        <x:v>1180.3</x:v>
      </x:c>
      <x:c r="E41" s="5" t="str">
        <x:v>Stated leading amount; unverified source claim</x:v>
      </x:c>
      <x:c r="F41" s="11" t="n">
        <x:v>647.9</x:v>
      </x:c>
      <x:c r="G41" s="5" t="str">
        <x:v>Stated leading amount; unverified source claim</x:v>
      </x:c>
      <x:c r="H41" s="5" t="str">
        <x:v>SEK 1,180.3M</x:v>
      </x:c>
      <x:c r="I41" s="5" t="str">
        <x:v>SEK 647.9M</x:v>
      </x:c>
      <x:c r="J41" s="5" t="str">
        <x:v>Acquired by Asahi Kasei in 2024 for SEK 11.2B; Tarpeyo / Kinpeygo for IgA nephropathy</x:v>
      </x:c>
      <x:c r="K41" s="5" t="str">
        <x:v>UNVERIFIED; check entity scope</x:v>
      </x:c>
    </x:row>
    <x:row r="42" ht="39" customHeight="1">
      <x:c r="A42" s="5" t="str">
        <x:v>Cambrex</x:v>
      </x:c>
      <x:c r="B42" s="5" t="str">
        <x:v>USD</x:v>
      </x:c>
      <x:c r="C42" s="5" t="str">
        <x:v>FY2023/24</x:v>
      </x:c>
      <x:c r="D42" s="11" t="n">
        <x:v>700</x:v>
      </x:c>
      <x:c r="E42" s="5" t="str">
        <x:v>Approximate / estimated leading amount; unverified source claim</x:v>
      </x:c>
      <x:c r="F42" s="11" t="n">
        <x:v>50</x:v>
      </x:c>
      <x:c r="G42" s="5" t="str">
        <x:v>Stated leading amount; unverified source claim</x:v>
      </x:c>
      <x:c r="H42" s="5" t="str">
        <x:v>USD 700.0M est. (Karlskoga site ~SEK 1,250M)</x:v>
      </x:c>
      <x:c r="I42" s="5" t="str">
        <x:v>USD 50.0M (~SEK 65M at Karlskoga)</x:v>
      </x:c>
      <x:c r="J42" s="5" t="str">
        <x:v>Private equity-owned by Permira; global small molecule API CDMO facility in Karlskoga</x:v>
      </x:c>
      <x:c r="K42" s="5" t="str">
        <x:v>UNVERIFIED; check entity scope</x:v>
      </x:c>
    </x:row>
    <x:row r="43" ht="100" customHeight="1">
      <x:c r="A43" s="5" t="str">
        <x:v>Camurus</x:v>
      </x:c>
      <x:c r="B43" s="5" t="str">
        <x:v>SEK</x:v>
      </x:c>
      <x:c r="C43" s="5" t="str">
        <x:v>FY2024</x:v>
      </x:c>
      <x:c r="D43" s="11" t="n">
        <x:v>1868</x:v>
      </x:c>
      <x:c r="E43" s="5" t="str">
        <x:v>Stated leading amount; unverified source claim</x:v>
      </x:c>
      <x:c r="F43" s="11" t="n">
        <x:v>485</x:v>
      </x:c>
      <x:c r="G43" s="5" t="str">
        <x:v>Stated leading amount; unverified source claim</x:v>
      </x:c>
      <x:c r="H43" s="5" t="str">
        <x:v>SEK 1,868.0M</x:v>
      </x:c>
      <x:c r="I43" s="5" t="str">
        <x:v>SEK 485.0M</x:v>
      </x:c>
      <x:c r="J43" s="5" t="str">
        <x:v>Listed (Nasdaq Stockholm: CAMX); specialty biopharma; FluidCrystal delivery platform (CAM2029)</x:v>
      </x:c>
      <x:c r="K43" s="5" t="str">
        <x:v>PARTIAL — Review_Evidence: SUPPORTED; CONTRADICTED</x:v>
      </x:c>
    </x:row>
    <x:row r="44" ht="39" customHeight="1">
      <x:c r="A44" s="5" t="str">
        <x:v>Cantargia</x:v>
      </x:c>
      <x:c r="B44" s="5" t="str">
        <x:v>SEK</x:v>
      </x:c>
      <x:c r="C44" s="5" t="str">
        <x:v>FY2024</x:v>
      </x:c>
      <x:c r="D44" s="11" t="n">
        <x:v>0</x:v>
      </x:c>
      <x:c r="E44" s="5" t="str">
        <x:v>Stated leading amount; unverified source claim</x:v>
      </x:c>
      <x:c r="F44" s="11" t="n">
        <x:v>178.5</x:v>
      </x:c>
      <x:c r="G44" s="5" t="str">
        <x:v>Stated leading amount; unverified source claim</x:v>
      </x:c>
      <x:c r="H44" s="5" t="str">
        <x:v>SEK 0M (Clinical stage)</x:v>
      </x:c>
      <x:c r="I44" s="5" t="str">
        <x:v>SEK 178.5M</x:v>
      </x:c>
      <x:c r="J44" s="5" t="str">
        <x:v>Listed (Nasdaq Stockholm: CANTA); IL1RAP antibody therapeutics (Nadunolimab, CAN10)</x:v>
      </x:c>
      <x:c r="K44" s="5" t="str">
        <x:v>UNVERIFIED; check entity scope</x:v>
      </x:c>
    </x:row>
    <x:row r="45" ht="39" customHeight="1">
      <x:c r="A45" s="5" t="str">
        <x:v>Carbiotix</x:v>
      </x:c>
      <x:c r="B45" s="5" t="str">
        <x:v>SEK</x:v>
      </x:c>
      <x:c r="C45" s="5" t="str">
        <x:v>FY2023/24</x:v>
      </x:c>
      <x:c r="D45" s="11" t="n">
        <x:v>1.8</x:v>
      </x:c>
      <x:c r="E45" s="5" t="str">
        <x:v>Stated leading amount; unverified source claim</x:v>
      </x:c>
      <x:c r="F45" s="11" t="n">
        <x:v>9.2</x:v>
      </x:c>
      <x:c r="G45" s="5" t="str">
        <x:v>Stated leading amount; unverified source claim</x:v>
      </x:c>
      <x:c r="H45" s="5" t="str">
        <x:v>SEK 1.8M</x:v>
      </x:c>
      <x:c r="I45" s="5" t="str">
        <x:v>SEK 9.2M</x:v>
      </x:c>
      <x:c r="J45" s="5" t="str">
        <x:v>Listed (Spotlight: CRBX); prebiotic soluble fibers (CarbiAXOS) and gut microbiome testing</x:v>
      </x:c>
      <x:c r="K45" s="5" t="str">
        <x:v>UNVERIFIED; check entity scope</x:v>
      </x:c>
    </x:row>
    <x:row r="46" ht="39" customHeight="1">
      <x:c r="A46" s="5" t="str">
        <x:v>Cellenion</x:v>
      </x:c>
      <x:c r="B46" s="5" t="str">
        <x:v>EUR</x:v>
      </x:c>
      <x:c r="C46" s="5" t="str">
        <x:v>FY2023/24</x:v>
      </x:c>
      <x:c r="D46" s="11" t="n">
        <x:v>18</x:v>
      </x:c>
      <x:c r="E46" s="5" t="str">
        <x:v>Approximate / estimated leading amount; unverified source claim</x:v>
      </x:c>
      <x:c r="F46" s="11" t="n">
        <x:v>4.2</x:v>
      </x:c>
      <x:c r="G46" s="5" t="str">
        <x:v>Stated leading amount; unverified source claim</x:v>
      </x:c>
      <x:c r="H46" s="5" t="str">
        <x:v>EUR 18.0M est. (~SEK 205M)</x:v>
      </x:c>
      <x:c r="I46" s="5" t="str">
        <x:v>EUR 4.2M (~SEK 48M)</x:v>
      </x:c>
      <x:c r="J46" s="5" t="str">
        <x:v>Part of BICO Group (cellenONE single cell isolation &amp; picoliter precision dispensing)</x:v>
      </x:c>
      <x:c r="K46" s="5" t="str">
        <x:v>UNVERIFIED; check entity scope</x:v>
      </x:c>
    </x:row>
    <x:row r="47" ht="39" customHeight="1">
      <x:c r="A47" s="5" t="str">
        <x:v>Cellevate</x:v>
      </x:c>
      <x:c r="B47" s="5" t="str">
        <x:v>SEK</x:v>
      </x:c>
      <x:c r="C47" s="5" t="str">
        <x:v>FY2023/24</x:v>
      </x:c>
      <x:c r="D47" s="11" t="n">
        <x:v>4.5</x:v>
      </x:c>
      <x:c r="E47" s="5" t="str">
        <x:v>Approximate / estimated leading amount; unverified source claim</x:v>
      </x:c>
      <x:c r="F47" s="11" t="n">
        <x:v>18.2</x:v>
      </x:c>
      <x:c r="G47" s="5" t="str">
        <x:v>Stated leading amount; unverified source claim</x:v>
      </x:c>
      <x:c r="H47" s="5" t="str">
        <x:v>SEK 4.5M est.</x:v>
      </x:c>
      <x:c r="I47" s="5" t="str">
        <x:v>SEK 18.2M</x:v>
      </x:c>
      <x:c r="J47" s="5" t="str">
        <x:v>Private Lund nanotech; nanofiber microcarriers for upstream biomanufacturing; raised SEK 21.3M in 2026</x:v>
      </x:c>
      <x:c r="K47" s="5" t="str">
        <x:v>UNVERIFIED; check entity scope</x:v>
      </x:c>
    </x:row>
    <x:row r="48" ht="100" customHeight="1">
      <x:c r="A48" s="5" t="str">
        <x:v>Cellink</x:v>
      </x:c>
      <x:c r="B48" s="5" t="str">
        <x:v>SEK</x:v>
      </x:c>
      <x:c r="C48" s="5" t="str">
        <x:v>FY2023/24</x:v>
      </x:c>
      <x:c r="D48" s="11" t="n">
        <x:v>2240</x:v>
      </x:c>
      <x:c r="E48" s="5" t="str">
        <x:v>Stated leading amount; unverified source claim</x:v>
      </x:c>
      <x:c r="F48" s="11" t="n">
        <x:v>215</x:v>
      </x:c>
      <x:c r="G48" s="5" t="str">
        <x:v>Stated leading amount; unverified source claim</x:v>
      </x:c>
      <x:c r="H48" s="5" t="str">
        <x:v>SEK 2,240.0M (BICO Group consolidated; Cellink ~SEK 600M)</x:v>
      </x:c>
      <x:c r="I48" s="5" t="str">
        <x:v>SEK 215.0M (BICO Group R&amp;D)</x:v>
      </x:c>
      <x:c r="J48" s="5" t="str">
        <x:v>Core 3D bioprinting division of BICO Group (Nasdaq Stockholm: BICO)</x:v>
      </x:c>
      <x:c r="K48" s="5" t="str">
        <x:v>PARENT BICO FIGURES — not standalone Cellink; subsidiary estimate unverified</x:v>
      </x:c>
    </x:row>
    <x:row r="49" ht="39" customHeight="1">
      <x:c r="A49" s="5" t="str">
        <x:v>Cereno Scientific</x:v>
      </x:c>
      <x:c r="B49" s="5" t="str">
        <x:v>SEK</x:v>
      </x:c>
      <x:c r="C49" s="5" t="str">
        <x:v>FY2024</x:v>
      </x:c>
      <x:c r="D49" s="11" t="n">
        <x:v>0</x:v>
      </x:c>
      <x:c r="E49" s="5" t="str">
        <x:v>Stated leading amount; unverified source claim</x:v>
      </x:c>
      <x:c r="F49" s="11" t="n">
        <x:v>78.4</x:v>
      </x:c>
      <x:c r="G49" s="5" t="str">
        <x:v>Stated leading amount; unverified source claim</x:v>
      </x:c>
      <x:c r="H49" s="5" t="str">
        <x:v>SEK 0M (Clinical stage)</x:v>
      </x:c>
      <x:c r="I49" s="5" t="str">
        <x:v>SEK 78.4M</x:v>
      </x:c>
      <x:c r="J49" s="5" t="str">
        <x:v>Listed (Nasdaq First North: CRNO B); epigenetic modulation for pulmonary arterial hypertension (CS1)</x:v>
      </x:c>
      <x:c r="K49" s="5" t="str">
        <x:v>UNVERIFIED; check entity scope</x:v>
      </x:c>
    </x:row>
    <x:row r="50" ht="100" customHeight="1">
      <x:c r="A50" s="5" t="str">
        <x:v>Cinclus Pharma</x:v>
      </x:c>
      <x:c r="B50" s="5" t="str">
        <x:v>SEK</x:v>
      </x:c>
      <x:c r="C50" s="5" t="str">
        <x:v>FY2023/24</x:v>
      </x:c>
      <x:c r="D50" s="11" t="n">
        <x:v>5.96</x:v>
      </x:c>
      <x:c r="E50" s="5" t="str">
        <x:v>Stated leading amount; unverified source claim</x:v>
      </x:c>
      <x:c r="F50" s="11" t="n">
        <x:v>162.3</x:v>
      </x:c>
      <x:c r="G50" s="5" t="str">
        <x:v>Stated leading amount; unverified source claim</x:v>
      </x:c>
      <x:c r="H50" s="5" t="str">
        <x:v>SEK 5.96M (pre-commercial / interest)</x:v>
      </x:c>
      <x:c r="I50" s="5" t="str">
        <x:v>SEK 162.3M</x:v>
      </x:c>
      <x:c r="J50" s="5" t="str">
        <x:v>Listed (Nasdaq Stockholm: CINP); Linaprazan glurate P-CAB phase 3 for GERD &amp; erosive esophagitis</x:v>
      </x:c>
      <x:c r="K50" s="5" t="str">
        <x:v>PARTIAL — Review_Evidence: PERIOD / METRIC QUALIFICATION ERROR; ROUNDED PRIOR YEAR; INTEREST LABEL UNSUPPORTED</x:v>
      </x:c>
    </x:row>
    <x:row r="51" ht="39" customHeight="1">
      <x:c r="A51" s="5" t="str">
        <x:v>Corline Biomedical</x:v>
      </x:c>
      <x:c r="B51" s="5" t="str">
        <x:v>SEK</x:v>
      </x:c>
      <x:c r="C51" s="5" t="str">
        <x:v>FY2023/24</x:v>
      </x:c>
      <x:c r="D51" s="11" t="n">
        <x:v>18.2</x:v>
      </x:c>
      <x:c r="E51" s="5" t="str">
        <x:v>Stated leading amount; unverified source claim</x:v>
      </x:c>
      <x:c r="F51" s="11" t="n">
        <x:v>14.5</x:v>
      </x:c>
      <x:c r="G51" s="5" t="str">
        <x:v>Stated leading amount; unverified source claim</x:v>
      </x:c>
      <x:c r="H51" s="5" t="str">
        <x:v>SEK 18.2M (H1 2026 SEK 8.98M)</x:v>
      </x:c>
      <x:c r="I51" s="5" t="str">
        <x:v>SEK 14.5M</x:v>
      </x:c>
      <x:c r="J51" s="5" t="str">
        <x:v>Listed (Nasdaq First North: CLBI); Corline Heparin Surface (CHS) for medical devices and tissue implants</x:v>
      </x:c>
      <x:c r="K51" s="5" t="str">
        <x:v>UNVERIFIED; check entity scope</x:v>
      </x:c>
    </x:row>
    <x:row r="52" ht="39" customHeight="1">
      <x:c r="A52" s="5" t="str">
        <x:v>CubaseBio</x:v>
      </x:c>
      <x:c r="B52" s="5" t="str">
        <x:v>EUR</x:v>
      </x:c>
      <x:c r="C52" s="5" t="str">
        <x:v>FY2024</x:v>
      </x:c>
      <x:c r="D52" s="11" t="n">
        <x:v>0.2</x:v>
      </x:c>
      <x:c r="E52" s="5" t="str">
        <x:v>Approximate / estimated leading amount; unverified source claim</x:v>
      </x:c>
      <x:c r="F52" s="11" t="n">
        <x:v>2.8</x:v>
      </x:c>
      <x:c r="G52" s="5" t="str">
        <x:v>Stated leading amount; unverified source claim</x:v>
      </x:c>
      <x:c r="H52" s="5" t="str">
        <x:v>EUR 0.2M est.</x:v>
      </x:c>
      <x:c r="I52" s="5" t="str">
        <x:v>EUR 2.8M (~SEK 32M)</x:v>
      </x:c>
      <x:c r="J52" s="5" t="str">
        <x:v>Private spatial biology platform; raised €3.9M co-led by Nordic Science Investments in Feb 2026</x:v>
      </x:c>
      <x:c r="K52" s="5" t="str">
        <x:v>UNVERIFIED; check entity scope</x:v>
      </x:c>
    </x:row>
    <x:row r="53" ht="39" customHeight="1">
      <x:c r="A53" s="5" t="str">
        <x:v>Curovir</x:v>
      </x:c>
      <x:c r="B53" s="5" t="str">
        <x:v>SEK</x:v>
      </x:c>
      <x:c r="C53" s="5" t="str">
        <x:v>FY2023/24</x:v>
      </x:c>
      <x:c r="D53" s="11" t="n">
        <x:v>0</x:v>
      </x:c>
      <x:c r="E53" s="5" t="str">
        <x:v>Stated leading amount; unverified source claim</x:v>
      </x:c>
      <x:c r="F53" s="11" t="n">
        <x:v>6.5</x:v>
      </x:c>
      <x:c r="G53" s="5" t="str">
        <x:v>Stated leading amount; unverified source claim</x:v>
      </x:c>
      <x:c r="H53" s="5" t="str">
        <x:v>SEK 0M (Pre-clinical)</x:v>
      </x:c>
      <x:c r="I53" s="5" t="str">
        <x:v>SEK 6.5M</x:v>
      </x:c>
      <x:c r="J53" s="5" t="str">
        <x:v>Private antiviral development for enterovirus infections; Karolinska spin-out</x:v>
      </x:c>
      <x:c r="K53" s="5" t="str">
        <x:v>UNVERIFIED; check entity scope</x:v>
      </x:c>
    </x:row>
    <x:row r="54" ht="32" customHeight="1">
      <x:c r="A54" s="5" t="str">
        <x:v>Cytely</x:v>
      </x:c>
      <x:c r="B54" s="5" t="str">
        <x:v>EUR</x:v>
      </x:c>
      <x:c r="C54" s="5" t="str">
        <x:v>FY2024</x:v>
      </x:c>
      <x:c r="D54" s="11" t="n">
        <x:v>0.1</x:v>
      </x:c>
      <x:c r="E54" s="5" t="str">
        <x:v>Approximate / estimated leading amount; unverified source claim</x:v>
      </x:c>
      <x:c r="F54" s="11" t="n">
        <x:v>2.5</x:v>
      </x:c>
      <x:c r="G54" s="5" t="str">
        <x:v>Stated leading amount; unverified source claim</x:v>
      </x:c>
      <x:c r="H54" s="5" t="str">
        <x:v>EUR 0.1M est.</x:v>
      </x:c>
      <x:c r="I54" s="5" t="str">
        <x:v>EUR 2.5M (~SEK 28M)</x:v>
      </x:c>
      <x:c r="J54" s="5" t="str">
        <x:v>Private AI smart microscopy assay automation; raised €3M seed in Oct 2025</x:v>
      </x:c>
      <x:c r="K54" s="5" t="str">
        <x:v>UNVERIFIED; check entity scope</x:v>
      </x:c>
    </x:row>
    <x:row r="55" ht="100" customHeight="1">
      <x:c r="A55" s="5" t="str">
        <x:v>DIGNITANA</x:v>
      </x:c>
      <x:c r="B55" s="5" t="str">
        <x:v>SEK</x:v>
      </x:c>
      <x:c r="C55" s="5" t="str">
        <x:v>FY2023/24</x:v>
      </x:c>
      <x:c r="D55" s="11" t="n">
        <x:v>91.8</x:v>
      </x:c>
      <x:c r="E55" s="5" t="str">
        <x:v>Stated leading amount; unverified source claim</x:v>
      </x:c>
      <x:c r="F55" s="11" t="n">
        <x:v>16.5</x:v>
      </x:c>
      <x:c r="G55" s="5" t="str">
        <x:v>Stated leading amount; unverified source claim</x:v>
      </x:c>
      <x:c r="H55" s="5" t="str">
        <x:v>SEK 91.8M (FY2023; ~SEK 88M in FY2024)</x:v>
      </x:c>
      <x:c r="I55" s="5" t="str">
        <x:v>SEK 16.5M</x:v>
      </x:c>
      <x:c r="J55" s="5" t="str">
        <x:v>Listed (Nasdaq First North: DIGN); DigniCap scalp cooling system to reduce chemotherapy-induced hair loss</x:v>
      </x:c>
      <x:c r="K55" s="5" t="str">
        <x:v>PARTIAL — Review_Evidence: CONTRADICTED / MIXED PERIODS; CONTRADICTED</x:v>
      </x:c>
    </x:row>
    <x:row r="56" ht="100" customHeight="1">
      <x:c r="A56" s="5" t="str">
        <x:v>Devyser</x:v>
      </x:c>
      <x:c r="B56" s="5" t="str">
        <x:v>SEK</x:v>
      </x:c>
      <x:c r="C56" s="5" t="str">
        <x:v>FY2024</x:v>
      </x:c>
      <x:c r="D56" s="11" t="n">
        <x:v>216.9</x:v>
      </x:c>
      <x:c r="E56" s="5" t="str">
        <x:v>Stated leading amount; unverified source claim</x:v>
      </x:c>
      <x:c r="F56" s="11" t="n">
        <x:v>44.8</x:v>
      </x:c>
      <x:c r="G56" s="5" t="str">
        <x:v>Stated leading amount; unverified source claim</x:v>
      </x:c>
      <x:c r="H56" s="5" t="str">
        <x:v>SEK 216.9M (SEK 169.3M in FY2023)</x:v>
      </x:c>
      <x:c r="I56" s="5" t="str">
        <x:v>SEK 44.8M</x:v>
      </x:c>
      <x:c r="J56" s="5" t="str">
        <x:v>Listed (Nasdaq Stockholm: DVYSR); advanced genetic testing and NGS diagnostics for hereditary diseases</x:v>
      </x:c>
      <x:c r="K56" s="5" t="str">
        <x:v>PARTIAL — Review_Evidence: SUPPORTED; DEFINITION MISMATCH</x:v>
      </x:c>
    </x:row>
    <x:row r="57" ht="39" customHeight="1">
      <x:c r="A57" s="5" t="str">
        <x:v>Diagonal Bio</x:v>
      </x:c>
      <x:c r="B57" s="5" t="str">
        <x:v>SEK</x:v>
      </x:c>
      <x:c r="C57" s="5" t="str">
        <x:v>FY2023/24</x:v>
      </x:c>
      <x:c r="D57" s="11" t="n">
        <x:v>2.7</x:v>
      </x:c>
      <x:c r="E57" s="5" t="str">
        <x:v>Stated leading amount; unverified source claim</x:v>
      </x:c>
      <x:c r="F57" s="11" t="n">
        <x:v>14.2</x:v>
      </x:c>
      <x:c r="G57" s="5" t="str">
        <x:v>Stated leading amount; unverified source claim</x:v>
      </x:c>
      <x:c r="H57" s="5" t="str">
        <x:v>SEK 2.7M (incl. capitalized dev)</x:v>
      </x:c>
      <x:c r="I57" s="5" t="str">
        <x:v>SEK 14.2M</x:v>
      </x:c>
      <x:c r="J57" s="5" t="str">
        <x:v>Listed (Nasdaq First North: DIA BIO); LAMPlify point-of-care rapid molecular pathogen diagnosis</x:v>
      </x:c>
      <x:c r="K57" s="5" t="str">
        <x:v>UNVERIFIED; check entity scope</x:v>
      </x:c>
    </x:row>
    <x:row r="58" ht="32" customHeight="1">
      <x:c r="A58" s="5" t="str">
        <x:v>EQL Pharma</x:v>
      </x:c>
      <x:c r="B58" s="5" t="str">
        <x:v>SEK</x:v>
      </x:c>
      <x:c r="C58" s="5" t="str">
        <x:v>FY2024/25</x:v>
      </x:c>
      <x:c r="D58" s="11" t="n">
        <x:v>373.5</x:v>
      </x:c>
      <x:c r="E58" s="5" t="str">
        <x:v>Stated leading amount; unverified source claim</x:v>
      </x:c>
      <x:c r="F58" s="11" t="n">
        <x:v>28.6</x:v>
      </x:c>
      <x:c r="G58" s="5" t="str">
        <x:v>Stated leading amount; unverified source claim</x:v>
      </x:c>
      <x:c r="H58" s="5" t="str">
        <x:v>SEK 373.5M (SEK 302.2M in FY2023/24)</x:v>
      </x:c>
      <x:c r="I58" s="5" t="str">
        <x:v>SEK 28.6M</x:v>
      </x:c>
      <x:c r="J58" s="5" t="str">
        <x:v>Listed (Nasdaq Stockholm: EQL); specialty and niche generic pharmaceuticals</x:v>
      </x:c>
      <x:c r="K58" s="5" t="str">
        <x:v>UNVERIFIED; check entity scope</x:v>
      </x:c>
    </x:row>
    <x:row r="59" ht="39" customHeight="1">
      <x:c r="A59" s="5" t="str">
        <x:v>EXINI Diagnostics</x:v>
      </x:c>
      <x:c r="B59" s="5" t="str">
        <x:v>SEK</x:v>
      </x:c>
      <x:c r="C59" s="5" t="str">
        <x:v>FY2023/24</x:v>
      </x:c>
      <x:c r="D59" s="11" t="n">
        <x:v>30</x:v>
      </x:c>
      <x:c r="E59" s="5" t="str">
        <x:v>Approximate / estimated leading amount; unverified source claim</x:v>
      </x:c>
      <x:c r="F59" s="11" t="n">
        <x:v>18</x:v>
      </x:c>
      <x:c r="G59" s="5" t="str">
        <x:v>Stated leading amount; unverified source claim</x:v>
      </x:c>
      <x:c r="H59" s="5" t="str">
        <x:v>SEK 30.0M est.</x:v>
      </x:c>
      <x:c r="I59" s="5" t="str">
        <x:v>SEK 18.0M</x:v>
      </x:c>
      <x:c r="J59" s="5" t="str">
        <x:v>Subsidiary of Lantheus Holdings (Nasdaq: LNTH); AI medical image analysis software (PSMA PET)</x:v>
      </x:c>
      <x:c r="K59" s="5" t="str">
        <x:v>UNVERIFIED; check entity scope</x:v>
      </x:c>
    </x:row>
    <x:row r="60" ht="39" customHeight="1">
      <x:c r="A60" s="5" t="str">
        <x:v>Egetis Therapeutics</x:v>
      </x:c>
      <x:c r="B60" s="5" t="str">
        <x:v>SEK</x:v>
      </x:c>
      <x:c r="C60" s="5" t="str">
        <x:v>FY2024</x:v>
      </x:c>
      <x:c r="D60" s="11" t="n">
        <x:v>46.1</x:v>
      </x:c>
      <x:c r="E60" s="5" t="str">
        <x:v>Stated leading amount; unverified source claim</x:v>
      </x:c>
      <x:c r="F60" s="11" t="n">
        <x:v>295.4</x:v>
      </x:c>
      <x:c r="G60" s="5" t="str">
        <x:v>Stated leading amount; unverified source claim</x:v>
      </x:c>
      <x:c r="H60" s="5" t="str">
        <x:v>SEK 46.1M</x:v>
      </x:c>
      <x:c r="I60" s="5" t="str">
        <x:v>SEK 295.4M</x:v>
      </x:c>
      <x:c r="J60" s="5" t="str">
        <x:v>Listed (Nasdaq Stockholm: EGTX); rare disease treatments; Emcitate for MCT8 deficiency</x:v>
      </x:c>
      <x:c r="K60" s="5" t="str">
        <x:v>UNVERIFIED; check entity scope</x:v>
      </x:c>
    </x:row>
    <x:row r="61" ht="100" customHeight="1">
      <x:c r="A61" s="5" t="str">
        <x:v>Elekta</x:v>
      </x:c>
      <x:c r="B61" s="5" t="str">
        <x:v>SEK</x:v>
      </x:c>
      <x:c r="C61" s="5" t="str">
        <x:v>FY2023/24</x:v>
      </x:c>
      <x:c r="D61" s="11" t="n">
        <x:v>19039</x:v>
      </x:c>
      <x:c r="E61" s="5" t="str">
        <x:v>Stated leading amount; unverified source claim</x:v>
      </x:c>
      <x:c r="F61" s="11" t="n">
        <x:v>2130</x:v>
      </x:c>
      <x:c r="G61" s="5" t="str">
        <x:v>Stated leading amount; unverified source claim</x:v>
      </x:c>
      <x:c r="H61" s="5" t="str">
        <x:v>SEK 19,039.0M (SEK 19.04B)</x:v>
      </x:c>
      <x:c r="I61" s="5" t="str">
        <x:v>SEK 2,130.0M (SEK 2.13B)</x:v>
      </x:c>
      <x:c r="J61" s="5" t="str">
        <x:v>Listed (Nasdaq Stockholm: EKTA B); radiation therapy systems, Elekta Unity MR-Linac &amp; Leksell Gamma Knife</x:v>
      </x:c>
      <x:c r="K61" s="5" t="str">
        <x:v>PARTIAL — Review_Evidence: CONTRADICTED; DEFINITION MISMATCH</x:v>
      </x:c>
    </x:row>
    <x:row r="62" ht="39" customHeight="1">
      <x:c r="A62" s="5" t="str">
        <x:v>Elypta</x:v>
      </x:c>
      <x:c r="B62" s="5" t="str">
        <x:v>SEK</x:v>
      </x:c>
      <x:c r="C62" s="5" t="str">
        <x:v>FY2023/24</x:v>
      </x:c>
      <x:c r="D62" s="11" t="n">
        <x:v>3.5</x:v>
      </x:c>
      <x:c r="E62" s="5" t="str">
        <x:v>Approximate / estimated leading amount; unverified source claim</x:v>
      </x:c>
      <x:c r="F62" s="11" t="n">
        <x:v>72</x:v>
      </x:c>
      <x:c r="G62" s="5" t="str">
        <x:v>Stated leading amount; unverified source claim</x:v>
      </x:c>
      <x:c r="H62" s="5" t="str">
        <x:v>SEK 3.5M est.</x:v>
      </x:c>
      <x:c r="I62" s="5" t="str">
        <x:v>SEK 72.0M</x:v>
      </x:c>
      <x:c r="J62" s="5" t="str">
        <x:v>Private metabolism-based liquid biopsy for early cancer detection; raised $21M Series A</x:v>
      </x:c>
      <x:c r="K62" s="5" t="str">
        <x:v>UNVERIFIED; check entity scope</x:v>
      </x:c>
    </x:row>
    <x:row r="63" ht="39" customHeight="1">
      <x:c r="A63" s="5" t="str">
        <x:v>FenoMark Diagnostics</x:v>
      </x:c>
      <x:c r="B63" s="5" t="str">
        <x:v>SEK</x:v>
      </x:c>
      <x:c r="C63" s="5" t="str">
        <x:v>FY2023</x:v>
      </x:c>
      <x:c r="D63" s="11" t="n">
        <x:v>0</x:v>
      </x:c>
      <x:c r="E63" s="5" t="str">
        <x:v>Stated leading amount; unverified source claim</x:v>
      </x:c>
      <x:c r="F63" s="11" t="n">
        <x:v>2.8</x:v>
      </x:c>
      <x:c r="G63" s="5" t="str">
        <x:v>Stated leading amount; unverified source claim</x:v>
      </x:c>
      <x:c r="H63" s="5" t="str">
        <x:v>SEK 0M (Early stage)</x:v>
      </x:c>
      <x:c r="I63" s="5" t="str">
        <x:v>SEK 2.8M</x:v>
      </x:c>
      <x:c r="J63" s="5" t="str">
        <x:v>Private early-stage molecular diagnostics and proteomics biomarkers for precision oncology</x:v>
      </x:c>
      <x:c r="K63" s="5" t="str">
        <x:v>UNVERIFIED; check entity scope</x:v>
      </x:c>
    </x:row>
    <x:row r="64" ht="39" customHeight="1">
      <x:c r="A64" s="5" t="str">
        <x:v>Flow Neuroscience</x:v>
      </x:c>
      <x:c r="B64" s="5" t="str">
        <x:v>EUR</x:v>
      </x:c>
      <x:c r="C64" s="5" t="str">
        <x:v>FY2023/24</x:v>
      </x:c>
      <x:c r="D64" s="11" t="n">
        <x:v>2.2</x:v>
      </x:c>
      <x:c r="E64" s="5" t="str">
        <x:v>Approximate / estimated leading amount; unverified source claim</x:v>
      </x:c>
      <x:c r="F64" s="11" t="n">
        <x:v>5.8</x:v>
      </x:c>
      <x:c r="G64" s="5" t="str">
        <x:v>Stated leading amount; unverified source claim</x:v>
      </x:c>
      <x:c r="H64" s="5" t="str">
        <x:v>EUR 2.2M est. (~SEK 25M)</x:v>
      </x:c>
      <x:c r="I64" s="5" t="str">
        <x:v>EUR 5.8M (~SEK 65M)</x:v>
      </x:c>
      <x:c r="J64" s="5" t="str">
        <x:v>Private brain stimulation headset (tDCS) for major depressive disorder; raised €7.9M Series A</x:v>
      </x:c>
      <x:c r="K64" s="5" t="str">
        <x:v>UNVERIFIED; check entity scope</x:v>
      </x:c>
    </x:row>
    <x:row r="65" ht="39" customHeight="1">
      <x:c r="A65" s="5" t="str">
        <x:v>Fluicell</x:v>
      </x:c>
      <x:c r="B65" s="5" t="str">
        <x:v>SEK</x:v>
      </x:c>
      <x:c r="C65" s="5" t="str">
        <x:v>FY2023/24</x:v>
      </x:c>
      <x:c r="D65" s="11" t="n">
        <x:v>4.8</x:v>
      </x:c>
      <x:c r="E65" s="5" t="str">
        <x:v>Stated leading amount; unverified source claim</x:v>
      </x:c>
      <x:c r="F65" s="11" t="n">
        <x:v>15.6</x:v>
      </x:c>
      <x:c r="G65" s="5" t="str">
        <x:v>Stated leading amount; unverified source claim</x:v>
      </x:c>
      <x:c r="H65" s="5" t="str">
        <x:v>SEK 4.8M</x:v>
      </x:c>
      <x:c r="I65" s="5" t="str">
        <x:v>SEK 15.6M</x:v>
      </x:c>
      <x:c r="J65" s="5" t="str">
        <x:v>Listed (Nasdaq First North: FLUI); Biopixlar single-cell bioprinting &amp; Nexocyte tissue therapeutics</x:v>
      </x:c>
      <x:c r="K65" s="5" t="str">
        <x:v>UNVERIFIED; check entity scope</x:v>
      </x:c>
    </x:row>
    <x:row r="66" ht="100" customHeight="1">
      <x:c r="A66" s="5" t="str">
        <x:v>Fresenius Kabi</x:v>
      </x:c>
      <x:c r="B66" s="5" t="str">
        <x:v>EUR</x:v>
      </x:c>
      <x:c r="C66" s="5" t="str">
        <x:v>FY2024</x:v>
      </x:c>
      <x:c r="D66" s="11" t="n">
        <x:v>8414</x:v>
      </x:c>
      <x:c r="E66" s="5" t="str">
        <x:v>Stated leading amount; unverified source claim</x:v>
      </x:c>
      <x:c r="F66" s="11" t="n">
        <x:v>636</x:v>
      </x:c>
      <x:c r="G66" s="5" t="str">
        <x:v>Stated leading amount; unverified source claim</x:v>
      </x:c>
      <x:c r="H66" s="5" t="str">
        <x:v>EUR 8,414.0M (Swedish affiliate ~SEK 4,800M)</x:v>
      </x:c>
      <x:c r="I66" s="5" t="str">
        <x:v>EUR 636.0M (~SEK 7.2B group R&amp;D)</x:v>
      </x:c>
      <x:c r="J66" s="5" t="str">
        <x:v>Subsidiary of Fresenius SE (DAX: FRE); major parenteral manufacturing sites in Brunna and Uppsala</x:v>
      </x:c>
      <x:c r="K66" s="5" t="str">
        <x:v>PARTIAL — Review_Evidence: SUPPORTED WITH SCOPE LIMIT; ENTITY SCOPE MISMATCH</x:v>
      </x:c>
    </x:row>
    <x:row r="67" ht="39" customHeight="1">
      <x:c r="A67" s="5" t="str">
        <x:v>Genovis</x:v>
      </x:c>
      <x:c r="B67" s="5" t="str">
        <x:v>SEK</x:v>
      </x:c>
      <x:c r="C67" s="5" t="str">
        <x:v>FY2024</x:v>
      </x:c>
      <x:c r="D67" s="11" t="n">
        <x:v>130.4</x:v>
      </x:c>
      <x:c r="E67" s="5" t="str">
        <x:v>Stated leading amount; unverified source claim</x:v>
      </x:c>
      <x:c r="F67" s="11" t="n">
        <x:v>22.8</x:v>
      </x:c>
      <x:c r="G67" s="5" t="str">
        <x:v>Stated leading amount; unverified source claim</x:v>
      </x:c>
      <x:c r="H67" s="5" t="str">
        <x:v>SEK 130.4M (SEK 158.2M in FY2023)</x:v>
      </x:c>
      <x:c r="I67" s="5" t="str">
        <x:v>SEK 22.8M</x:v>
      </x:c>
      <x:c r="J67" s="5" t="str">
        <x:v>Listed (Nasdaq First North: GENO); SmartEnzymes for biopharmaceutical analytical characterization</x:v>
      </x:c>
      <x:c r="K67" s="5" t="str">
        <x:v>UNVERIFIED; check entity scope</x:v>
      </x:c>
    </x:row>
    <x:row r="68" ht="100" customHeight="1">
      <x:c r="A68" s="5" t="str">
        <x:v>Getinge</x:v>
      </x:c>
      <x:c r="B68" s="5" t="str">
        <x:v>SEK</x:v>
      </x:c>
      <x:c r="C68" s="5" t="str">
        <x:v>FY2024</x:v>
      </x:c>
      <x:c r="D68" s="11" t="n">
        <x:v>34759</x:v>
      </x:c>
      <x:c r="E68" s="5" t="str">
        <x:v>Stated leading amount; unverified source claim</x:v>
      </x:c>
      <x:c r="F68" s="11" t="n">
        <x:v>1745</x:v>
      </x:c>
      <x:c r="G68" s="5" t="str">
        <x:v>Stated leading amount; unverified source claim</x:v>
      </x:c>
      <x:c r="H68" s="5" t="str">
        <x:v>SEK 34,759.0M (SEK 34.76B)</x:v>
      </x:c>
      <x:c r="I68" s="5" t="str">
        <x:v>SEK 1,745.0M (~5.0% of sales)</x:v>
      </x:c>
      <x:c r="J68" s="5" t="str">
        <x:v>Listed (Nasdaq Stockholm: GETI B); global leader in intensive care equipment, ventilators, surgical tables</x:v>
      </x:c>
      <x:c r="K68" s="5" t="str">
        <x:v>PARTIAL — Review_Evidence: SUPPORTED; DEFINITION MISMATCH</x:v>
      </x:c>
    </x:row>
    <x:row r="69" ht="39" customHeight="1">
      <x:c r="A69" s="5" t="str">
        <x:v>Gradientech</x:v>
      </x:c>
      <x:c r="B69" s="5" t="str">
        <x:v>SEK</x:v>
      </x:c>
      <x:c r="C69" s="5" t="str">
        <x:v>FY2023/24</x:v>
      </x:c>
      <x:c r="D69" s="11" t="n">
        <x:v>2.1</x:v>
      </x:c>
      <x:c r="E69" s="5" t="str">
        <x:v>Stated leading amount; unverified source claim</x:v>
      </x:c>
      <x:c r="F69" s="11" t="n">
        <x:v>46.8</x:v>
      </x:c>
      <x:c r="G69" s="5" t="str">
        <x:v>Stated leading amount; unverified source claim</x:v>
      </x:c>
      <x:c r="H69" s="5" t="str">
        <x:v>SEK 2.1M</x:v>
      </x:c>
      <x:c r="I69" s="5" t="str">
        <x:v>SEK 46.8M</x:v>
      </x:c>
      <x:c r="J69" s="5" t="str">
        <x:v>Listed (Nasdaq First North: GRNT); QuickMIC ultra-rapid antibiotic susceptibility testing (AST)</x:v>
      </x:c>
      <x:c r="K69" s="5" t="str">
        <x:v>UNVERIFIED; check entity scope</x:v>
      </x:c>
    </x:row>
    <x:row r="70" ht="39" customHeight="1">
      <x:c r="A70" s="5" t="str">
        <x:v>Gyros Protein Technologies</x:v>
      </x:c>
      <x:c r="B70" s="5" t="str">
        <x:v>USD</x:v>
      </x:c>
      <x:c r="C70" s="5" t="str">
        <x:v>FY2023/24</x:v>
      </x:c>
      <x:c r="D70" s="11" t="n">
        <x:v>52</x:v>
      </x:c>
      <x:c r="E70" s="5" t="str">
        <x:v>Approximate / estimated leading amount; unverified source claim</x:v>
      </x:c>
      <x:c r="F70" s="11" t="n">
        <x:v>7.2</x:v>
      </x:c>
      <x:c r="G70" s="5" t="str">
        <x:v>Stated leading amount; unverified source claim</x:v>
      </x:c>
      <x:c r="H70" s="5" t="str">
        <x:v>USD 52.0M est. (~SEK 540M)</x:v>
      </x:c>
      <x:c r="I70" s="5" t="str">
        <x:v>USD 7.2M (~SEK 75M)</x:v>
      </x:c>
      <x:c r="J70" s="5" t="str">
        <x:v>Subsidiary of Mesa Laboratories (Nasdaq: MLAB); Gyrolab automated nanoliter immunoassay platform</x:v>
      </x:c>
      <x:c r="K70" s="5" t="str">
        <x:v>UNVERIFIED; check entity scope</x:v>
      </x:c>
    </x:row>
    <x:row r="71" ht="39" customHeight="1">
      <x:c r="A71" s="5" t="str">
        <x:v>Hansa Biopharma</x:v>
      </x:c>
      <x:c r="B71" s="5" t="str">
        <x:v>SEK</x:v>
      </x:c>
      <x:c r="C71" s="5" t="str">
        <x:v>FY2024</x:v>
      </x:c>
      <x:c r="D71" s="11" t="n">
        <x:v>171.3</x:v>
      </x:c>
      <x:c r="E71" s="5" t="str">
        <x:v>Stated leading amount; unverified source claim</x:v>
      </x:c>
      <x:c r="F71" s="11" t="n">
        <x:v>398.5</x:v>
      </x:c>
      <x:c r="G71" s="5" t="str">
        <x:v>Stated leading amount; unverified source claim</x:v>
      </x:c>
      <x:c r="H71" s="5" t="str">
        <x:v>SEK 171.3M</x:v>
      </x:c>
      <x:c r="I71" s="5" t="str">
        <x:v>SEK 398.5M</x:v>
      </x:c>
      <x:c r="J71" s="5" t="str">
        <x:v>Listed (Nasdaq Stockholm: HNSA); Idefirix (imlifidase) immunomodulatory enzyme for desensitization</x:v>
      </x:c>
      <x:c r="K71" s="5" t="str">
        <x:v>UNVERIFIED; check entity scope</x:v>
      </x:c>
    </x:row>
    <x:row r="72" ht="39" customHeight="1">
      <x:c r="A72" s="5" t="str">
        <x:v>HemoCue</x:v>
      </x:c>
      <x:c r="B72" s="5" t="str">
        <x:v>SEK</x:v>
      </x:c>
      <x:c r="C72" s="5" t="str">
        <x:v>FY2023/24</x:v>
      </x:c>
      <x:c r="D72" s="11" t="n">
        <x:v>1720</x:v>
      </x:c>
      <x:c r="E72" s="5" t="str">
        <x:v>Approximate / estimated leading amount; unverified source claim</x:v>
      </x:c>
      <x:c r="F72" s="11" t="n">
        <x:v>135</x:v>
      </x:c>
      <x:c r="G72" s="5" t="str">
        <x:v>Approximate / estimated leading amount; unverified source claim</x:v>
      </x:c>
      <x:c r="H72" s="5" t="str">
        <x:v>SEK 1,720.0M est. (Danaher Diagnostics $9.5B)</x:v>
      </x:c>
      <x:c r="I72" s="5" t="str">
        <x:v>SEK 135.0M est.</x:v>
      </x:c>
      <x:c r="J72" s="5" t="str">
        <x:v>Subsidiary of Danaher Corporation (NYSE: DHR); global leader in point-of-care microcuvette testing</x:v>
      </x:c>
      <x:c r="K72" s="5" t="str">
        <x:v>UNVERIFIED; check entity scope</x:v>
      </x:c>
    </x:row>
    <x:row r="73" ht="32" customHeight="1">
      <x:c r="A73" s="5" t="str">
        <x:v>Hexagon Pharma</x:v>
      </x:c>
      <x:c r="B73" s="5" t="str">
        <x:v>SEK</x:v>
      </x:c>
      <x:c r="C73" s="5" t="str">
        <x:v>FY2023</x:v>
      </x:c>
      <x:c r="D73" s="11" t="n">
        <x:v>7.5</x:v>
      </x:c>
      <x:c r="E73" s="5" t="str">
        <x:v>Approximate / estimated leading amount; unverified source claim</x:v>
      </x:c>
      <x:c r="F73" s="11" t="n">
        <x:v>2.5</x:v>
      </x:c>
      <x:c r="G73" s="5" t="str">
        <x:v>Stated leading amount; unverified source claim</x:v>
      </x:c>
      <x:c r="H73" s="5" t="str">
        <x:v>SEK 7.5M est.</x:v>
      </x:c>
      <x:c r="I73" s="5" t="str">
        <x:v>SEK 2.5M</x:v>
      </x:c>
      <x:c r="J73" s="5" t="str">
        <x:v>Private pharmaceutical manufacturing technology and process engineering</x:v>
      </x:c>
      <x:c r="K73" s="5" t="str">
        <x:v>UNVERIFIED; check entity scope</x:v>
      </x:c>
    </x:row>
    <x:row r="74" ht="39" customHeight="1">
      <x:c r="A74" s="5" t="str">
        <x:v>IDL Diagnostics</x:v>
      </x:c>
      <x:c r="B74" s="5" t="str">
        <x:v>SEK</x:v>
      </x:c>
      <x:c r="C74" s="5" t="str">
        <x:v>FY2023/24</x:v>
      </x:c>
      <x:c r="D74" s="11" t="n">
        <x:v>35.8</x:v>
      </x:c>
      <x:c r="E74" s="5" t="str">
        <x:v>Stated leading amount; unverified source claim</x:v>
      </x:c>
      <x:c r="F74" s="11" t="n">
        <x:v>14.6</x:v>
      </x:c>
      <x:c r="G74" s="5" t="str">
        <x:v>Stated leading amount; unverified source claim</x:v>
      </x:c>
      <x:c r="H74" s="5" t="str">
        <x:v>SEK 35.8M (record sales in 2024/25)</x:v>
      </x:c>
      <x:c r="I74" s="5" t="str">
        <x:v>SEK 14.6M</x:v>
      </x:c>
      <x:c r="J74" s="5" t="str">
        <x:v>AroCell / IDL Biotech (Nasdaq First North: IDLDX); in vitro diagnostics for bladder cancer and oncology</x:v>
      </x:c>
      <x:c r="K74" s="5" t="str">
        <x:v>UNVERIFIED; check entity scope</x:v>
      </x:c>
    </x:row>
    <x:row r="75" ht="39" customHeight="1">
      <x:c r="A75" s="5" t="str">
        <x:v>Iconovo</x:v>
      </x:c>
      <x:c r="B75" s="5" t="str">
        <x:v>SEK</x:v>
      </x:c>
      <x:c r="C75" s="5" t="str">
        <x:v>FY2023/24</x:v>
      </x:c>
      <x:c r="D75" s="11" t="n">
        <x:v>16.8</x:v>
      </x:c>
      <x:c r="E75" s="5" t="str">
        <x:v>Stated leading amount; unverified source claim</x:v>
      </x:c>
      <x:c r="F75" s="11" t="n">
        <x:v>38.4</x:v>
      </x:c>
      <x:c r="G75" s="5" t="str">
        <x:v>Stated leading amount; unverified source claim</x:v>
      </x:c>
      <x:c r="H75" s="5" t="str">
        <x:v>SEK 16.8M</x:v>
      </x:c>
      <x:c r="I75" s="5" t="str">
        <x:v>SEK 38.4M</x:v>
      </x:c>
      <x:c r="J75" s="5" t="str">
        <x:v>Listed (Nasdaq First North: ICO); dry powder inhalation devices (ICOpre, ICOres, ICOcap)</x:v>
      </x:c>
      <x:c r="K75" s="5" t="str">
        <x:v>UNVERIFIED; check entity scope</x:v>
      </x:c>
    </x:row>
    <x:row r="76" ht="39" customHeight="1">
      <x:c r="A76" s="5" t="str">
        <x:v>ImmunoIVD</x:v>
      </x:c>
      <x:c r="B76" s="5" t="str">
        <x:v>SEK</x:v>
      </x:c>
      <x:c r="C76" s="5" t="str">
        <x:v>FY2023/24</x:v>
      </x:c>
      <x:c r="D76" s="11" t="n">
        <x:v>16.5</x:v>
      </x:c>
      <x:c r="E76" s="5" t="str">
        <x:v>Stated leading amount; unverified source claim</x:v>
      </x:c>
      <x:c r="F76" s="11" t="n">
        <x:v>5.2</x:v>
      </x:c>
      <x:c r="G76" s="5" t="str">
        <x:v>Stated leading amount; unverified source claim</x:v>
      </x:c>
      <x:c r="H76" s="5" t="str">
        <x:v>SEK 16.5M</x:v>
      </x:c>
      <x:c r="I76" s="5" t="str">
        <x:v>SEK 5.2M</x:v>
      </x:c>
      <x:c r="J76" s="5" t="str">
        <x:v>Private; SPOT-it neonatal qPCR screening assays for severe combined immunodeficiency (SCID) and SMA</x:v>
      </x:c>
      <x:c r="K76" s="5" t="str">
        <x:v>UNVERIFIED; check entity scope</x:v>
      </x:c>
    </x:row>
    <x:row r="77" ht="39" customHeight="1">
      <x:c r="A77" s="5" t="str">
        <x:v>Infant Bacterial Therapeutics</x:v>
      </x:c>
      <x:c r="B77" s="5" t="str">
        <x:v>SEK</x:v>
      </x:c>
      <x:c r="C77" s="5" t="str">
        <x:v>FY2023/24</x:v>
      </x:c>
      <x:c r="D77" s="11" t="n">
        <x:v>0</x:v>
      </x:c>
      <x:c r="E77" s="5" t="str">
        <x:v>Stated leading amount; unverified source claim</x:v>
      </x:c>
      <x:c r="F77" s="11" t="n">
        <x:v>112.4</x:v>
      </x:c>
      <x:c r="G77" s="5" t="str">
        <x:v>Stated leading amount; unverified source claim</x:v>
      </x:c>
      <x:c r="H77" s="5" t="str">
        <x:v>SEK 0M (Clinical stage)</x:v>
      </x:c>
      <x:c r="I77" s="5" t="str">
        <x:v>SEK 112.4M</x:v>
      </x:c>
      <x:c r="J77" s="5" t="str">
        <x:v>Listed (Nasdaq Stockholm: IBT B); IBP-9414 phase 3 drug for necrotizing enterocolitis in preterm infants</x:v>
      </x:c>
      <x:c r="K77" s="5" t="str">
        <x:v>UNVERIFIED; check entity scope</x:v>
      </x:c>
    </x:row>
    <x:row r="78" ht="39" customHeight="1">
      <x:c r="A78" s="5" t="str">
        <x:v>Innovagen</x:v>
      </x:c>
      <x:c r="B78" s="5" t="str">
        <x:v>SEK</x:v>
      </x:c>
      <x:c r="C78" s="5" t="str">
        <x:v>FY2023</x:v>
      </x:c>
      <x:c r="D78" s="11" t="n">
        <x:v>22.4</x:v>
      </x:c>
      <x:c r="E78" s="5" t="str">
        <x:v>Stated leading amount; unverified source claim</x:v>
      </x:c>
      <x:c r="F78" s="11" t="n">
        <x:v>4.2</x:v>
      </x:c>
      <x:c r="G78" s="5" t="str">
        <x:v>Stated leading amount; unverified source claim</x:v>
      </x:c>
      <x:c r="H78" s="5" t="str">
        <x:v>SEK 22.4M</x:v>
      </x:c>
      <x:c r="I78" s="5" t="str">
        <x:v>SEK 4.2M</x:v>
      </x:c>
      <x:c r="J78" s="5" t="str">
        <x:v>Private CRO; custom antibody generation, peptide synthesis, and protein biochemistry</x:v>
      </x:c>
      <x:c r="K78" s="5" t="str">
        <x:v>UNVERIFIED; check entity scope</x:v>
      </x:c>
    </x:row>
    <x:row r="79" ht="39" customHeight="1">
      <x:c r="A79" s="5" t="str">
        <x:v>Isofol Medical</x:v>
      </x:c>
      <x:c r="B79" s="5" t="str">
        <x:v>SEK</x:v>
      </x:c>
      <x:c r="C79" s="5" t="str">
        <x:v>FY2023/24</x:v>
      </x:c>
      <x:c r="D79" s="11" t="n">
        <x:v>0</x:v>
      </x:c>
      <x:c r="E79" s="5" t="str">
        <x:v>Stated leading amount; unverified source claim</x:v>
      </x:c>
      <x:c r="F79" s="11" t="n">
        <x:v>32.1</x:v>
      </x:c>
      <x:c r="G79" s="5" t="str">
        <x:v>Stated leading amount; unverified source claim</x:v>
      </x:c>
      <x:c r="H79" s="5" t="str">
        <x:v>SEK 0M (Clinical stage)</x:v>
      </x:c>
      <x:c r="I79" s="5" t="str">
        <x:v>SEK 32.1M</x:v>
      </x:c>
      <x:c r="J79" s="5" t="str">
        <x:v>Listed (Nasdaq Stockholm: ISOFOL); Arfolitixorin folate receptor therapy for colorectal cancer</x:v>
      </x:c>
      <x:c r="K79" s="5" t="str">
        <x:v>UNVERIFIED; check entity scope</x:v>
      </x:c>
    </x:row>
    <x:row r="80" ht="39" customHeight="1">
      <x:c r="A80" s="5" t="str">
        <x:v>Laboratorio Reig Jofre</x:v>
      </x:c>
      <x:c r="B80" s="5" t="str">
        <x:v>EUR</x:v>
      </x:c>
      <x:c r="C80" s="5" t="str">
        <x:v>FY2024</x:v>
      </x:c>
      <x:c r="D80" s="11" t="n">
        <x:v>339</x:v>
      </x:c>
      <x:c r="E80" s="5" t="str">
        <x:v>Stated leading amount; unverified source claim</x:v>
      </x:c>
      <x:c r="F80" s="11" t="n">
        <x:v>17</x:v>
      </x:c>
      <x:c r="G80" s="5" t="str">
        <x:v>Stated leading amount; unverified source claim</x:v>
      </x:c>
      <x:c r="H80" s="5" t="str">
        <x:v>EUR 339.0M (~SEK 3.85B)</x:v>
      </x:c>
      <x:c r="I80" s="5" t="str">
        <x:v>EUR 17.0M (~5% of revenue)</x:v>
      </x:c>
      <x:c r="J80" s="5" t="str">
        <x:v>Listed (BME: RJF); European pharmaceutical group; Malmö specialized aseptic antibiotic facility</x:v>
      </x:c>
      <x:c r="K80" s="5" t="str">
        <x:v>UNVERIFIED; check entity scope</x:v>
      </x:c>
    </x:row>
    <x:row r="81" ht="39" customHeight="1">
      <x:c r="A81" s="5" t="str">
        <x:v>Magle Biopharma</x:v>
      </x:c>
      <x:c r="B81" s="5" t="str">
        <x:v>SEK</x:v>
      </x:c>
      <x:c r="C81" s="5" t="str">
        <x:v>FY2024</x:v>
      </x:c>
      <x:c r="D81" s="11" t="n">
        <x:v>185</x:v>
      </x:c>
      <x:c r="E81" s="5" t="str">
        <x:v>Stated leading amount; unverified source claim</x:v>
      </x:c>
      <x:c r="F81" s="11" t="n">
        <x:v>34.5</x:v>
      </x:c>
      <x:c r="G81" s="5" t="str">
        <x:v>Stated leading amount; unverified source claim</x:v>
      </x:c>
      <x:c r="H81" s="5" t="str">
        <x:v>SEK 185.0M (Group total post-merger)</x:v>
      </x:c>
      <x:c r="I81" s="5" t="str">
        <x:v>SEK 34.5M</x:v>
      </x:c>
      <x:c r="J81" s="5" t="str">
        <x:v>Listed (Nasdaq First North: MAGLE); starch microsphere technology and stem cell CDMO services</x:v>
      </x:c>
      <x:c r="K81" s="5" t="str">
        <x:v>UNVERIFIED; check entity scope</x:v>
      </x:c>
    </x:row>
    <x:row r="82" ht="39" customHeight="1">
      <x:c r="A82" s="5" t="str">
        <x:v>Magle Chemoswed</x:v>
      </x:c>
      <x:c r="B82" s="5" t="str">
        <x:v>SEK</x:v>
      </x:c>
      <x:c r="C82" s="5" t="str">
        <x:v>FY2024</x:v>
      </x:c>
      <x:c r="D82" s="11" t="n">
        <x:v>21</x:v>
      </x:c>
      <x:c r="E82" s="5" t="str">
        <x:v>Stated leading amount; unverified source claim</x:v>
      </x:c>
      <x:c r="F82" s="11" t="n">
        <x:v>12</x:v>
      </x:c>
      <x:c r="G82" s="5" t="str">
        <x:v>Stated leading amount; unverified source claim</x:v>
      </x:c>
      <x:c r="H82" s="5" t="str">
        <x:v>SEK 21.0M (Chemoswed operating unit)</x:v>
      </x:c>
      <x:c r="I82" s="5" t="str">
        <x:v>SEK 12.0M</x:v>
      </x:c>
      <x:c r="J82" s="5" t="str">
        <x:v>Operating subsidiary of Magle Group (Malmö API synthesis and chemical development)</x:v>
      </x:c>
      <x:c r="K82" s="5" t="str">
        <x:v>UNVERIFIED; check entity scope</x:v>
      </x:c>
    </x:row>
    <x:row r="83" ht="39" customHeight="1">
      <x:c r="A83" s="5" t="str">
        <x:v>Mendus</x:v>
      </x:c>
      <x:c r="B83" s="5" t="str">
        <x:v>SEK</x:v>
      </x:c>
      <x:c r="C83" s="5" t="str">
        <x:v>FY2023/24</x:v>
      </x:c>
      <x:c r="D83" s="11" t="n">
        <x:v>0</x:v>
      </x:c>
      <x:c r="E83" s="5" t="str">
        <x:v>Stated leading amount; unverified source claim</x:v>
      </x:c>
      <x:c r="F83" s="11" t="n">
        <x:v>114.2</x:v>
      </x:c>
      <x:c r="G83" s="5" t="str">
        <x:v>Stated leading amount; unverified source claim</x:v>
      </x:c>
      <x:c r="H83" s="5" t="str">
        <x:v>SEK 0M (Clinical stage)</x:v>
      </x:c>
      <x:c r="I83" s="5" t="str">
        <x:v>SEK 114.2M</x:v>
      </x:c>
      <x:c r="J83" s="5" t="str">
        <x:v>Listed (Nasdaq Stockholm: IMMU); Vididencel allogeneic dendritic cell therapy for cancer maintenance</x:v>
      </x:c>
      <x:c r="K83" s="5" t="str">
        <x:v>UNVERIFIED; check entity scope</x:v>
      </x:c>
    </x:row>
    <x:row r="84" ht="39" customHeight="1">
      <x:c r="A84" s="5" t="str">
        <x:v>Menten AI</x:v>
      </x:c>
      <x:c r="B84" s="5" t="str">
        <x:v>USD</x:v>
      </x:c>
      <x:c r="C84" s="5" t="str">
        <x:v>FY2023/24</x:v>
      </x:c>
      <x:c r="D84" s="11" t="n">
        <x:v>2</x:v>
      </x:c>
      <x:c r="E84" s="5" t="str">
        <x:v>Approximate / estimated leading amount; unverified source claim</x:v>
      </x:c>
      <x:c r="F84" s="11" t="n">
        <x:v>7.5</x:v>
      </x:c>
      <x:c r="G84" s="5" t="str">
        <x:v>Stated leading amount; unverified source claim</x:v>
      </x:c>
      <x:c r="H84" s="5" t="str">
        <x:v>USD 2.0M est.</x:v>
      </x:c>
      <x:c r="I84" s="5" t="str">
        <x:v>USD 7.5M</x:v>
      </x:c>
      <x:c r="J84" s="5" t="str">
        <x:v>Private AI &amp; quantum computing peptide drug discovery platform (collaborations with Swedish biopharma)</x:v>
      </x:c>
      <x:c r="K84" s="5" t="str">
        <x:v>UNVERIFIED; check entity scope</x:v>
      </x:c>
    </x:row>
    <x:row r="85" ht="100" customHeight="1">
      <x:c r="A85" s="5" t="str">
        <x:v>Mentice</x:v>
      </x:c>
      <x:c r="B85" s="5" t="str">
        <x:v>SEK</x:v>
      </x:c>
      <x:c r="C85" s="5" t="str">
        <x:v>FY2024</x:v>
      </x:c>
      <x:c r="D85" s="11" t="n">
        <x:v>290.3</x:v>
      </x:c>
      <x:c r="E85" s="5" t="str">
        <x:v>Stated leading amount; unverified source claim</x:v>
      </x:c>
      <x:c r="F85" s="11" t="n">
        <x:v>42.1</x:v>
      </x:c>
      <x:c r="G85" s="5" t="str">
        <x:v>Stated leading amount; unverified source claim</x:v>
      </x:c>
      <x:c r="H85" s="5" t="str">
        <x:v>SEK 290.3M (SEK 265.4M in FY2023)</x:v>
      </x:c>
      <x:c r="I85" s="5" t="str">
        <x:v>SEK 42.1M</x:v>
      </x:c>
      <x:c r="J85" s="5" t="str">
        <x:v>Listed (Nasdaq First North: MNTC); virtual reality and hardware simulators for endovascular interventions</x:v>
      </x:c>
      <x:c r="K85" s="5" t="str">
        <x:v>PARTIAL — Review_Evidence: SUPPORTED WITH COMPARATOR ERROR; CONTRADICTED; UNVERIFIED</x:v>
      </x:c>
    </x:row>
    <x:row r="86" ht="39" customHeight="1">
      <x:c r="A86" s="5" t="str">
        <x:v>Meribel Pharma Group</x:v>
      </x:c>
      <x:c r="B86" s="5" t="str">
        <x:v>SEK</x:v>
      </x:c>
      <x:c r="C86" s="5" t="str">
        <x:v>FY2023</x:v>
      </x:c>
      <x:c r="D86" s="11" t="n">
        <x:v>55</x:v>
      </x:c>
      <x:c r="E86" s="5" t="str">
        <x:v>Approximate / estimated leading amount; unverified source claim</x:v>
      </x:c>
      <x:c r="F86" s="11" t="n">
        <x:v>5.5</x:v>
      </x:c>
      <x:c r="G86" s="5" t="str">
        <x:v>Stated leading amount; unverified source claim</x:v>
      </x:c>
      <x:c r="H86" s="5" t="str">
        <x:v>SEK 55.0M est.</x:v>
      </x:c>
      <x:c r="I86" s="5" t="str">
        <x:v>SEK 5.5M</x:v>
      </x:c>
      <x:c r="J86" s="5" t="str">
        <x:v>Private pharmaceutical manufacturing and packaging group (Höganäs, Karlskoga, Solna sites)</x:v>
      </x:c>
      <x:c r="K86" s="5" t="str">
        <x:v>UNVERIFIED; check entity scope</x:v>
      </x:c>
    </x:row>
    <x:row r="87" ht="100" customHeight="1">
      <x:c r="A87" s="5" t="str">
        <x:v>Metenova</x:v>
      </x:c>
      <x:c r="B87" s="5" t="str">
        <x:v>USD</x:v>
      </x:c>
      <x:c r="C87" s="5" t="str">
        <x:v>FY2023</x:v>
      </x:c>
      <x:c r="D87" s="11" t="n">
        <x:v>24.5</x:v>
      </x:c>
      <x:c r="E87" s="5" t="str">
        <x:v>Stated leading amount; unverified source claim</x:v>
      </x:c>
      <x:c r="F87" s="11" t="n">
        <x:v>4.2</x:v>
      </x:c>
      <x:c r="G87" s="5" t="str">
        <x:v>Stated leading amount; unverified source claim</x:v>
      </x:c>
      <x:c r="H87" s="5" t="str">
        <x:v>USD 24.5M (~SEK 255M)</x:v>
      </x:c>
      <x:c r="I87" s="5" t="str">
        <x:v>USD 4.2M (~SEK 44M)</x:v>
      </x:c>
      <x:c r="J87" s="5" t="str">
        <x:v>Acquired by Repligen Corporation (Nasdaq: RGEN) in Oct 2023 for $173M; aseptic magnetic mixing systems</x:v>
      </x:c>
      <x:c r="K87" s="5" t="str">
        <x:v>PARTIAL — Review_Evidence: CORRECTED DISPLAY; RAW SOURCE RETAINED</x:v>
      </x:c>
    </x:row>
    <x:row r="88" ht="39" customHeight="1">
      <x:c r="A88" s="5" t="str">
        <x:v>Modus Therapeutics</x:v>
      </x:c>
      <x:c r="B88" s="5" t="str">
        <x:v>SEK</x:v>
      </x:c>
      <x:c r="C88" s="5" t="str">
        <x:v>FY2023/24</x:v>
      </x:c>
      <x:c r="D88" s="11" t="n">
        <x:v>0</x:v>
      </x:c>
      <x:c r="E88" s="5" t="str">
        <x:v>Stated leading amount; unverified source claim</x:v>
      </x:c>
      <x:c r="F88" s="11" t="n">
        <x:v>24.6</x:v>
      </x:c>
      <x:c r="G88" s="5" t="str">
        <x:v>Stated leading amount; unverified source claim</x:v>
      </x:c>
      <x:c r="H88" s="5" t="str">
        <x:v>SEK 0M (Clinical stage)</x:v>
      </x:c>
      <x:c r="I88" s="5" t="str">
        <x:v>SEK 24.6M</x:v>
      </x:c>
      <x:c r="J88" s="5" t="str">
        <x:v>Listed (Nasdaq First North: MODX); Sevuparin low molecular weight heparin for sepsis &amp; inflammation</x:v>
      </x:c>
      <x:c r="K88" s="5" t="str">
        <x:v>UNVERIFIED; check entity scope</x:v>
      </x:c>
    </x:row>
    <x:row r="89" ht="39" customHeight="1">
      <x:c r="A89" s="5" t="str">
        <x:v>Moleculent</x:v>
      </x:c>
      <x:c r="B89" s="5" t="str">
        <x:v>USD</x:v>
      </x:c>
      <x:c r="C89" s="5" t="str">
        <x:v>FY2024</x:v>
      </x:c>
      <x:c r="D89" s="11" t="n">
        <x:v>0</x:v>
      </x:c>
      <x:c r="E89" s="5" t="str">
        <x:v>Stated leading amount; unverified source claim</x:v>
      </x:c>
      <x:c r="F89" s="11" t="n">
        <x:v>5.5</x:v>
      </x:c>
      <x:c r="G89" s="5" t="str">
        <x:v>Stated leading amount; unverified source claim</x:v>
      </x:c>
      <x:c r="H89" s="5" t="str">
        <x:v>USD 0M (Pre-commercial)</x:v>
      </x:c>
      <x:c r="I89" s="5" t="str">
        <x:v>USD 5.5M (~SEK 58M)</x:v>
      </x:c>
      <x:c r="J89" s="5" t="str">
        <x:v>Private spatial functional profiling; raised $26M Series A (June 2024) + $20M (April 2026)</x:v>
      </x:c>
      <x:c r="K89" s="5" t="str">
        <x:v>UNVERIFIED; check entity scope</x:v>
      </x:c>
    </x:row>
    <x:row r="90" ht="39" customHeight="1">
      <x:c r="A90" s="5" t="str">
        <x:v>NIOX</x:v>
      </x:c>
      <x:c r="B90" s="5" t="str">
        <x:v>GBP</x:v>
      </x:c>
      <x:c r="C90" s="5" t="str">
        <x:v>FY2024</x:v>
      </x:c>
      <x:c r="D90" s="11" t="n">
        <x:v>41.8</x:v>
      </x:c>
      <x:c r="E90" s="5" t="str">
        <x:v>Stated leading amount; unverified source claim</x:v>
      </x:c>
      <x:c r="F90" s="11" t="n">
        <x:v>4.2</x:v>
      </x:c>
      <x:c r="G90" s="5" t="str">
        <x:v>Stated leading amount; unverified source claim</x:v>
      </x:c>
      <x:c r="H90" s="5" t="str">
        <x:v>GBP 41.8M (~SEK 570M; £36.8M in FY23)</x:v>
      </x:c>
      <x:c r="I90" s="5" t="str">
        <x:v>GBP 4.2M (~SEK 57M)</x:v>
      </x:c>
      <x:c r="J90" s="5" t="str">
        <x:v>NIOX Group plc; listed (LSE AIM: NIOX); NIOX VERO fractional exhaled nitric oxide (FeNO) asthma devices</x:v>
      </x:c>
      <x:c r="K90" s="5" t="str">
        <x:v>UNVERIFIED; check entity scope</x:v>
      </x:c>
    </x:row>
    <x:row r="91" ht="39" customHeight="1">
      <x:c r="A91" s="5" t="str">
        <x:v>Nanologica</x:v>
      </x:c>
      <x:c r="B91" s="5" t="str">
        <x:v>SEK</x:v>
      </x:c>
      <x:c r="C91" s="5" t="str">
        <x:v>FY2024</x:v>
      </x:c>
      <x:c r="D91" s="11" t="n">
        <x:v>14.54</x:v>
      </x:c>
      <x:c r="E91" s="5" t="str">
        <x:v>Stated leading amount; unverified source claim</x:v>
      </x:c>
      <x:c r="F91" s="11" t="n">
        <x:v>28.2</x:v>
      </x:c>
      <x:c r="G91" s="5" t="str">
        <x:v>Stated leading amount; unverified source claim</x:v>
      </x:c>
      <x:c r="H91" s="5" t="str">
        <x:v>SEK 14.54M (SEK 1.44M in FY2023)</x:v>
      </x:c>
      <x:c r="I91" s="5" t="str">
        <x:v>SEK 28.2M</x:v>
      </x:c>
      <x:c r="J91" s="5" t="str">
        <x:v>Listed (Nasdaq Stockholm: NICA); nanoporous silica NLAB Saga for preparative chromatography of insulin</x:v>
      </x:c>
      <x:c r="K91" s="5" t="str">
        <x:v>UNVERIFIED; check entity scope</x:v>
      </x:c>
    </x:row>
    <x:row r="92" ht="39" customHeight="1">
      <x:c r="A92" s="5" t="str">
        <x:v>Navinci Diagnostics</x:v>
      </x:c>
      <x:c r="B92" s="5" t="str">
        <x:v>SEK</x:v>
      </x:c>
      <x:c r="C92" s="5" t="str">
        <x:v>FY2024/25</x:v>
      </x:c>
      <x:c r="D92" s="11" t="n">
        <x:v>18.1</x:v>
      </x:c>
      <x:c r="E92" s="5" t="str">
        <x:v>Stated leading amount; unverified source claim</x:v>
      </x:c>
      <x:c r="F92" s="11" t="n">
        <x:v>25</x:v>
      </x:c>
      <x:c r="G92" s="5" t="str">
        <x:v>Stated leading amount; unverified source claim</x:v>
      </x:c>
      <x:c r="H92" s="5" t="str">
        <x:v>SEK 18.1M (72% YoY growth)</x:v>
      </x:c>
      <x:c r="I92" s="5" t="str">
        <x:v>SEK 25.0M</x:v>
      </x:c>
      <x:c r="J92" s="5" t="str">
        <x:v>Private in situ proximity ligation assay kits for protein interaction imaging; raised €5.3M in 2025</x:v>
      </x:c>
      <x:c r="K92" s="5" t="str">
        <x:v>UNVERIFIED; check entity scope</x:v>
      </x:c>
    </x:row>
    <x:row r="93" ht="39" customHeight="1">
      <x:c r="A93" s="5" t="str">
        <x:v>Neogap Therapeutics</x:v>
      </x:c>
      <x:c r="B93" s="5" t="str">
        <x:v>SEK</x:v>
      </x:c>
      <x:c r="C93" s="5" t="str">
        <x:v>FY2024</x:v>
      </x:c>
      <x:c r="D93" s="11" t="n">
        <x:v>0</x:v>
      </x:c>
      <x:c r="E93" s="5" t="str">
        <x:v>Stated leading amount; unverified source claim</x:v>
      </x:c>
      <x:c r="F93" s="11" t="n">
        <x:v>42</x:v>
      </x:c>
      <x:c r="G93" s="5" t="str">
        <x:v>Stated leading amount; unverified source claim</x:v>
      </x:c>
      <x:c r="H93" s="5" t="str">
        <x:v>SEK 0M (Clinical stage)</x:v>
      </x:c>
      <x:c r="I93" s="5" t="str">
        <x:v>SEK 42.0M</x:v>
      </x:c>
      <x:c r="J93" s="5" t="str">
        <x:v>Private personalized cancer immunotherapy; raised SEK 87M in Feb 2026 led by Sciety</x:v>
      </x:c>
      <x:c r="K93" s="5" t="str">
        <x:v>UNVERIFIED; check entity scope</x:v>
      </x:c>
    </x:row>
    <x:row r="94" ht="39" customHeight="1">
      <x:c r="A94" s="5" t="str">
        <x:v>Newbury Pharmaceuticals</x:v>
      </x:c>
      <x:c r="B94" s="5" t="str">
        <x:v>SEK</x:v>
      </x:c>
      <x:c r="C94" s="5" t="str">
        <x:v>FY2023/24</x:v>
      </x:c>
      <x:c r="D94" s="11" t="n">
        <x:v>18.5</x:v>
      </x:c>
      <x:c r="E94" s="5" t="str">
        <x:v>Stated leading amount; unverified source claim</x:v>
      </x:c>
      <x:c r="F94" s="11" t="n">
        <x:v>9.4</x:v>
      </x:c>
      <x:c r="G94" s="5" t="str">
        <x:v>Stated leading amount; unverified source claim</x:v>
      </x:c>
      <x:c r="H94" s="5" t="str">
        <x:v>SEK 18.5M (SEK 10.3M in FY2023)</x:v>
      </x:c>
      <x:c r="I94" s="5" t="str">
        <x:v>SEK 9.4M</x:v>
      </x:c>
      <x:c r="J94" s="5" t="str">
        <x:v>Listed (Nasdaq First North: NEWBRY); registration, in-licensing and commercialization of specialty Rx</x:v>
      </x:c>
      <x:c r="K94" s="5" t="str">
        <x:v>UNVERIFIED; check entity scope</x:v>
      </x:c>
    </x:row>
    <x:row r="95" ht="39" customHeight="1">
      <x:c r="A95" s="5" t="str">
        <x:v>NuvoAir</x:v>
      </x:c>
      <x:c r="B95" s="5" t="str">
        <x:v>USD</x:v>
      </x:c>
      <x:c r="C95" s="5" t="str">
        <x:v>FY2023/24</x:v>
      </x:c>
      <x:c r="D95" s="11" t="n">
        <x:v>8.5</x:v>
      </x:c>
      <x:c r="E95" s="5" t="str">
        <x:v>Approximate / estimated leading amount; unverified source claim</x:v>
      </x:c>
      <x:c r="F95" s="11" t="n">
        <x:v>10.2</x:v>
      </x:c>
      <x:c r="G95" s="5" t="str">
        <x:v>Stated leading amount; unverified source claim</x:v>
      </x:c>
      <x:c r="H95" s="5" t="str">
        <x:v>USD 8.5M est. (~SEK 88M)</x:v>
      </x:c>
      <x:c r="I95" s="5" t="str">
        <x:v>USD 10.2M (~SEK 106M)</x:v>
      </x:c>
      <x:c r="J95" s="5" t="str">
        <x:v>Private digital health &amp; virtual clinic for complex respiratory conditions; raised $28M+ funding</x:v>
      </x:c>
      <x:c r="K95" s="5" t="str">
        <x:v>UNVERIFIED; check entity scope</x:v>
      </x:c>
    </x:row>
    <x:row r="96" ht="39" customHeight="1">
      <x:c r="A96" s="5" t="str">
        <x:v>Octapharma</x:v>
      </x:c>
      <x:c r="B96" s="5" t="str">
        <x:v>EUR</x:v>
      </x:c>
      <x:c r="C96" s="5" t="str">
        <x:v>FY2024</x:v>
      </x:c>
      <x:c r="D96" s="11" t="n">
        <x:v>3466</x:v>
      </x:c>
      <x:c r="E96" s="5" t="str">
        <x:v>Stated leading amount; unverified source claim</x:v>
      </x:c>
      <x:c r="F96" s="11" t="n">
        <x:v>108</x:v>
      </x:c>
      <x:c r="G96" s="5" t="str">
        <x:v>Stated leading amount; unverified source claim</x:v>
      </x:c>
      <x:c r="H96" s="5" t="str">
        <x:v>EUR 3,466.0M (Octapharma AB ~SEK 4,600M)</x:v>
      </x:c>
      <x:c r="I96" s="5" t="str">
        <x:v>EUR 108.0M (~SEK 1,220M)</x:v>
      </x:c>
      <x:c r="J96" s="5" t="str">
        <x:v>Private global human protein fractionation and recombinant biopharma; large Stockholm production plant</x:v>
      </x:c>
      <x:c r="K96" s="5" t="str">
        <x:v>UNVERIFIED; check entity scope</x:v>
      </x:c>
    </x:row>
    <x:row r="97" ht="39" customHeight="1">
      <x:c r="A97" s="5" t="str">
        <x:v>Oncopeptides</x:v>
      </x:c>
      <x:c r="B97" s="5" t="str">
        <x:v>SEK</x:v>
      </x:c>
      <x:c r="C97" s="5" t="str">
        <x:v>FY2024</x:v>
      </x:c>
      <x:c r="D97" s="11" t="n">
        <x:v>31.65</x:v>
      </x:c>
      <x:c r="E97" s="5" t="str">
        <x:v>Stated leading amount; unverified source claim</x:v>
      </x:c>
      <x:c r="F97" s="11" t="n">
        <x:v>184.2</x:v>
      </x:c>
      <x:c r="G97" s="5" t="str">
        <x:v>Stated leading amount; unverified source claim</x:v>
      </x:c>
      <x:c r="H97" s="5" t="str">
        <x:v>SEK 31.65M (SEK 35.22M in FY2023)</x:v>
      </x:c>
      <x:c r="I97" s="5" t="str">
        <x:v>SEK 184.2M</x:v>
      </x:c>
      <x:c r="J97" s="5" t="str">
        <x:v>Listed (Nasdaq Stockholm: ONCO); Pepaxti peptide-drug conjugate for relapsed/refractory multiple myeloma</x:v>
      </x:c>
      <x:c r="K97" s="5" t="str">
        <x:v>UNVERIFIED; check entity scope</x:v>
      </x:c>
    </x:row>
    <x:row r="98" ht="39" customHeight="1">
      <x:c r="A98" s="5" t="str">
        <x:v>Optimapharm</x:v>
      </x:c>
      <x:c r="B98" s="5" t="str">
        <x:v>EUR</x:v>
      </x:c>
      <x:c r="C98" s="5" t="str">
        <x:v>FY2023/24</x:v>
      </x:c>
      <x:c r="D98" s="11" t="n">
        <x:v>52</x:v>
      </x:c>
      <x:c r="E98" s="5" t="str">
        <x:v>Approximate / estimated leading amount; unverified source claim</x:v>
      </x:c>
      <x:c r="F98" s="11" t="n">
        <x:v>4.8</x:v>
      </x:c>
      <x:c r="G98" s="5" t="str">
        <x:v>Stated leading amount; unverified source claim</x:v>
      </x:c>
      <x:c r="H98" s="5" t="str">
        <x:v>EUR 52.0M est. (~SEK 590M)</x:v>
      </x:c>
      <x:c r="I98" s="5" t="str">
        <x:v>EUR 4.8M (~SEK 55M)</x:v>
      </x:c>
      <x:c r="J98" s="5" t="str">
        <x:v>Private full-service European CRO with clinical operations hub in Stockholm (400+ staff)</x:v>
      </x:c>
      <x:c r="K98" s="5" t="str">
        <x:v>UNVERIFIED; check entity scope</x:v>
      </x:c>
    </x:row>
    <x:row r="99" ht="39" customHeight="1">
      <x:c r="A99" s="5" t="str">
        <x:v>Orexo</x:v>
      </x:c>
      <x:c r="B99" s="5" t="str">
        <x:v>SEK</x:v>
      </x:c>
      <x:c r="C99" s="5" t="str">
        <x:v>FY2024</x:v>
      </x:c>
      <x:c r="D99" s="11" t="n">
        <x:v>590</x:v>
      </x:c>
      <x:c r="E99" s="5" t="str">
        <x:v>Stated leading amount; unverified source claim</x:v>
      </x:c>
      <x:c r="F99" s="11" t="n">
        <x:v>148.6</x:v>
      </x:c>
      <x:c r="G99" s="5" t="str">
        <x:v>Stated leading amount; unverified source claim</x:v>
      </x:c>
      <x:c r="H99" s="5" t="str">
        <x:v>SEK 590.0M</x:v>
      </x:c>
      <x:c r="I99" s="5" t="str">
        <x:v>SEK 148.6M</x:v>
      </x:c>
      <x:c r="J99" s="5" t="str">
        <x:v>Listed (Nasdaq Stockholm: ORX); Zubsolv opioid dependence; AmorphOX nasal drug delivery platform</x:v>
      </x:c>
      <x:c r="K99" s="5" t="str">
        <x:v>UNVERIFIED; check entity scope</x:v>
      </x:c>
    </x:row>
    <x:row r="100" ht="39" customHeight="1">
      <x:c r="A100" s="5" t="str">
        <x:v>Pelago Bioscience</x:v>
      </x:c>
      <x:c r="B100" s="5" t="str">
        <x:v>SEK</x:v>
      </x:c>
      <x:c r="C100" s="5" t="str">
        <x:v>FY2023/24</x:v>
      </x:c>
      <x:c r="D100" s="11" t="n">
        <x:v>75</x:v>
      </x:c>
      <x:c r="E100" s="5" t="str">
        <x:v>Approximate / estimated leading amount; unverified source claim</x:v>
      </x:c>
      <x:c r="F100" s="11" t="n">
        <x:v>16</x:v>
      </x:c>
      <x:c r="G100" s="5" t="str">
        <x:v>Stated leading amount; unverified source claim</x:v>
      </x:c>
      <x:c r="H100" s="5" t="str">
        <x:v>SEK 75.0M est.</x:v>
      </x:c>
      <x:c r="I100" s="5" t="str">
        <x:v>SEK 16.0M</x:v>
      </x:c>
      <x:c r="J100" s="5" t="str">
        <x:v>Private target engagement CRO; inventors of CETSA technology; acquired Red Glead Discovery in 2026</x:v>
      </x:c>
      <x:c r="K100" s="5" t="str">
        <x:v>UNVERIFIED; check entity scope</x:v>
      </x:c>
    </x:row>
    <x:row r="101" ht="39" customHeight="1">
      <x:c r="A101" s="5" t="str">
        <x:v>Peptonic Medical</x:v>
      </x:c>
      <x:c r="B101" s="5" t="str">
        <x:v>SEK</x:v>
      </x:c>
      <x:c r="C101" s="5" t="str">
        <x:v>FY2023</x:v>
      </x:c>
      <x:c r="D101" s="11" t="n">
        <x:v>26.9</x:v>
      </x:c>
      <x:c r="E101" s="5" t="str">
        <x:v>Stated leading amount; unverified source claim</x:v>
      </x:c>
      <x:c r="F101" s="11" t="n">
        <x:v>18.2</x:v>
      </x:c>
      <x:c r="G101" s="5" t="str">
        <x:v>Stated leading amount; unverified source claim</x:v>
      </x:c>
      <x:c r="H101" s="5" t="str">
        <x:v>SEK 26.9M</x:v>
      </x:c>
      <x:c r="I101" s="5" t="str">
        <x:v>SEK 18.2M</x:v>
      </x:c>
      <x:c r="J101" s="5" t="str">
        <x:v>Listed (Spotlight: PMED); women's intimate healthcare; VagiVital non-hormonal treatment for vaginal atrophy</x:v>
      </x:c>
      <x:c r="K101" s="5" t="str">
        <x:v>UNVERIFIED; check entity scope</x:v>
      </x:c>
    </x:row>
    <x:row r="102" ht="39" customHeight="1">
      <x:c r="A102" s="5" t="str">
        <x:v>Pharmadule Morimatsu</x:v>
      </x:c>
      <x:c r="B102" s="5" t="str">
        <x:v>SEK</x:v>
      </x:c>
      <x:c r="C102" s="5" t="str">
        <x:v>FY2023/24</x:v>
      </x:c>
      <x:c r="D102" s="11" t="n">
        <x:v>520</x:v>
      </x:c>
      <x:c r="E102" s="5" t="str">
        <x:v>Approximate / estimated leading amount; unverified source claim</x:v>
      </x:c>
      <x:c r="F102" s="11" t="n">
        <x:v>28</x:v>
      </x:c>
      <x:c r="G102" s="5" t="str">
        <x:v>Stated leading amount; unverified source claim</x:v>
      </x:c>
      <x:c r="H102" s="5" t="str">
        <x:v>SEK 520.0M est. (Morimatsu RMB 4,850M)</x:v>
      </x:c>
      <x:c r="I102" s="5" t="str">
        <x:v>SEK 28.0M</x:v>
      </x:c>
      <x:c r="J102" s="5" t="str">
        <x:v>Subsidiary of Morimatsu International (HKEX: 2155); global pioneer in modular pharmaceutical cleanrooms</x:v>
      </x:c>
      <x:c r="K102" s="5" t="str">
        <x:v>UNVERIFIED; check entity scope</x:v>
      </x:c>
    </x:row>
    <x:row r="103" ht="39" customHeight="1">
      <x:c r="A103" s="5" t="str">
        <x:v>Pixelgen Technologies</x:v>
      </x:c>
      <x:c r="B103" s="5" t="str">
        <x:v>SEK</x:v>
      </x:c>
      <x:c r="C103" s="5" t="str">
        <x:v>FY2024</x:v>
      </x:c>
      <x:c r="D103" s="11" t="n">
        <x:v>7.5</x:v>
      </x:c>
      <x:c r="E103" s="5" t="str">
        <x:v>Approximate / estimated leading amount; unverified source claim</x:v>
      </x:c>
      <x:c r="F103" s="11" t="n">
        <x:v>65</x:v>
      </x:c>
      <x:c r="G103" s="5" t="str">
        <x:v>Stated leading amount; unverified source claim</x:v>
      </x:c>
      <x:c r="H103" s="5" t="str">
        <x:v>SEK 7.5M est.</x:v>
      </x:c>
      <x:c r="I103" s="5" t="str">
        <x:v>SEK 65.0M</x:v>
      </x:c>
      <x:c r="J103" s="5" t="str">
        <x:v>Private Molecular Pixelation 3D spatial proteomics; raised $15.5M Series B (2026) and €12.5M EIC</x:v>
      </x:c>
      <x:c r="K103" s="5" t="str">
        <x:v>UNVERIFIED; check entity scope</x:v>
      </x:c>
    </x:row>
    <x:row r="104" ht="39" customHeight="1">
      <x:c r="A104" s="5" t="str">
        <x:v>PolyPeptide Group</x:v>
      </x:c>
      <x:c r="B104" s="5" t="str">
        <x:v>EUR</x:v>
      </x:c>
      <x:c r="C104" s="5" t="str">
        <x:v>FY2024</x:v>
      </x:c>
      <x:c r="D104" s="11" t="n">
        <x:v>336.8</x:v>
      </x:c>
      <x:c r="E104" s="5" t="str">
        <x:v>Stated leading amount; unverified source claim</x:v>
      </x:c>
      <x:c r="F104" s="11" t="n">
        <x:v>1.1</x:v>
      </x:c>
      <x:c r="G104" s="5" t="str">
        <x:v>Stated leading amount; unverified source claim</x:v>
      </x:c>
      <x:c r="H104" s="5" t="str">
        <x:v>EUR 336.8M (~SEK 3.82B; €320.4M in FY23)</x:v>
      </x:c>
      <x:c r="I104" s="5" t="str">
        <x:v>EUR 1.1M expensed (+ major CDMO CAPEX)</x:v>
      </x:c>
      <x:c r="J104" s="5" t="str">
        <x:v>Listed (SIX Swiss Exchange: PPGN); premier peptide &amp; oligonucleotide CDMO; major manufacturing plant in Malmö</x:v>
      </x:c>
      <x:c r="K104" s="5" t="str">
        <x:v>UNVERIFIED; check entity scope</x:v>
      </x:c>
    </x:row>
    <x:row r="105" ht="39" customHeight="1">
      <x:c r="A105" s="5" t="str">
        <x:v>Q-Linea</x:v>
      </x:c>
      <x:c r="B105" s="5" t="str">
        <x:v>SEK</x:v>
      </x:c>
      <x:c r="C105" s="5" t="str">
        <x:v>FY2023/24</x:v>
      </x:c>
      <x:c r="D105" s="11" t="n">
        <x:v>4.4</x:v>
      </x:c>
      <x:c r="E105" s="5" t="str">
        <x:v>Stated leading amount; unverified source claim</x:v>
      </x:c>
      <x:c r="F105" s="11" t="n">
        <x:v>178.4</x:v>
      </x:c>
      <x:c r="G105" s="5" t="str">
        <x:v>Stated leading amount; unverified source claim</x:v>
      </x:c>
      <x:c r="H105" s="5" t="str">
        <x:v>SEK 4.4M</x:v>
      </x:c>
      <x:c r="I105" s="5" t="str">
        <x:v>SEK 178.4M</x:v>
      </x:c>
      <x:c r="J105" s="5" t="str">
        <x:v>Listed (Nasdaq Stockholm: QLINEA); ASTar rapid antimicrobial susceptibility testing system (FDA 510(k) cleared)</x:v>
      </x:c>
      <x:c r="K105" s="5" t="str">
        <x:v>UNVERIFIED; check entity scope</x:v>
      </x:c>
    </x:row>
    <x:row r="106" ht="39" customHeight="1">
      <x:c r="A106" s="5" t="str">
        <x:v>Qlucore</x:v>
      </x:c>
      <x:c r="B106" s="5" t="str">
        <x:v>SEK</x:v>
      </x:c>
      <x:c r="C106" s="5" t="str">
        <x:v>FY2023/24</x:v>
      </x:c>
      <x:c r="D106" s="11" t="n">
        <x:v>14.37</x:v>
      </x:c>
      <x:c r="E106" s="5" t="str">
        <x:v>Stated leading amount; unverified source claim</x:v>
      </x:c>
      <x:c r="F106" s="11" t="n">
        <x:v>22.8</x:v>
      </x:c>
      <x:c r="G106" s="5" t="str">
        <x:v>Stated leading amount; unverified source claim</x:v>
      </x:c>
      <x:c r="H106" s="5" t="str">
        <x:v>SEK 14.37M</x:v>
      </x:c>
      <x:c r="I106" s="5" t="str">
        <x:v>SEK 22.8M</x:v>
      </x:c>
      <x:c r="J106" s="5" t="str">
        <x:v>Listed (Nasdaq First North: QLUC); Omics data visualization software &amp; Qlucore Diagnostics clinical platform</x:v>
      </x:c>
      <x:c r="K106" s="5" t="str">
        <x:v>UNVERIFIED; check entity scope</x:v>
      </x:c>
    </x:row>
    <x:row r="107" ht="39" customHeight="1">
      <x:c r="A107" s="5" t="str">
        <x:v>RaySearch Laboratories</x:v>
      </x:c>
      <x:c r="B107" s="5" t="str">
        <x:v>SEK</x:v>
      </x:c>
      <x:c r="C107" s="5" t="str">
        <x:v>FY2024</x:v>
      </x:c>
      <x:c r="D107" s="11" t="n">
        <x:v>1192</x:v>
      </x:c>
      <x:c r="E107" s="5" t="str">
        <x:v>Stated leading amount; unverified source claim</x:v>
      </x:c>
      <x:c r="F107" s="11" t="n">
        <x:v>174.5</x:v>
      </x:c>
      <x:c r="G107" s="5" t="str">
        <x:v>Stated leading amount; unverified source claim</x:v>
      </x:c>
      <x:c r="H107" s="5" t="str">
        <x:v>SEK 1,192.0M (SEK 1,022.2M in FY2023)</x:v>
      </x:c>
      <x:c r="I107" s="5" t="str">
        <x:v>SEK 174.5M</x:v>
      </x:c>
      <x:c r="J107" s="5" t="str">
        <x:v>Listed (Nasdaq Stockholm: RAY B); RayStation radiation treatment planning software &amp; RayCare OIS</x:v>
      </x:c>
      <x:c r="K107" s="5" t="str">
        <x:v>UNVERIFIED; check entity scope</x:v>
      </x:c>
    </x:row>
    <x:row r="108" ht="39" customHeight="1">
      <x:c r="A108" s="5" t="str">
        <x:v>Recipharm</x:v>
      </x:c>
      <x:c r="B108" s="5" t="str">
        <x:v>SEK</x:v>
      </x:c>
      <x:c r="C108" s="5" t="str">
        <x:v>FY2023/24</x:v>
      </x:c>
      <x:c r="D108" s="11" t="n">
        <x:v>12400</x:v>
      </x:c>
      <x:c r="E108" s="5" t="str">
        <x:v>Approximate / estimated leading amount; unverified source claim</x:v>
      </x:c>
      <x:c r="F108" s="11" t="n">
        <x:v>380</x:v>
      </x:c>
      <x:c r="G108" s="5" t="str">
        <x:v>Approximate / estimated leading amount; unverified source claim</x:v>
      </x:c>
      <x:c r="H108" s="5" t="str">
        <x:v>SEK 12,400.0M est. (~EUR 1.1B)</x:v>
      </x:c>
      <x:c r="I108" s="5" t="str">
        <x:v>SEK 380.0M est.</x:v>
      </x:c>
      <x:c r="J108" s="5" t="str">
        <x:v>Private global top-5 CDMO; acquired by EQT / Nichepharm; development and manufacturing of sterile injectables</x:v>
      </x:c>
      <x:c r="K108" s="5" t="str">
        <x:v>UNVERIFIED; check entity scope</x:v>
      </x:c>
    </x:row>
    <x:row r="109" ht="39" customHeight="1">
      <x:c r="A109" s="5" t="str">
        <x:v>Red Glead Discovery</x:v>
      </x:c>
      <x:c r="B109" s="5" t="str">
        <x:v>SEK</x:v>
      </x:c>
      <x:c r="C109" s="5" t="str">
        <x:v>FY2023/24</x:v>
      </x:c>
      <x:c r="D109" s="11" t="n">
        <x:v>48</x:v>
      </x:c>
      <x:c r="E109" s="5" t="str">
        <x:v>Stated leading amount; unverified source claim</x:v>
      </x:c>
      <x:c r="F109" s="11" t="n">
        <x:v>6.8</x:v>
      </x:c>
      <x:c r="G109" s="5" t="str">
        <x:v>Stated leading amount; unverified source claim</x:v>
      </x:c>
      <x:c r="H109" s="5" t="str">
        <x:v>SEK 48.0M</x:v>
      </x:c>
      <x:c r="I109" s="5" t="str">
        <x:v>SEK 6.8M</x:v>
      </x:c>
      <x:c r="J109" s="5" t="str">
        <x:v>Acquired by Pelago Bioscience in June 2026; Lund-based preclinical medicinal chemistry &amp; peptide CRO</x:v>
      </x:c>
      <x:c r="K109" s="5" t="str">
        <x:v>UNVERIFIED; check entity scope</x:v>
      </x:c>
    </x:row>
    <x:row r="110" ht="39" customHeight="1">
      <x:c r="A110" s="5" t="str">
        <x:v>Redoxis</x:v>
      </x:c>
      <x:c r="B110" s="5" t="str">
        <x:v>SEK</x:v>
      </x:c>
      <x:c r="C110" s="5" t="str">
        <x:v>FY2023</x:v>
      </x:c>
      <x:c r="D110" s="11" t="n">
        <x:v>18.5</x:v>
      </x:c>
      <x:c r="E110" s="5" t="str">
        <x:v>Stated leading amount; unverified source claim</x:v>
      </x:c>
      <x:c r="F110" s="11" t="n">
        <x:v>3.8</x:v>
      </x:c>
      <x:c r="G110" s="5" t="str">
        <x:v>Stated leading amount; unverified source claim</x:v>
      </x:c>
      <x:c r="H110" s="5" t="str">
        <x:v>SEK 18.5M</x:v>
      </x:c>
      <x:c r="I110" s="5" t="str">
        <x:v>SEK 3.8M</x:v>
      </x:c>
      <x:c r="J110" s="5" t="str">
        <x:v>Private preclinical CRO specialized in in vivo inflammatory and autoimmune disease models (Medicon Village Lund)</x:v>
      </x:c>
      <x:c r="K110" s="5" t="str">
        <x:v>UNVERIFIED; check entity scope</x:v>
      </x:c>
    </x:row>
    <x:row r="111" ht="39" customHeight="1">
      <x:c r="A111" s="5" t="str">
        <x:v>Ribocure Pharmaceuticals</x:v>
      </x:c>
      <x:c r="B111" s="5" t="str">
        <x:v>USD</x:v>
      </x:c>
      <x:c r="C111" s="5" t="str">
        <x:v>FY2024</x:v>
      </x:c>
      <x:c r="D111" s="11" t="n">
        <x:v>0</x:v>
      </x:c>
      <x:c r="E111" s="5" t="str">
        <x:v>Stated leading amount; unverified source claim</x:v>
      </x:c>
      <x:c r="F111" s="11" t="n">
        <x:v>8.5</x:v>
      </x:c>
      <x:c r="G111" s="5" t="str">
        <x:v>Stated leading amount; unverified source claim</x:v>
      </x:c>
      <x:c r="H111" s="5" t="str">
        <x:v>USD 0M (Clinical stage)</x:v>
      </x:c>
      <x:c r="I111" s="5" t="str">
        <x:v>USD 8.5M (~SEK 88M)</x:v>
      </x:c>
      <x:c r="J111" s="5" t="str">
        <x:v>Private RNA therapeutics platform in cardiovascular and renal diseases; secured $33M equity in July 2025</x:v>
      </x:c>
      <x:c r="K111" s="5" t="str">
        <x:v>UNVERIFIED; check entity scope</x:v>
      </x:c>
    </x:row>
    <x:row r="112" ht="39" customHeight="1">
      <x:c r="A112" s="5" t="str">
        <x:v>SARomics Biostructures</x:v>
      </x:c>
      <x:c r="B112" s="5" t="str">
        <x:v>SEK</x:v>
      </x:c>
      <x:c r="C112" s="5" t="str">
        <x:v>FY2023</x:v>
      </x:c>
      <x:c r="D112" s="11" t="n">
        <x:v>21.8</x:v>
      </x:c>
      <x:c r="E112" s="5" t="str">
        <x:v>Stated leading amount; unverified source claim</x:v>
      </x:c>
      <x:c r="F112" s="11" t="n">
        <x:v>4.8</x:v>
      </x:c>
      <x:c r="G112" s="5" t="str">
        <x:v>Stated leading amount; unverified source claim</x:v>
      </x:c>
      <x:c r="H112" s="5" t="str">
        <x:v>SEK 21.8M</x:v>
      </x:c>
      <x:c r="I112" s="5" t="str">
        <x:v>SEK 4.8M</x:v>
      </x:c>
      <x:c r="J112" s="5" t="str">
        <x:v>Private structural biology and X-ray crystallography / cryo-EM CRO services (Lund, Sweden)</x:v>
      </x:c>
      <x:c r="K112" s="5" t="str">
        <x:v>UNVERIFIED; check entity scope</x:v>
      </x:c>
    </x:row>
    <x:row r="113" ht="39" customHeight="1">
      <x:c r="A113" s="5" t="str">
        <x:v>SHL Medical</x:v>
      </x:c>
      <x:c r="B113" s="5" t="str">
        <x:v>USD</x:v>
      </x:c>
      <x:c r="C113" s="5" t="str">
        <x:v>FY2023/24</x:v>
      </x:c>
      <x:c r="D113" s="11" t="n">
        <x:v>720</x:v>
      </x:c>
      <x:c r="E113" s="5" t="str">
        <x:v>Approximate / estimated leading amount; unverified source claim</x:v>
      </x:c>
      <x:c r="F113" s="11" t="n">
        <x:v>58</x:v>
      </x:c>
      <x:c r="G113" s="5" t="str">
        <x:v>Stated leading amount; unverified source claim</x:v>
      </x:c>
      <x:c r="H113" s="5" t="str">
        <x:v>USD 720.0M est. (~SEK 7.5B)</x:v>
      </x:c>
      <x:c r="I113" s="5" t="str">
        <x:v>USD 58.0M (~SEK 600M)</x:v>
      </x:c>
      <x:c r="J113" s="5" t="str">
        <x:v>Private global autoinjector pioneer; hundreds of millions of units delivered; major design &amp; assembly in Stockholm</x:v>
      </x:c>
      <x:c r="K113" s="5" t="str">
        <x:v>UNVERIFIED; check entity scope</x:v>
      </x:c>
    </x:row>
    <x:row r="114" ht="39" customHeight="1">
      <x:c r="A114" s="5" t="str">
        <x:v>Salipro Biotech</x:v>
      </x:c>
      <x:c r="B114" s="5" t="str">
        <x:v>SEK</x:v>
      </x:c>
      <x:c r="C114" s="5" t="str">
        <x:v>FY2023/24</x:v>
      </x:c>
      <x:c r="D114" s="11" t="n">
        <x:v>35</x:v>
      </x:c>
      <x:c r="E114" s="5" t="str">
        <x:v>Stated leading amount; unverified source claim</x:v>
      </x:c>
      <x:c r="F114" s="11" t="n">
        <x:v>24</x:v>
      </x:c>
      <x:c r="G114" s="5" t="str">
        <x:v>Stated leading amount; unverified source claim</x:v>
      </x:c>
      <x:c r="H114" s="5" t="str">
        <x:v>SEK 35.0M</x:v>
      </x:c>
      <x:c r="I114" s="5" t="str">
        <x:v>SEK 24.0M</x:v>
      </x:c>
      <x:c r="J114" s="5" t="str">
        <x:v>Private; Direct MX membrane protein stabilization technology; partnering with Boehringer Ingelheim &amp; Sanofi</x:v>
      </x:c>
      <x:c r="K114" s="5" t="str">
        <x:v>UNVERIFIED; check entity scope</x:v>
      </x:c>
    </x:row>
    <x:row r="115" ht="39" customHeight="1">
      <x:c r="A115" s="5" t="str">
        <x:v>Scandinavian Biopharma Holding</x:v>
      </x:c>
      <x:c r="B115" s="5" t="str">
        <x:v>SEK</x:v>
      </x:c>
      <x:c r="C115" s="5" t="str">
        <x:v>FY2023</x:v>
      </x:c>
      <x:c r="D115" s="11" t="n">
        <x:v>154</x:v>
      </x:c>
      <x:c r="E115" s="5" t="str">
        <x:v>Stated leading amount; unverified source claim</x:v>
      </x:c>
      <x:c r="F115" s="11" t="n">
        <x:v>75</x:v>
      </x:c>
      <x:c r="G115" s="5" t="str">
        <x:v>Stated leading amount; unverified source claim</x:v>
      </x:c>
      <x:c r="H115" s="5" t="str">
        <x:v>SEK 154.0M</x:v>
      </x:c>
      <x:c r="I115" s="5" t="str">
        <x:v>SEK 75.0M (incl. EDCTP grants)</x:v>
      </x:c>
      <x:c r="J115" s="5" t="str">
        <x:v>Private biopharma; ETVAX oral vaccine against ETEC bacterial diarrhea in phase 3 readiness</x:v>
      </x:c>
      <x:c r="K115" s="5" t="str">
        <x:v>UNVERIFIED; check entity scope</x:v>
      </x:c>
    </x:row>
    <x:row r="116" ht="39" customHeight="1">
      <x:c r="A116" s="5" t="str">
        <x:v>Scibase</x:v>
      </x:c>
      <x:c r="B116" s="5" t="str">
        <x:v>SEK</x:v>
      </x:c>
      <x:c r="C116" s="5" t="str">
        <x:v>FY2024</x:v>
      </x:c>
      <x:c r="D116" s="11" t="n">
        <x:v>29.71</x:v>
      </x:c>
      <x:c r="E116" s="5" t="str">
        <x:v>Stated leading amount; unverified source claim</x:v>
      </x:c>
      <x:c r="F116" s="11" t="n">
        <x:v>38.6</x:v>
      </x:c>
      <x:c r="G116" s="5" t="str">
        <x:v>Stated leading amount; unverified source claim</x:v>
      </x:c>
      <x:c r="H116" s="5" t="str">
        <x:v>SEK 29.71M</x:v>
      </x:c>
      <x:c r="I116" s="5" t="str">
        <x:v>SEK 38.6M</x:v>
      </x:c>
      <x:c r="J116" s="5" t="str">
        <x:v>Listed (Nasdaq First North: SCIB); Nevisense electrical impedance spectroscopy for melanoma &amp; skin barrier</x:v>
      </x:c>
      <x:c r="K116" s="5" t="str">
        <x:v>UNVERIFIED; check entity scope</x:v>
      </x:c>
    </x:row>
    <x:row r="117" ht="39" customHeight="1">
      <x:c r="A117" s="5" t="str">
        <x:v>SenzaGen</x:v>
      </x:c>
      <x:c r="B117" s="5" t="str">
        <x:v>SEK</x:v>
      </x:c>
      <x:c r="C117" s="5" t="str">
        <x:v>FY2024</x:v>
      </x:c>
      <x:c r="D117" s="11" t="n">
        <x:v>57.7</x:v>
      </x:c>
      <x:c r="E117" s="5" t="str">
        <x:v>Stated leading amount; unverified source claim</x:v>
      </x:c>
      <x:c r="F117" s="11" t="n">
        <x:v>14.8</x:v>
      </x:c>
      <x:c r="G117" s="5" t="str">
        <x:v>Stated leading amount; unverified source claim</x:v>
      </x:c>
      <x:c r="H117" s="5" t="str">
        <x:v>SEK 57.7M (SEK 49.9M in FY2023)</x:v>
      </x:c>
      <x:c r="I117" s="5" t="str">
        <x:v>SEK 14.8M</x:v>
      </x:c>
      <x:c r="J117" s="5" t="str">
        <x:v>Listed (Nasdaq First North: SENZA); GARD non-animal in vitro toxicological gene expression test assays</x:v>
      </x:c>
      <x:c r="K117" s="5" t="str">
        <x:v>UNVERIFIED; check entity scope</x:v>
      </x:c>
    </x:row>
    <x:row r="118" ht="39" customHeight="1">
      <x:c r="A118" s="5" t="str">
        <x:v>Senzime</x:v>
      </x:c>
      <x:c r="B118" s="5" t="str">
        <x:v>SEK</x:v>
      </x:c>
      <x:c r="C118" s="5" t="str">
        <x:v>FY2024</x:v>
      </x:c>
      <x:c r="D118" s="11" t="n">
        <x:v>58.5</x:v>
      </x:c>
      <x:c r="E118" s="5" t="str">
        <x:v>Stated leading amount; unverified source claim</x:v>
      </x:c>
      <x:c r="F118" s="11" t="n">
        <x:v>44.2</x:v>
      </x:c>
      <x:c r="G118" s="5" t="str">
        <x:v>Stated leading amount; unverified source claim</x:v>
      </x:c>
      <x:c r="H118" s="5" t="str">
        <x:v>SEK 58.5M (SEK 35.8M in FY2023)</x:v>
      </x:c>
      <x:c r="I118" s="5" t="str">
        <x:v>SEK 44.2M</x:v>
      </x:c>
      <x:c r="J118" s="5" t="str">
        <x:v>Listed (Nasdaq Stockholm: SEZI); TetraGraph electromyography monitoring to eliminate post-op paralysis</x:v>
      </x:c>
      <x:c r="K118" s="5" t="str">
        <x:v>UNVERIFIED; check entity scope</x:v>
      </x:c>
    </x:row>
    <x:row r="119" ht="39" customHeight="1">
      <x:c r="A119" s="5" t="str">
        <x:v>Simsen Diagnostics</x:v>
      </x:c>
      <x:c r="B119" s="5" t="str">
        <x:v>SEK</x:v>
      </x:c>
      <x:c r="C119" s="5" t="str">
        <x:v>FY2024</x:v>
      </x:c>
      <x:c r="D119" s="11" t="n">
        <x:v>4.5</x:v>
      </x:c>
      <x:c r="E119" s="5" t="str">
        <x:v>Stated leading amount; unverified source claim</x:v>
      </x:c>
      <x:c r="F119" s="11" t="n">
        <x:v>15.5</x:v>
      </x:c>
      <x:c r="G119" s="5" t="str">
        <x:v>Stated leading amount; unverified source claim</x:v>
      </x:c>
      <x:c r="H119" s="5" t="str">
        <x:v>SEK 4.5M</x:v>
      </x:c>
      <x:c r="I119" s="5" t="str">
        <x:v>SEK 15.5M</x:v>
      </x:c>
      <x:c r="J119" s="5" t="str">
        <x:v>Private ultra-sensitive ctDNA liquid biopsy for minimal residual disease; raised SEK 10M in May 2026</x:v>
      </x:c>
      <x:c r="K119" s="5" t="str">
        <x:v>UNVERIFIED; check entity scope</x:v>
      </x:c>
    </x:row>
    <x:row r="120" ht="39" customHeight="1">
      <x:c r="A120" s="5" t="str">
        <x:v>Single Technologies</x:v>
      </x:c>
      <x:c r="B120" s="5" t="str">
        <x:v>SEK</x:v>
      </x:c>
      <x:c r="C120" s="5" t="str">
        <x:v>FY2024</x:v>
      </x:c>
      <x:c r="D120" s="11" t="n">
        <x:v>21.2</x:v>
      </x:c>
      <x:c r="E120" s="5" t="str">
        <x:v>Stated leading amount; unverified source claim</x:v>
      </x:c>
      <x:c r="F120" s="11" t="n">
        <x:v>52</x:v>
      </x:c>
      <x:c r="G120" s="5" t="str">
        <x:v>Stated leading amount; unverified source claim</x:v>
      </x:c>
      <x:c r="H120" s="5" t="str">
        <x:v>SEK 21.2M</x:v>
      </x:c>
      <x:c r="I120" s="5" t="str">
        <x:v>SEK 52.0M</x:v>
      </x:c>
      <x:c r="J120" s="5" t="str">
        <x:v>Private high-throughput 3D sequencing platform (Theta); secured €12.5M (SEK 170M) EIC funding</x:v>
      </x:c>
      <x:c r="K120" s="5" t="str">
        <x:v>UNVERIFIED; check entity scope</x:v>
      </x:c>
    </x:row>
    <x:row r="121" ht="39" customHeight="1">
      <x:c r="A121" s="5" t="str">
        <x:v>Spago Nanomedical</x:v>
      </x:c>
      <x:c r="B121" s="5" t="str">
        <x:v>SEK</x:v>
      </x:c>
      <x:c r="C121" s="5" t="str">
        <x:v>FY2024</x:v>
      </x:c>
      <x:c r="D121" s="11" t="n">
        <x:v>1.91</x:v>
      </x:c>
      <x:c r="E121" s="5" t="str">
        <x:v>Stated leading amount; unverified source claim</x:v>
      </x:c>
      <x:c r="F121" s="11" t="n">
        <x:v>36.5</x:v>
      </x:c>
      <x:c r="G121" s="5" t="str">
        <x:v>Stated leading amount; unverified source claim</x:v>
      </x:c>
      <x:c r="H121" s="5" t="str">
        <x:v>SEK 1.91M</x:v>
      </x:c>
      <x:c r="I121" s="5" t="str">
        <x:v>SEK 36.5M</x:v>
      </x:c>
      <x:c r="J121" s="5" t="str">
        <x:v>Listed (Spotlight: SPAG); tumor-selective polymer nanoparticles (SpagoPix MRI &amp; Tumorad radionuclide)</x:v>
      </x:c>
      <x:c r="K121" s="5" t="str">
        <x:v>UNVERIFIED; check entity scope</x:v>
      </x:c>
    </x:row>
    <x:row r="122" ht="39" customHeight="1">
      <x:c r="A122" s="5" t="str">
        <x:v>Sprint Bioscience</x:v>
      </x:c>
      <x:c r="B122" s="5" t="str">
        <x:v>SEK</x:v>
      </x:c>
      <x:c r="C122" s="5" t="str">
        <x:v>FY2024</x:v>
      </x:c>
      <x:c r="D122" s="11" t="n">
        <x:v>65.6</x:v>
      </x:c>
      <x:c r="E122" s="5" t="str">
        <x:v>Stated leading amount; unverified source claim</x:v>
      </x:c>
      <x:c r="F122" s="11" t="n">
        <x:v>52.8</x:v>
      </x:c>
      <x:c r="G122" s="5" t="str">
        <x:v>Stated leading amount; unverified source claim</x:v>
      </x:c>
      <x:c r="H122" s="5" t="str">
        <x:v>SEK 65.6M</x:v>
      </x:c>
      <x:c r="I122" s="5" t="str">
        <x:v>SEK 52.8M</x:v>
      </x:c>
      <x:c r="J122" s="5" t="str">
        <x:v>Listed (Nasdaq First North: SPRINT); fragment-based preclinical oncology drug discovery and out-licensing</x:v>
      </x:c>
      <x:c r="K122" s="5" t="str">
        <x:v>UNVERIFIED; check entity scope</x:v>
      </x:c>
    </x:row>
    <x:row r="123" ht="39" customHeight="1">
      <x:c r="A123" s="5" t="str">
        <x:v>Strike Pharma</x:v>
      </x:c>
      <x:c r="B123" s="5" t="str">
        <x:v>SEK</x:v>
      </x:c>
      <x:c r="C123" s="5" t="str">
        <x:v>FY2023/24</x:v>
      </x:c>
      <x:c r="D123" s="11" t="n">
        <x:v>0</x:v>
      </x:c>
      <x:c r="E123" s="5" t="str">
        <x:v>Stated leading amount; unverified source claim</x:v>
      </x:c>
      <x:c r="F123" s="11" t="n">
        <x:v>18.5</x:v>
      </x:c>
      <x:c r="G123" s="5" t="str">
        <x:v>Stated leading amount; unverified source claim</x:v>
      </x:c>
      <x:c r="H123" s="5" t="str">
        <x:v>SEK 0M (Pre-clinical)</x:v>
      </x:c>
      <x:c r="I123" s="5" t="str">
        <x:v>SEK 18.5M</x:v>
      </x:c>
      <x:c r="J123" s="5" t="str">
        <x:v>Private immunotherapy; Adapt vaCC individualized therapeutic cancer vaccines; raised SEK 45M</x:v>
      </x:c>
      <x:c r="K123" s="5" t="str">
        <x:v>UNVERIFIED; check entity scope</x:v>
      </x:c>
    </x:row>
    <x:row r="124" ht="39" customHeight="1">
      <x:c r="A124" s="5" t="str">
        <x:v>StromaBio</x:v>
      </x:c>
      <x:c r="B124" s="5" t="str">
        <x:v>SEK</x:v>
      </x:c>
      <x:c r="C124" s="5" t="str">
        <x:v>FY2023/24</x:v>
      </x:c>
      <x:c r="D124" s="11" t="n">
        <x:v>0</x:v>
      </x:c>
      <x:c r="E124" s="5" t="str">
        <x:v>Stated leading amount; unverified source claim</x:v>
      </x:c>
      <x:c r="F124" s="11" t="n">
        <x:v>5.5</x:v>
      </x:c>
      <x:c r="G124" s="5" t="str">
        <x:v>Stated leading amount; unverified source claim</x:v>
      </x:c>
      <x:c r="H124" s="5" t="str">
        <x:v>SEK 0M (Early stage)</x:v>
      </x:c>
      <x:c r="I124" s="5" t="str">
        <x:v>SEK 5.5M</x:v>
      </x:c>
      <x:c r="J124" s="5" t="str">
        <x:v>Private mesenchymal stromal cell (MSC) therapy for acute inflammatory diseases; Karolinska spin-out</x:v>
      </x:c>
      <x:c r="K124" s="5" t="str">
        <x:v>UNVERIFIED; check entity scope</x:v>
      </x:c>
    </x:row>
    <x:row r="125" ht="39" customHeight="1">
      <x:c r="A125" s="5" t="str">
        <x:v>Svar Life Science</x:v>
      </x:c>
      <x:c r="B125" s="5" t="str">
        <x:v>SEK</x:v>
      </x:c>
      <x:c r="C125" s="5" t="str">
        <x:v>FY2023/24</x:v>
      </x:c>
      <x:c r="D125" s="11" t="n">
        <x:v>235</x:v>
      </x:c>
      <x:c r="E125" s="5" t="str">
        <x:v>Approximate / estimated leading amount; unverified source claim</x:v>
      </x:c>
      <x:c r="F125" s="11" t="n">
        <x:v>28</x:v>
      </x:c>
      <x:c r="G125" s="5" t="str">
        <x:v>Stated leading amount; unverified source claim</x:v>
      </x:c>
      <x:c r="H125" s="5" t="str">
        <x:v>SEK 235.0M est.</x:v>
      </x:c>
      <x:c r="I125" s="5" t="str">
        <x:v>SEK 28.0M</x:v>
      </x:c>
      <x:c r="J125" s="5" t="str">
        <x:v>Private Swedish diagnostic tools and biomarker testing company (iLite cell-based functional assays, Wieslab)</x:v>
      </x:c>
      <x:c r="K125" s="5" t="str">
        <x:v>UNVERIFIED; check entity scope</x:v>
      </x:c>
    </x:row>
    <x:row r="126" ht="39" customHeight="1">
      <x:c r="A126" s="5" t="str">
        <x:v>Swedish Orphan Biovitrum</x:v>
      </x:c>
      <x:c r="B126" s="5" t="str">
        <x:v>SEK</x:v>
      </x:c>
      <x:c r="C126" s="5" t="str">
        <x:v>FY2024</x:v>
      </x:c>
      <x:c r="D126" s="11" t="n">
        <x:v>26000</x:v>
      </x:c>
      <x:c r="E126" s="5" t="str">
        <x:v>Stated leading amount; unverified source claim</x:v>
      </x:c>
      <x:c r="F126" s="11" t="n">
        <x:v>3650</x:v>
      </x:c>
      <x:c r="G126" s="5" t="str">
        <x:v>Stated leading amount; unverified source claim</x:v>
      </x:c>
      <x:c r="H126" s="5" t="str">
        <x:v>SEK 26,000.0M (SEK 26.0B; SEK 22.1B in FY23)</x:v>
      </x:c>
      <x:c r="I126" s="5" t="str">
        <x:v>SEK 3,650.0M (SEK 3.65B)</x:v>
      </x:c>
      <x:c r="J126" s="5" t="str">
        <x:v>Sobi; listed (Nasdaq Stockholm: SOBI); Nordic biopharma flagship in rare disease hematology &amp; immunology</x:v>
      </x:c>
      <x:c r="K126" s="5" t="str">
        <x:v>UNVERIFIED; check entity scope</x:v>
      </x:c>
    </x:row>
    <x:row r="127" ht="39" customHeight="1">
      <x:c r="A127" s="5" t="str">
        <x:v>TFS</x:v>
      </x:c>
      <x:c r="B127" s="5" t="str">
        <x:v>SEK</x:v>
      </x:c>
      <x:c r="C127" s="5" t="str">
        <x:v>FY2023</x:v>
      </x:c>
      <x:c r="D127" s="11" t="n">
        <x:v>1220</x:v>
      </x:c>
      <x:c r="E127" s="5" t="str">
        <x:v>Stated leading amount; unverified source claim</x:v>
      </x:c>
      <x:c r="F127" s="11" t="n">
        <x:v>42</x:v>
      </x:c>
      <x:c r="G127" s="5" t="str">
        <x:v>Stated leading amount; unverified source claim</x:v>
      </x:c>
      <x:c r="H127" s="5" t="str">
        <x:v>SEK 1,220.0M (Ratos sales)</x:v>
      </x:c>
      <x:c r="I127" s="5" t="str">
        <x:v>SEK 42.0M</x:v>
      </x:c>
      <x:c r="J127" s="5" t="str">
        <x:v>TFS HealthScience; subsidiary of Ratos AB (Nasdaq Stockholm: RATO B); leading international mid-sized CRO</x:v>
      </x:c>
      <x:c r="K127" s="5" t="str">
        <x:v>UNVERIFIED; check entity scope</x:v>
      </x:c>
    </x:row>
    <x:row r="128" ht="39" customHeight="1">
      <x:c r="A128" s="5" t="str">
        <x:v>Tribune Therapeutics</x:v>
      </x:c>
      <x:c r="B128" s="5" t="str">
        <x:v>EUR</x:v>
      </x:c>
      <x:c r="C128" s="5" t="str">
        <x:v>FY2024</x:v>
      </x:c>
      <x:c r="D128" s="11" t="n">
        <x:v>0</x:v>
      </x:c>
      <x:c r="E128" s="5" t="str">
        <x:v>Stated leading amount; unverified source claim</x:v>
      </x:c>
      <x:c r="F128" s="11" t="n">
        <x:v>4.5</x:v>
      </x:c>
      <x:c r="G128" s="5" t="str">
        <x:v>Stated leading amount; unverified source claim</x:v>
      </x:c>
      <x:c r="H128" s="5" t="str">
        <x:v>EUR 0M (Pre-clinical)</x:v>
      </x:c>
      <x:c r="I128" s="5" t="str">
        <x:v>EUR 4.5M (~SEK 50M)</x:v>
      </x:c>
      <x:c r="J128" s="5" t="str">
        <x:v>Private biologics targeting CCN proteins for severe fibrotic disorders; raised €37M Series A in March 2025</x:v>
      </x:c>
      <x:c r="K128" s="5" t="str">
        <x:v>UNVERIFIED; check entity scope</x:v>
      </x:c>
    </x:row>
    <x:row r="129" ht="39" customHeight="1">
      <x:c r="A129" s="5" t="str">
        <x:v>VERIGRAFT</x:v>
      </x:c>
      <x:c r="B129" s="5" t="str">
        <x:v>SEK</x:v>
      </x:c>
      <x:c r="C129" s="5" t="str">
        <x:v>FY2024</x:v>
      </x:c>
      <x:c r="D129" s="11" t="n">
        <x:v>0</x:v>
      </x:c>
      <x:c r="E129" s="5" t="str">
        <x:v>Stated leading amount; unverified source claim</x:v>
      </x:c>
      <x:c r="F129" s="11" t="n">
        <x:v>42</x:v>
      </x:c>
      <x:c r="G129" s="5" t="str">
        <x:v>Stated leading amount; unverified source claim</x:v>
      </x:c>
      <x:c r="H129" s="5" t="str">
        <x:v>SEK 0M (Clinical stage)</x:v>
      </x:c>
      <x:c r="I129" s="5" t="str">
        <x:v>SEK 42.0M</x:v>
      </x:c>
      <x:c r="J129" s="5" t="str">
        <x:v>Private autologous tissue-engineered blood vessels and valves; raised SEK 110M / €10M in Feb 2026</x:v>
      </x:c>
      <x:c r="K129" s="5" t="str">
        <x:v>UNVERIFIED; check entity scope</x:v>
      </x:c>
    </x:row>
    <x:row r="130" ht="39" customHeight="1">
      <x:c r="A130" s="5" t="str">
        <x:v>Vicore Pharma</x:v>
      </x:c>
      <x:c r="B130" s="5" t="str">
        <x:v>SEK</x:v>
      </x:c>
      <x:c r="C130" s="5" t="str">
        <x:v>FY2024</x:v>
      </x:c>
      <x:c r="D130" s="11" t="n">
        <x:v>8.4</x:v>
      </x:c>
      <x:c r="E130" s="5" t="str">
        <x:v>Stated leading amount; unverified source claim</x:v>
      </x:c>
      <x:c r="F130" s="11" t="n">
        <x:v>264.2</x:v>
      </x:c>
      <x:c r="G130" s="5" t="str">
        <x:v>Stated leading amount; unverified source claim</x:v>
      </x:c>
      <x:c r="H130" s="5" t="str">
        <x:v>SEK 8.4M</x:v>
      </x:c>
      <x:c r="I130" s="5" t="str">
        <x:v>SEK 264.2M</x:v>
      </x:c>
      <x:c r="J130" s="5" t="str">
        <x:v>Listed (Nasdaq Stockholm: VICO); angiotensin II type 2 receptor agonists (ATRAGs) for IPF (ASPIRE study)</x:v>
      </x:c>
      <x:c r="K130" s="5" t="str">
        <x:v>UNVERIFIED; check entity scope</x:v>
      </x:c>
    </x:row>
    <x:row r="131" ht="39" customHeight="1">
      <x:c r="A131" s="5" t="str">
        <x:v>XVIVO</x:v>
      </x:c>
      <x:c r="B131" s="5" t="str">
        <x:v>SEK</x:v>
      </x:c>
      <x:c r="C131" s="5" t="str">
        <x:v>FY2024</x:v>
      </x:c>
      <x:c r="D131" s="11" t="n">
        <x:v>822.4</x:v>
      </x:c>
      <x:c r="E131" s="5" t="str">
        <x:v>Stated leading amount; unverified source claim</x:v>
      </x:c>
      <x:c r="F131" s="11" t="n">
        <x:v>114.5</x:v>
      </x:c>
      <x:c r="G131" s="5" t="str">
        <x:v>Stated leading amount; unverified source claim</x:v>
      </x:c>
      <x:c r="H131" s="5" t="str">
        <x:v>SEK 822.4M (SEK 604.9M in FY2023)</x:v>
      </x:c>
      <x:c r="I131" s="5" t="str">
        <x:v>SEK 114.5M</x:v>
      </x:c>
      <x:c r="J131" s="5" t="str">
        <x:v>XVIVO Perfusion; listed (Nasdaq Stockholm: XVIVO); global leader in machine perfusion for organ transplantation</x:v>
      </x:c>
      <x:c r="K131" s="5" t="str">
        <x:v>UNVERIFIED; check entity scope</x:v>
      </x:c>
    </x:row>
    <x:row r="132" ht="39" customHeight="1">
      <x:c r="A132" s="5" t="str">
        <x:v>Xbrane Biopharma</x:v>
      </x:c>
      <x:c r="B132" s="5" t="str">
        <x:v>SEK</x:v>
      </x:c>
      <x:c r="C132" s="5" t="str">
        <x:v>FY2023</x:v>
      </x:c>
      <x:c r="D132" s="11" t="n">
        <x:v>238.7</x:v>
      </x:c>
      <x:c r="E132" s="5" t="str">
        <x:v>Stated leading amount; unverified source claim</x:v>
      </x:c>
      <x:c r="F132" s="11" t="n">
        <x:v>305.8</x:v>
      </x:c>
      <x:c r="G132" s="5" t="str">
        <x:v>Stated leading amount; unverified source claim</x:v>
      </x:c>
      <x:c r="H132" s="5" t="str">
        <x:v>SEK 238.7M (SEK 210M in FY2024)</x:v>
      </x:c>
      <x:c r="I132" s="5" t="str">
        <x:v>SEK 305.8M</x:v>
      </x:c>
      <x:c r="J132" s="5" t="str">
        <x:v>Listed (Nasdaq Stockholm: XBRANE); biosimilars developer (Ximluci ranibizumab, biosimilar certolizumab)</x:v>
      </x:c>
      <x:c r="K132" s="5" t="str">
        <x:v>UNVERIFIED; check entity scope</x:v>
      </x:c>
    </x:row>
    <x:row r="133" ht="39" customHeight="1">
      <x:c r="A133" s="5" t="str">
        <x:v>Xintela</x:v>
      </x:c>
      <x:c r="B133" s="5" t="str">
        <x:v>SEK</x:v>
      </x:c>
      <x:c r="C133" s="5" t="str">
        <x:v>FY2024</x:v>
      </x:c>
      <x:c r="D133" s="11" t="n">
        <x:v>3.8</x:v>
      </x:c>
      <x:c r="E133" s="5" t="str">
        <x:v>Stated leading amount; unverified source claim</x:v>
      </x:c>
      <x:c r="F133" s="11" t="n">
        <x:v>31.4</x:v>
      </x:c>
      <x:c r="G133" s="5" t="str">
        <x:v>Stated leading amount; unverified source claim</x:v>
      </x:c>
      <x:c r="H133" s="5" t="str">
        <x:v>SEK 3.8M</x:v>
      </x:c>
      <x:c r="I133" s="5" t="str">
        <x:v>SEK 31.4M</x:v>
      </x:c>
      <x:c r="J133" s="5" t="str">
        <x:v>Listed (Nasdaq First North: XINT); integrin-targeted stem cell therapies (XSTEM) and antibody oncology (Targinta)</x:v>
      </x:c>
      <x:c r="K133" s="5" t="str">
        <x:v>UNVERIFIED; check entity scope</x:v>
      </x:c>
    </x:row>
    <x:row r="134" ht="39" customHeight="1">
      <x:c r="A134" s="5" t="str">
        <x:v>mEDICORENT</x:v>
      </x:c>
      <x:c r="B134" s="5" t="str">
        <x:v>SEK</x:v>
      </x:c>
      <x:c r="C134" s="5" t="str">
        <x:v>FY2023</x:v>
      </x:c>
      <x:c r="D134" s="11" t="n">
        <x:v>22.5</x:v>
      </x:c>
      <x:c r="E134" s="5" t="str">
        <x:v>Stated leading amount; unverified source claim</x:v>
      </x:c>
      <x:c r="F134" s="11" t="n">
        <x:v>1.2</x:v>
      </x:c>
      <x:c r="G134" s="5" t="str">
        <x:v>Stated leading amount; unverified source claim</x:v>
      </x:c>
      <x:c r="H134" s="5" t="str">
        <x:v>SEK 22.5M</x:v>
      </x:c>
      <x:c r="I134" s="5" t="str">
        <x:v>SEK 1.2M</x:v>
      </x:c>
      <x:c r="J134" s="5" t="str">
        <x:v>Private clinical trial recruitment, staffing, and monitoring outsourcing agency based in Solna</x:v>
      </x:c>
      <x:c r="K134" s="5" t="str">
        <x:v>UNVERIFIED; check entity scope</x:v>
      </x:c>
    </x:row>
  </x:sheetData>
  <x:pageMargins left="0.7" right="0.7" top="0.75" bottom="0.75" header="0.3" footer="0.3"/>
  <x:tableParts count="1">
    <x:tablePart xmlns:r="http://schemas.openxmlformats.org/officeDocument/2006/relationships" r:id="R53e062fa847242f0"/>
  </x:tableParts>
</x:worksheet>
</file>

<file path=xl/worksheets/sheet3.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2" hidden="0" customWidth="1"/>
    <x:col min="2" max="2" width="28" hidden="0" customWidth="1"/>
    <x:col min="3" max="3" width="40" hidden="0" customWidth="1"/>
    <x:col min="4" max="4" width="54" hidden="0" customWidth="1"/>
    <x:col min="5" max="5" width="46" hidden="0" customWidth="1"/>
    <x:col min="6" max="6" width="14" hidden="0" customWidth="1"/>
    <x:col min="7" max="7" width="23" hidden="0" customWidth="1"/>
    <x:col min="8" max="8" width="100" hidden="0" customWidth="1"/>
  </x:cols>
  <x:sheetData>
    <x:row r="1">
      <x:c r="A1" s="1"/>
      <x:c r="B1" s="1"/>
      <x:c r="C1" s="1"/>
      <x:c r="D1" s="1"/>
      <x:c r="E1" s="1"/>
      <x:c r="F1" s="1"/>
      <x:c r="G1" s="1"/>
      <x:c r="H1" s="1"/>
    </x:row>
    <x:row r="2">
      <x:c r="A2" s="2" t="str">
        <x:v>Google Sheet source snapshot</x:v>
      </x:c>
      <x:c r="B2" s="1"/>
      <x:c r="C2" s="1"/>
      <x:c r="D2" s="1"/>
      <x:c r="E2" s="1"/>
      <x:c r="F2" s="1"/>
      <x:c r="G2" s="1"/>
      <x:c r="H2" s="1"/>
    </x:row>
    <x:row r="3">
      <x:c r="A3" s="1" t="str">
        <x:v>v0003 · 2026-09-28T10:47:52Z (UTC)</x:v>
      </x:c>
      <x:c r="B3" s="1"/>
      <x:c r="C3" s="1"/>
      <x:c r="D3" s="1"/>
      <x:c r="E3" s="1"/>
      <x:c r="F3" s="1"/>
      <x:c r="G3" s="1"/>
      <x:c r="H3" s="1"/>
    </x:row>
    <x:row r="4">
      <x:c r="A4" s="3" t="str">
        <x:v>Exact populated source values are retained. One trailing whitespace-only row was excluded; the complete captured response is archived with this version.</x:v>
      </x:c>
      <x:c r="B4" s="1"/>
      <x:c r="C4" s="1"/>
      <x:c r="D4" s="1"/>
      <x:c r="E4" s="1"/>
      <x:c r="F4" s="1"/>
      <x:c r="G4" s="1"/>
      <x:c r="H4" s="1"/>
    </x:row>
    <x:row r="5">
      <x:c r="A5" s="1" t="str">
        <x:v>Source: https://docs.google.com/spreadsheets/d/1s0pVuA2KPyIdOWL77IS8N2FFcZNPbZvS55Ys9Wkukfo/edit#gid=1633792910 — read 2026-09-28 09:15:17 UTC</x:v>
      </x:c>
      <x:c r="B5" s="1"/>
      <x:c r="C5" s="1"/>
      <x:c r="D5" s="1"/>
      <x:c r="E5" s="1"/>
      <x:c r="F5" s="1"/>
      <x:c r="G5" s="1"/>
      <x:c r="H5" s="1"/>
    </x:row>
    <x:row r="6">
      <x:c r="A6" s="1"/>
      <x:c r="B6" s="1"/>
      <x:c r="C6" s="1"/>
      <x:c r="D6" s="1"/>
      <x:c r="E6" s="1"/>
      <x:c r="F6" s="1"/>
      <x:c r="G6" s="1"/>
      <x:c r="H6" s="1"/>
    </x:row>
    <x:row r="7" ht="32" customHeight="1">
      <x:c r="A7" s="9" t="str">
        <x:v>Company</x:v>
      </x:c>
      <x:c r="B7" s="9" t="str">
        <x:v>Location</x:v>
      </x:c>
      <x:c r="C7" s="9" t="str">
        <x:v>Area</x:v>
      </x:c>
      <x:c r="D7" s="9" t="str">
        <x:v>Revenue</x:v>
      </x:c>
      <x:c r="E7" s="9" t="str">
        <x:v>R&amp;D Spend</x:v>
      </x:c>
      <x:c r="F7" s="9" t="str">
        <x:v>Currency</x:v>
      </x:c>
      <x:c r="G7" s="9" t="str">
        <x:v>Fiscal Year / Period</x:v>
      </x:c>
      <x:c r="H7" s="9" t="str">
        <x:v>Status / Ownership / Notes</x:v>
      </x:c>
    </x:row>
    <x:row r="8" ht="39" customHeight="1">
      <x:c r="A8" s="5" t="str">
        <x:v>HemoCue</x:v>
      </x:c>
      <x:c r="B8" s="5" t="str">
        <x:v>Ängelholm, Sweden</x:v>
      </x:c>
      <x:c r="C8" s="5" t="str">
        <x:v>Diagnostics</x:v>
      </x:c>
      <x:c r="D8" s="5" t="str">
        <x:v>SEK 1,720.0M est. (Danaher Diagnostics $9.5B)</x:v>
      </x:c>
      <x:c r="E8" s="5" t="str">
        <x:v>SEK 135.0M est.</x:v>
      </x:c>
      <x:c r="F8" s="5" t="str">
        <x:v>SEK</x:v>
      </x:c>
      <x:c r="G8" s="5" t="str">
        <x:v>FY2023/24</x:v>
      </x:c>
      <x:c r="H8" s="5" t="str">
        <x:v>Subsidiary of Danaher Corporation (NYSE: DHR); global leader in point-of-care microcuvette testing</x:v>
      </x:c>
    </x:row>
    <x:row r="9" ht="39" customHeight="1">
      <x:c r="A9" s="5" t="str">
        <x:v>Devyser</x:v>
      </x:c>
      <x:c r="B9" s="5" t="str">
        <x:v>Årsta, Sweden</x:v>
      </x:c>
      <x:c r="C9" s="5" t="str">
        <x:v>Genetic Diagnostics, NGS Analysis</x:v>
      </x:c>
      <x:c r="D9" s="5" t="str">
        <x:v>SEK 216.9M (SEK 169.3M in FY2023)</x:v>
      </x:c>
      <x:c r="E9" s="5" t="str">
        <x:v>SEK 44.8M</x:v>
      </x:c>
      <x:c r="F9" s="5" t="str">
        <x:v>SEK</x:v>
      </x:c>
      <x:c r="G9" s="5" t="str">
        <x:v>FY2024</x:v>
      </x:c>
      <x:c r="H9" s="5" t="str">
        <x:v>Listed (Nasdaq Stockholm: DVYSR); advanced genetic testing and NGS diagnostics for hereditary diseases</x:v>
      </x:c>
    </x:row>
    <x:row r="10" ht="32" customHeight="1">
      <x:c r="A10" s="5" t="str">
        <x:v>AOP Orphan Diseases</x:v>
      </x:c>
      <x:c r="B10" s="5" t="str">
        <x:v>Bromma, Sweden</x:v>
      </x:c>
      <x:c r="C10" s="5" t="str">
        <x:v>Orphan disease treatments</x:v>
      </x:c>
      <x:c r="D10" s="5" t="str">
        <x:v>EUR 450.0M</x:v>
      </x:c>
      <x:c r="E10" s="5" t="str">
        <x:v>EUR 85.0M (~19% of sales)</x:v>
      </x:c>
      <x:c r="F10" s="5" t="str">
        <x:v>EUR</x:v>
      </x:c>
      <x:c r="G10" s="5" t="str">
        <x:v>FY2024/25</x:v>
      </x:c>
      <x:c r="H10" s="5" t="str">
        <x:v>AOP Health Group (Austria/Sweden commercial affiliate); rare disease treatments</x:v>
      </x:c>
    </x:row>
    <x:row r="11" ht="39" customHeight="1">
      <x:c r="A11" s="5" t="str">
        <x:v>Fresenius Kabi</x:v>
      </x:c>
      <x:c r="B11" s="5" t="str">
        <x:v>Brunna, Sweden</x:v>
      </x:c>
      <x:c r="C11" s="5" t="str">
        <x:v>Contract Manufacturing</x:v>
      </x:c>
      <x:c r="D11" s="5" t="str">
        <x:v>EUR 8,414.0M (Swedish affiliate ~SEK 4,800M)</x:v>
      </x:c>
      <x:c r="E11" s="5" t="str">
        <x:v>EUR 636.0M (~SEK 7.2B group R&amp;D)</x:v>
      </x:c>
      <x:c r="F11" s="5" t="str">
        <x:v>EUR</x:v>
      </x:c>
      <x:c r="G11" s="5" t="str">
        <x:v>FY2024</x:v>
      </x:c>
      <x:c r="H11" s="5" t="str">
        <x:v>Subsidiary of Fresenius SE (DAX: FRE); major parenteral manufacturing sites in Brunna and Uppsala</x:v>
      </x:c>
    </x:row>
    <x:row r="12" ht="39" customHeight="1">
      <x:c r="A12" s="5" t="str">
        <x:v>Getinge</x:v>
      </x:c>
      <x:c r="B12" s="5" t="str">
        <x:v>Getinge, Sweden</x:v>
      </x:c>
      <x:c r="C12" s="5" t="str">
        <x:v>Medical Technology</x:v>
      </x:c>
      <x:c r="D12" s="5" t="str">
        <x:v>SEK 34,759.0M (SEK 34.76B)</x:v>
      </x:c>
      <x:c r="E12" s="5" t="str">
        <x:v>SEK 1,745.0M (~5.0% of sales)</x:v>
      </x:c>
      <x:c r="F12" s="5" t="str">
        <x:v>SEK</x:v>
      </x:c>
      <x:c r="G12" s="5" t="str">
        <x:v>FY2024</x:v>
      </x:c>
      <x:c r="H12" s="5" t="str">
        <x:v>Listed (Nasdaq Stockholm: GETI B); global leader in intensive care equipment, ventilators, surgical tables</x:v>
      </x:c>
    </x:row>
    <x:row r="13" ht="39" customHeight="1">
      <x:c r="A13" s="5" t="str">
        <x:v>Simsen Diagnostics</x:v>
      </x:c>
      <x:c r="B13" s="5" t="str">
        <x:v>Göteborg, Sweden</x:v>
      </x:c>
      <x:c r="C13" s="5" t="str">
        <x:v>ctDNA Analysis</x:v>
      </x:c>
      <x:c r="D13" s="5" t="str">
        <x:v>SEK 4.5M</x:v>
      </x:c>
      <x:c r="E13" s="5" t="str">
        <x:v>SEK 15.5M</x:v>
      </x:c>
      <x:c r="F13" s="5" t="str">
        <x:v>SEK</x:v>
      </x:c>
      <x:c r="G13" s="5" t="str">
        <x:v>FY2024</x:v>
      </x:c>
      <x:c r="H13" s="5" t="str">
        <x:v>Private ultra-sensitive ctDNA liquid biopsy for minimal residual disease; raised SEK 10M in May 2026</x:v>
      </x:c>
    </x:row>
    <x:row r="14" ht="32" customHeight="1">
      <x:c r="A14" s="5" t="str">
        <x:v>ANYO Labs</x:v>
      </x:c>
      <x:c r="B14" s="5" t="str">
        <x:v>Gothenburg, Sweden</x:v>
      </x:c>
      <x:c r="C14" s="5" t="str">
        <x:v>Small Molecule Drug Discovery Tools</x:v>
      </x:c>
      <x:c r="D14" s="5" t="str">
        <x:v>SEK 2.0M est.</x:v>
      </x:c>
      <x:c r="E14" s="5" t="str">
        <x:v>SEK 5.2M</x:v>
      </x:c>
      <x:c r="F14" s="5" t="str">
        <x:v>SEK</x:v>
      </x:c>
      <x:c r="G14" s="5" t="str">
        <x:v>FY2023/24</x:v>
      </x:c>
      <x:c r="H14" s="5" t="str">
        <x:v>Private AI small molecule discovery platform; backed by Chalmers Ventures &amp; Vinnova</x:v>
      </x:c>
    </x:row>
    <x:row r="15" ht="39" customHeight="1">
      <x:c r="A15" s="5" t="str">
        <x:v>AstraZeneca</x:v>
      </x:c>
      <x:c r="B15" s="5" t="str">
        <x:v>Gothenburg, Sweden</x:v>
      </x:c>
      <x:c r="C15" s="5" t="str">
        <x:v>Small Molecules, Vaccines, Biologics</x:v>
      </x:c>
      <x:c r="D15" s="5" t="str">
        <x:v>USD 54,100.0M ($54.1B)</x:v>
      </x:c>
      <x:c r="E15" s="5" t="str">
        <x:v>USD 13,600.0M ($13.6B)</x:v>
      </x:c>
      <x:c r="F15" s="5" t="str">
        <x:v>USD</x:v>
      </x:c>
      <x:c r="G15" s="5" t="str">
        <x:v>FY2024</x:v>
      </x:c>
      <x:c r="H15" s="5" t="str">
        <x:v>Listed (AZN); global multinational flagship; major global R&amp;D hub in Gothenburg &amp; manufacturing in Södertälje</x:v>
      </x:c>
    </x:row>
    <x:row r="16" ht="32" customHeight="1">
      <x:c r="A16" s="5" t="str">
        <x:v>Cellenion</x:v>
      </x:c>
      <x:c r="B16" s="5" t="str">
        <x:v>Gothenburg, Sweden</x:v>
      </x:c>
      <x:c r="C16" s="5" t="str">
        <x:v>Single Cell Testing</x:v>
      </x:c>
      <x:c r="D16" s="5" t="str">
        <x:v>EUR 18.0M est. (~SEK 205M)</x:v>
      </x:c>
      <x:c r="E16" s="5" t="str">
        <x:v>EUR 4.2M (~SEK 48M)</x:v>
      </x:c>
      <x:c r="F16" s="5" t="str">
        <x:v>EUR</x:v>
      </x:c>
      <x:c r="G16" s="5" t="str">
        <x:v>FY2023/24</x:v>
      </x:c>
      <x:c r="H16" s="5" t="str">
        <x:v>Part of BICO Group (cellenONE single cell isolation &amp; picoliter precision dispensing)</x:v>
      </x:c>
    </x:row>
    <x:row r="17" ht="39" customHeight="1">
      <x:c r="A17" s="5" t="str">
        <x:v>Cellink</x:v>
      </x:c>
      <x:c r="B17" s="5" t="str">
        <x:v>Gothenburg, Sweden</x:v>
      </x:c>
      <x:c r="C17" s="5" t="str">
        <x:v>Bioprinting</x:v>
      </x:c>
      <x:c r="D17" s="5" t="str">
        <x:v>SEK 2,240.0M (BICO Group consolidated; Cellink ~SEK 600M)</x:v>
      </x:c>
      <x:c r="E17" s="5" t="str">
        <x:v>SEK 215.0M (BICO Group R&amp;D)</x:v>
      </x:c>
      <x:c r="F17" s="5" t="str">
        <x:v>SEK</x:v>
      </x:c>
      <x:c r="G17" s="5" t="str">
        <x:v>FY2023/24</x:v>
      </x:c>
      <x:c r="H17" s="5" t="str">
        <x:v>Core 3D bioprinting division of BICO Group (Nasdaq Stockholm: BICO)</x:v>
      </x:c>
    </x:row>
    <x:row r="18" ht="39" customHeight="1">
      <x:c r="A18" s="5" t="str">
        <x:v>Getinge</x:v>
      </x:c>
      <x:c r="B18" s="5" t="str">
        <x:v>Gothenburg, Sweden</x:v>
      </x:c>
      <x:c r="C18" s="5" t="str">
        <x:v>Medical Technology</x:v>
      </x:c>
      <x:c r="D18" s="5" t="str">
        <x:v>SEK 34,759.0M (SEK 34.76B)</x:v>
      </x:c>
      <x:c r="E18" s="5" t="str">
        <x:v>SEK 1,745.0M (~5.0% of sales)</x:v>
      </x:c>
      <x:c r="F18" s="5" t="str">
        <x:v>SEK</x:v>
      </x:c>
      <x:c r="G18" s="5" t="str">
        <x:v>FY2024</x:v>
      </x:c>
      <x:c r="H18" s="5" t="str">
        <x:v>Listed (Nasdaq Stockholm: GETI B); global leader in intensive care equipment, ventilators, surgical tables</x:v>
      </x:c>
    </x:row>
    <x:row r="19" ht="39" customHeight="1">
      <x:c r="A19" s="5" t="str">
        <x:v>Isofol Medical</x:v>
      </x:c>
      <x:c r="B19" s="5" t="str">
        <x:v>Gothenburg, Sweden</x:v>
      </x:c>
      <x:c r="C19" s="5" t="str">
        <x:v>Arfolitixorin</x:v>
      </x:c>
      <x:c r="D19" s="5" t="str">
        <x:v>SEK 0M (Clinical stage)</x:v>
      </x:c>
      <x:c r="E19" s="5" t="str">
        <x:v>SEK 32.1M</x:v>
      </x:c>
      <x:c r="F19" s="5" t="str">
        <x:v>SEK</x:v>
      </x:c>
      <x:c r="G19" s="5" t="str">
        <x:v>FY2023/24</x:v>
      </x:c>
      <x:c r="H19" s="5" t="str">
        <x:v>Listed (Nasdaq Stockholm: ISOFOL); Arfolitixorin folate receptor therapy for colorectal cancer</x:v>
      </x:c>
    </x:row>
    <x:row r="20" ht="39" customHeight="1">
      <x:c r="A20" s="5" t="str">
        <x:v>Mentice</x:v>
      </x:c>
      <x:c r="B20" s="5" t="str">
        <x:v>Gothenburg, Sweden</x:v>
      </x:c>
      <x:c r="C20" s="5" t="str">
        <x:v>Endovascular Simulators</x:v>
      </x:c>
      <x:c r="D20" s="5" t="str">
        <x:v>SEK 290.3M (SEK 265.4M in FY2023)</x:v>
      </x:c>
      <x:c r="E20" s="5" t="str">
        <x:v>SEK 42.1M</x:v>
      </x:c>
      <x:c r="F20" s="5" t="str">
        <x:v>SEK</x:v>
      </x:c>
      <x:c r="G20" s="5" t="str">
        <x:v>FY2024</x:v>
      </x:c>
      <x:c r="H20" s="5" t="str">
        <x:v>Listed (Nasdaq First North: MNTC); virtual reality and hardware simulators for endovascular interventions</x:v>
      </x:c>
    </x:row>
    <x:row r="21" ht="39" customHeight="1">
      <x:c r="A21" s="5" t="str">
        <x:v>VERIGRAFT</x:v>
      </x:c>
      <x:c r="B21" s="5" t="str">
        <x:v>Gothenburg, Sweden</x:v>
      </x:c>
      <x:c r="C21" s="5" t="str">
        <x:v>Personalized Tissue Transplants</x:v>
      </x:c>
      <x:c r="D21" s="5" t="str">
        <x:v>SEK 0M (Clinical stage)</x:v>
      </x:c>
      <x:c r="E21" s="5" t="str">
        <x:v>SEK 42.0M</x:v>
      </x:c>
      <x:c r="F21" s="5" t="str">
        <x:v>SEK</x:v>
      </x:c>
      <x:c r="G21" s="5" t="str">
        <x:v>FY2024</x:v>
      </x:c>
      <x:c r="H21" s="5" t="str">
        <x:v>Private autologous tissue-engineered blood vessels and valves; raised SEK 110M / €10M in Feb 2026</x:v>
      </x:c>
    </x:row>
    <x:row r="22" ht="32" customHeight="1">
      <x:c r="A22" s="5" t="str">
        <x:v>Meribel Pharma Group</x:v>
      </x:c>
      <x:c r="B22" s="5" t="str">
        <x:v>Hoganas, Sweden</x:v>
      </x:c>
      <x:c r="C22" s="5" t="str">
        <x:v>Contract Manufacturing</x:v>
      </x:c>
      <x:c r="D22" s="5" t="str">
        <x:v>SEK 55.0M est.</x:v>
      </x:c>
      <x:c r="E22" s="5" t="str">
        <x:v>SEK 5.5M</x:v>
      </x:c>
      <x:c r="F22" s="5" t="str">
        <x:v>SEK</x:v>
      </x:c>
      <x:c r="G22" s="5" t="str">
        <x:v>FY2023</x:v>
      </x:c>
      <x:c r="H22" s="5" t="str">
        <x:v>Private pharmaceutical manufacturing and packaging group (Höganäs, Karlskoga, Solna sites)</x:v>
      </x:c>
    </x:row>
    <x:row r="23" ht="39" customHeight="1">
      <x:c r="A23" s="5" t="str">
        <x:v>AlzeCure Pharma</x:v>
      </x:c>
      <x:c r="B23" s="5" t="str">
        <x:v>Huddinge, Sweden</x:v>
      </x:c>
      <x:c r="C23" s="5" t="str">
        <x:v>Alzheimer's Focused Treatments</x:v>
      </x:c>
      <x:c r="D23" s="5" t="str">
        <x:v>SEK 0M (Clinical stage)</x:v>
      </x:c>
      <x:c r="E23" s="5" t="str">
        <x:v>SEK 54.3M</x:v>
      </x:c>
      <x:c r="F23" s="5" t="str">
        <x:v>SEK</x:v>
      </x:c>
      <x:c r="G23" s="5" t="str">
        <x:v>FY2023/24</x:v>
      </x:c>
      <x:c r="H23" s="5" t="str">
        <x:v>Listed (Nasdaq First North: ALZCUR); Alzheimer's and pain therapies (Alzstatin, NeuroRestore)</x:v>
      </x:c>
    </x:row>
    <x:row r="24" ht="39" customHeight="1">
      <x:c r="A24" s="5" t="str">
        <x:v>Sprint Bioscience</x:v>
      </x:c>
      <x:c r="B24" s="5" t="str">
        <x:v>Huddinge, Sweden</x:v>
      </x:c>
      <x:c r="C24" s="5" t="str">
        <x:v>Cancer &amp; Metabolism Therapies</x:v>
      </x:c>
      <x:c r="D24" s="5" t="str">
        <x:v>SEK 65.6M</x:v>
      </x:c>
      <x:c r="E24" s="5" t="str">
        <x:v>SEK 52.8M</x:v>
      </x:c>
      <x:c r="F24" s="5" t="str">
        <x:v>SEK</x:v>
      </x:c>
      <x:c r="G24" s="5" t="str">
        <x:v>FY2024</x:v>
      </x:c>
      <x:c r="H24" s="5" t="str">
        <x:v>Listed (Nasdaq First North: SPRINT); fragment-based preclinical oncology drug discovery and out-licensing</x:v>
      </x:c>
    </x:row>
    <x:row r="25" ht="39" customHeight="1">
      <x:c r="A25" s="5" t="str">
        <x:v>Cambrex</x:v>
      </x:c>
      <x:c r="B25" s="5" t="str">
        <x:v>Karlskoga, Sweden</x:v>
      </x:c>
      <x:c r="C25" s="5" t="str">
        <x:v>Small Molecules Research, Development &amp; Manufacturing Services</x:v>
      </x:c>
      <x:c r="D25" s="5" t="str">
        <x:v>USD 700.0M est. (Karlskoga site ~SEK 1,250M)</x:v>
      </x:c>
      <x:c r="E25" s="5" t="str">
        <x:v>USD 50.0M (~SEK 65M at Karlskoga)</x:v>
      </x:c>
      <x:c r="F25" s="5" t="str">
        <x:v>USD</x:v>
      </x:c>
      <x:c r="G25" s="5" t="str">
        <x:v>FY2023/24</x:v>
      </x:c>
      <x:c r="H25" s="5" t="str">
        <x:v>Private equity-owned by Permira; global small molecule API CDMO facility in Karlskoga</x:v>
      </x:c>
    </x:row>
    <x:row r="26" ht="32" customHeight="1">
      <x:c r="A26" s="5" t="str">
        <x:v>Meribel Pharma Group</x:v>
      </x:c>
      <x:c r="B26" s="5" t="str">
        <x:v>Karlskoga, Sweden</x:v>
      </x:c>
      <x:c r="C26" s="5" t="str">
        <x:v>Contract Manufacturing</x:v>
      </x:c>
      <x:c r="D26" s="5" t="str">
        <x:v>SEK 55.0M est.</x:v>
      </x:c>
      <x:c r="E26" s="5" t="str">
        <x:v>SEK 5.5M</x:v>
      </x:c>
      <x:c r="F26" s="5" t="str">
        <x:v>SEK</x:v>
      </x:c>
      <x:c r="G26" s="5" t="str">
        <x:v>FY2023</x:v>
      </x:c>
      <x:c r="H26" s="5" t="str">
        <x:v>Private pharmaceutical manufacturing and packaging group (Höganäs, Karlskoga, Solna sites)</x:v>
      </x:c>
    </x:row>
    <x:row r="27" ht="39" customHeight="1">
      <x:c r="A27" s="5" t="str">
        <x:v>Genovis</x:v>
      </x:c>
      <x:c r="B27" s="5" t="str">
        <x:v>Kävlinge, Sweden</x:v>
      </x:c>
      <x:c r="C27" s="5" t="str">
        <x:v>Nanoparticles</x:v>
      </x:c>
      <x:c r="D27" s="5" t="str">
        <x:v>SEK 130.4M (SEK 158.2M in FY2023)</x:v>
      </x:c>
      <x:c r="E27" s="5" t="str">
        <x:v>SEK 22.8M</x:v>
      </x:c>
      <x:c r="F27" s="5" t="str">
        <x:v>SEK</x:v>
      </x:c>
      <x:c r="G27" s="5" t="str">
        <x:v>FY2024</x:v>
      </x:c>
      <x:c r="H27" s="5" t="str">
        <x:v>Listed (Nasdaq First North: GENO); SmartEnzymes for biopharmaceutical analytical characterization</x:v>
      </x:c>
    </x:row>
    <x:row r="28" ht="39" customHeight="1">
      <x:c r="A28" s="5" t="str">
        <x:v>PolyPeptide Group</x:v>
      </x:c>
      <x:c r="B28" s="5" t="str">
        <x:v>Limhamn, Sweden</x:v>
      </x:c>
      <x:c r="C28" s="5" t="str">
        <x:v>Polypeptide Manufacturing</x:v>
      </x:c>
      <x:c r="D28" s="5" t="str">
        <x:v>EUR 336.8M (~SEK 3.82B; €320.4M in FY23)</x:v>
      </x:c>
      <x:c r="E28" s="5" t="str">
        <x:v>EUR 1.1M expensed (+ major CDMO CAPEX)</x:v>
      </x:c>
      <x:c r="F28" s="5" t="str">
        <x:v>EUR</x:v>
      </x:c>
      <x:c r="G28" s="5" t="str">
        <x:v>FY2024</x:v>
      </x:c>
      <x:c r="H28" s="5" t="str">
        <x:v>Listed (SIX Swiss Exchange: PPGN); premier peptide &amp; oligonucleotide CDMO; major manufacturing plant in Malmö</x:v>
      </x:c>
    </x:row>
    <x:row r="29" ht="39" customHeight="1">
      <x:c r="A29" s="5" t="str">
        <x:v>AMRA Medical</x:v>
      </x:c>
      <x:c r="B29" s="5" t="str">
        <x:v>Linköping, Sweden</x:v>
      </x:c>
      <x:c r="C29" s="5" t="str">
        <x:v>MRI Body-composition analysis</x:v>
      </x:c>
      <x:c r="D29" s="5" t="str">
        <x:v>SEK 75.0M est. ($7M)</x:v>
      </x:c>
      <x:c r="E29" s="5" t="str">
        <x:v>SEK 28.0M</x:v>
      </x:c>
      <x:c r="F29" s="5" t="str">
        <x:v>SEK</x:v>
      </x:c>
      <x:c r="G29" s="5" t="str">
        <x:v>FY2023/24</x:v>
      </x:c>
      <x:c r="H29" s="5" t="str">
        <x:v>Private health informatics; MRI body composition analysis; backed by HealthCap &amp; Industrifonden</x:v>
      </x:c>
    </x:row>
    <x:row r="30" ht="39" customHeight="1">
      <x:c r="A30" s="5" t="str">
        <x:v>ArgusEye</x:v>
      </x:c>
      <x:c r="B30" s="5" t="str">
        <x:v>Linköping, Sweden</x:v>
      </x:c>
      <x:c r="C30" s="5" t="str">
        <x:v>Biosensors</x:v>
      </x:c>
      <x:c r="D30" s="5" t="str">
        <x:v>SEK 3.0M est.</x:v>
      </x:c>
      <x:c r="E30" s="5" t="str">
        <x:v>SEK 18.0M</x:v>
      </x:c>
      <x:c r="F30" s="5" t="str">
        <x:v>SEK</x:v>
      </x:c>
      <x:c r="G30" s="5" t="str">
        <x:v>FY2023/24</x:v>
      </x:c>
      <x:c r="H30" s="5" t="str">
        <x:v>Private bioprocess sensor technology; raised €3.3M in 2026 and €2.8M in 2024 from Voima &amp; Eir</x:v>
      </x:c>
    </x:row>
    <x:row r="31" ht="39" customHeight="1">
      <x:c r="A31" s="5" t="str">
        <x:v>BioReperia</x:v>
      </x:c>
      <x:c r="B31" s="5" t="str">
        <x:v>Linköping, Sweden</x:v>
      </x:c>
      <x:c r="C31" s="5" t="str">
        <x:v>Cancer Diagnostics Consulting</x:v>
      </x:c>
      <x:c r="D31" s="5" t="str">
        <x:v>SEK 20.0M est. ($4.3M gross)</x:v>
      </x:c>
      <x:c r="E31" s="5" t="str">
        <x:v>SEK 7.5M</x:v>
      </x:c>
      <x:c r="F31" s="5" t="str">
        <x:v>SEK</x:v>
      </x:c>
      <x:c r="G31" s="5" t="str">
        <x:v>FY2023/24</x:v>
      </x:c>
      <x:c r="H31" s="5" t="str">
        <x:v>Private Linköping spin-out; zebrafish tumor xenograft models for rapid cancer drug screening</x:v>
      </x:c>
    </x:row>
    <x:row r="32" ht="32" customHeight="1">
      <x:c r="A32" s="5" t="str">
        <x:v>Acrivon Therapeutics</x:v>
      </x:c>
      <x:c r="B32" s="5" t="str">
        <x:v>Lund, Sweden</x:v>
      </x:c>
      <x:c r="C32" s="5" t="str">
        <x:v>Checkpoint Inhibitor</x:v>
      </x:c>
      <x:c r="D32" s="5" t="str">
        <x:v>USD 0M (Clinical stage)</x:v>
      </x:c>
      <x:c r="E32" s="5" t="str">
        <x:v>USD 64.0M</x:v>
      </x:c>
      <x:c r="F32" s="5" t="str">
        <x:v>USD</x:v>
      </x:c>
      <x:c r="G32" s="5" t="str">
        <x:v>FY2024</x:v>
      </x:c>
      <x:c r="H32" s="5" t="str">
        <x:v>Listed (Nasdaq US: ACRV); lead drug candidate ACR-368 checkpoint inhibitor &amp; APM platform</x:v>
      </x:c>
    </x:row>
    <x:row r="33" ht="32" customHeight="1">
      <x:c r="A33" s="5" t="str">
        <x:v>Active Biotech</x:v>
      </x:c>
      <x:c r="B33" s="5" t="str">
        <x:v>Lund, Sweden</x:v>
      </x:c>
      <x:c r="C33" s="5" t="str">
        <x:v>Small Molecules, Biologics</x:v>
      </x:c>
      <x:c r="D33" s="5" t="str">
        <x:v>SEK 0.6M</x:v>
      </x:c>
      <x:c r="E33" s="5" t="str">
        <x:v>SEK 38.2M</x:v>
      </x:c>
      <x:c r="F33" s="5" t="str">
        <x:v>SEK</x:v>
      </x:c>
      <x:c r="G33" s="5" t="str">
        <x:v>FY2023/24</x:v>
      </x:c>
      <x:c r="H33" s="5" t="str">
        <x:v>Listed (Nasdaq Stockholm: ACTI); small molecules &amp; biologics (Tasquinimod, Laquinimod)</x:v>
      </x:c>
    </x:row>
    <x:row r="34" ht="32" customHeight="1">
      <x:c r="A34" s="5" t="str">
        <x:v>Alligator Bioscience</x:v>
      </x:c>
      <x:c r="B34" s="5" t="str">
        <x:v>Lund, Sweden</x:v>
      </x:c>
      <x:c r="C34" s="5" t="str">
        <x:v>Antibody Therapeutics</x:v>
      </x:c>
      <x:c r="D34" s="5" t="str">
        <x:v>SEK 58.1M</x:v>
      </x:c>
      <x:c r="E34" s="5" t="str">
        <x:v>SEK 168.5M</x:v>
      </x:c>
      <x:c r="F34" s="5" t="str">
        <x:v>SEK</x:v>
      </x:c>
      <x:c r="G34" s="5" t="str">
        <x:v>FY2023/24</x:v>
      </x:c>
      <x:c r="H34" s="5" t="str">
        <x:v>Listed (Nasdaq Stockholm: ATORX); tumor-directed antibody therapeutics (Mitazalimab)</x:v>
      </x:c>
    </x:row>
    <x:row r="35" ht="39" customHeight="1">
      <x:c r="A35" s="5" t="str">
        <x:v>Asgard Therapeutics</x:v>
      </x:c>
      <x:c r="B35" s="5" t="str">
        <x:v>Lund, Sweden</x:v>
      </x:c>
      <x:c r="C35" s="5" t="str">
        <x:v>Cancer Immunotherapy</x:v>
      </x:c>
      <x:c r="D35" s="5" t="str">
        <x:v>SEK 0M (Pre-clinical)</x:v>
      </x:c>
      <x:c r="E35" s="5" t="str">
        <x:v>EUR 5.5M (~SEK 62M)</x:v>
      </x:c>
      <x:c r="F35" s="5" t="str">
        <x:v>EUR</x:v>
      </x:c>
      <x:c r="G35" s="5" t="str">
        <x:v>FY2024</x:v>
      </x:c>
      <x:c r="H35" s="5" t="str">
        <x:v>Private Lund spin-out; direct cell reprogramming for cancer immunotherapy; raised €30M Series A in March 2024</x:v>
      </x:c>
    </x:row>
    <x:row r="36" ht="39" customHeight="1">
      <x:c r="A36" s="5" t="str">
        <x:v>BioInvent International</x:v>
      </x:c>
      <x:c r="B36" s="5" t="str">
        <x:v>Lund, Sweden</x:v>
      </x:c>
      <x:c r="C36" s="5" t="str">
        <x:v>Antibody Drugs</x:v>
      </x:c>
      <x:c r="D36" s="5" t="str">
        <x:v>SEK 148.5M ($23.1M)</x:v>
      </x:c>
      <x:c r="E36" s="5" t="str">
        <x:v>SEK 342.6M</x:v>
      </x:c>
      <x:c r="F36" s="5" t="str">
        <x:v>SEK</x:v>
      </x:c>
      <x:c r="G36" s="5" t="str">
        <x:v>FY2023/24</x:v>
      </x:c>
      <x:c r="H36" s="5" t="str">
        <x:v>Listed (Nasdaq Stockholm: BINV); novel immuno-oncology antibody therapeutics (n-CoDeR/F.I.R.S.T)</x:v>
      </x:c>
    </x:row>
    <x:row r="37" ht="39" customHeight="1">
      <x:c r="A37" s="5" t="str">
        <x:v>Bionamic</x:v>
      </x:c>
      <x:c r="B37" s="5" t="str">
        <x:v>Lund, Sweden</x:v>
      </x:c>
      <x:c r="C37" s="5" t="str">
        <x:v>Software for Antibody Drug Development</x:v>
      </x:c>
      <x:c r="D37" s="5" t="str">
        <x:v>SEK 11.5M est.</x:v>
      </x:c>
      <x:c r="E37" s="5" t="str">
        <x:v>SEK 8.0M</x:v>
      </x:c>
      <x:c r="F37" s="5" t="str">
        <x:v>SEK</x:v>
      </x:c>
      <x:c r="G37" s="5" t="str">
        <x:v>FY2023/24</x:v>
      </x:c>
      <x:c r="H37" s="5" t="str">
        <x:v>Private biopharma software platform for antibody research and workflow integration</x:v>
      </x:c>
    </x:row>
    <x:row r="38" ht="39" customHeight="1">
      <x:c r="A38" s="5" t="str">
        <x:v>Camurus</x:v>
      </x:c>
      <x:c r="B38" s="5" t="str">
        <x:v>Lund, Sweden</x:v>
      </x:c>
      <x:c r="C38" s="5" t="str">
        <x:v>Specialty medicines</x:v>
      </x:c>
      <x:c r="D38" s="5" t="str">
        <x:v>SEK 1,868.0M</x:v>
      </x:c>
      <x:c r="E38" s="5" t="str">
        <x:v>SEK 485.0M</x:v>
      </x:c>
      <x:c r="F38" s="5" t="str">
        <x:v>SEK</x:v>
      </x:c>
      <x:c r="G38" s="5" t="str">
        <x:v>FY2024</x:v>
      </x:c>
      <x:c r="H38" s="5" t="str">
        <x:v>Listed (Nasdaq Stockholm: CAMX); specialty biopharma; FluidCrystal delivery platform (CAM2029)</x:v>
      </x:c>
    </x:row>
    <x:row r="39" ht="32" customHeight="1">
      <x:c r="A39" s="5" t="str">
        <x:v>Cantargia</x:v>
      </x:c>
      <x:c r="B39" s="5" t="str">
        <x:v>Lund, Sweden</x:v>
      </x:c>
      <x:c r="C39" s="5" t="str">
        <x:v>Antibody-based Treatments</x:v>
      </x:c>
      <x:c r="D39" s="5" t="str">
        <x:v>SEK 0M (Clinical stage)</x:v>
      </x:c>
      <x:c r="E39" s="5" t="str">
        <x:v>SEK 178.5M</x:v>
      </x:c>
      <x:c r="F39" s="5" t="str">
        <x:v>SEK</x:v>
      </x:c>
      <x:c r="G39" s="5" t="str">
        <x:v>FY2024</x:v>
      </x:c>
      <x:c r="H39" s="5" t="str">
        <x:v>Listed (Nasdaq Stockholm: CANTA); IL1RAP antibody therapeutics (Nadunolimab, CAN10)</x:v>
      </x:c>
    </x:row>
    <x:row r="40" ht="32" customHeight="1">
      <x:c r="A40" s="5" t="str">
        <x:v>Carbiotix</x:v>
      </x:c>
      <x:c r="B40" s="5" t="str">
        <x:v>Lund, Sweden</x:v>
      </x:c>
      <x:c r="C40" s="5" t="str">
        <x:v>Gut Microbiota Testing</x:v>
      </x:c>
      <x:c r="D40" s="5" t="str">
        <x:v>SEK 1.8M</x:v>
      </x:c>
      <x:c r="E40" s="5" t="str">
        <x:v>SEK 9.2M</x:v>
      </x:c>
      <x:c r="F40" s="5" t="str">
        <x:v>SEK</x:v>
      </x:c>
      <x:c r="G40" s="5" t="str">
        <x:v>FY2023/24</x:v>
      </x:c>
      <x:c r="H40" s="5" t="str">
        <x:v>Listed (Spotlight: CRBX); prebiotic soluble fibers (CarbiAXOS) and gut microbiome testing</x:v>
      </x:c>
    </x:row>
    <x:row r="41" ht="39" customHeight="1">
      <x:c r="A41" s="5" t="str">
        <x:v>Cellevate</x:v>
      </x:c>
      <x:c r="B41" s="5" t="str">
        <x:v>Lund, Sweden</x:v>
      </x:c>
      <x:c r="C41" s="5" t="str">
        <x:v>Nano-material for Upstream Biomanufacturing</x:v>
      </x:c>
      <x:c r="D41" s="5" t="str">
        <x:v>SEK 4.5M est.</x:v>
      </x:c>
      <x:c r="E41" s="5" t="str">
        <x:v>SEK 18.2M</x:v>
      </x:c>
      <x:c r="F41" s="5" t="str">
        <x:v>SEK</x:v>
      </x:c>
      <x:c r="G41" s="5" t="str">
        <x:v>FY2023/24</x:v>
      </x:c>
      <x:c r="H41" s="5" t="str">
        <x:v>Private Lund nanotech; nanofiber microcarriers for upstream biomanufacturing; raised SEK 21.3M in 2026</x:v>
      </x:c>
    </x:row>
    <x:row r="42" ht="32" customHeight="1">
      <x:c r="A42" s="5" t="str">
        <x:v>Cytely</x:v>
      </x:c>
      <x:c r="B42" s="5" t="str">
        <x:v>Lund, Sweden</x:v>
      </x:c>
      <x:c r="C42" s="5" t="str">
        <x:v>Automated Assays and Workflows</x:v>
      </x:c>
      <x:c r="D42" s="5" t="str">
        <x:v>EUR 0.1M est.</x:v>
      </x:c>
      <x:c r="E42" s="5" t="str">
        <x:v>EUR 2.5M (~SEK 28M)</x:v>
      </x:c>
      <x:c r="F42" s="5" t="str">
        <x:v>EUR</x:v>
      </x:c>
      <x:c r="G42" s="5" t="str">
        <x:v>FY2024</x:v>
      </x:c>
      <x:c r="H42" s="5" t="str">
        <x:v>Private AI smart microscopy assay automation; raised €3M seed in Oct 2025</x:v>
      </x:c>
    </x:row>
    <x:row r="43" ht="39" customHeight="1">
      <x:c r="A43" s="5" t="str">
        <x:v>Diagonal Bio</x:v>
      </x:c>
      <x:c r="B43" s="5" t="str">
        <x:v>Lund, Sweden</x:v>
      </x:c>
      <x:c r="C43" s="5" t="str">
        <x:v>Rapid Pathogen Diagnosis</x:v>
      </x:c>
      <x:c r="D43" s="5" t="str">
        <x:v>SEK 2.7M (incl. capitalized dev)</x:v>
      </x:c>
      <x:c r="E43" s="5" t="str">
        <x:v>SEK 14.2M</x:v>
      </x:c>
      <x:c r="F43" s="5" t="str">
        <x:v>SEK</x:v>
      </x:c>
      <x:c r="G43" s="5" t="str">
        <x:v>FY2023/24</x:v>
      </x:c>
      <x:c r="H43" s="5" t="str">
        <x:v>Listed (Nasdaq First North: DIA BIO); LAMPlify point-of-care rapid molecular pathogen diagnosis</x:v>
      </x:c>
    </x:row>
    <x:row r="44" ht="39" customHeight="1">
      <x:c r="A44" s="5" t="str">
        <x:v>DIGNITANA</x:v>
      </x:c>
      <x:c r="B44" s="5" t="str">
        <x:v>Lund, Sweden</x:v>
      </x:c>
      <x:c r="C44" s="5" t="str">
        <x:v>Scalp Cooling Device to Minimize Cancer Treatment Hair Loss</x:v>
      </x:c>
      <x:c r="D44" s="5" t="str">
        <x:v>SEK 91.8M (FY2023; ~SEK 88M in FY2024)</x:v>
      </x:c>
      <x:c r="E44" s="5" t="str">
        <x:v>SEK 16.5M</x:v>
      </x:c>
      <x:c r="F44" s="5" t="str">
        <x:v>SEK</x:v>
      </x:c>
      <x:c r="G44" s="5" t="str">
        <x:v>FY2023/24</x:v>
      </x:c>
      <x:c r="H44" s="5" t="str">
        <x:v>Listed (Nasdaq First North: DIGN); DigniCap scalp cooling system to reduce chemotherapy-induced hair loss</x:v>
      </x:c>
    </x:row>
    <x:row r="45" ht="32" customHeight="1">
      <x:c r="A45" s="5" t="str">
        <x:v>EQL Pharma</x:v>
      </x:c>
      <x:c r="B45" s="5" t="str">
        <x:v>Lund, Sweden</x:v>
      </x:c>
      <x:c r="C45" s="5" t="str">
        <x:v>Generics</x:v>
      </x:c>
      <x:c r="D45" s="5" t="str">
        <x:v>SEK 373.5M (SEK 302.2M in FY2023/24)</x:v>
      </x:c>
      <x:c r="E45" s="5" t="str">
        <x:v>SEK 28.6M</x:v>
      </x:c>
      <x:c r="F45" s="5" t="str">
        <x:v>SEK</x:v>
      </x:c>
      <x:c r="G45" s="5" t="str">
        <x:v>FY2024/25</x:v>
      </x:c>
      <x:c r="H45" s="5" t="str">
        <x:v>Listed (Nasdaq Stockholm: EQL); specialty and niche generic pharmaceuticals</x:v>
      </x:c>
    </x:row>
    <x:row r="46" ht="39" customHeight="1">
      <x:c r="A46" s="5" t="str">
        <x:v>EXINI Diagnostics</x:v>
      </x:c>
      <x:c r="B46" s="5" t="str">
        <x:v>Lund, Sweden</x:v>
      </x:c>
      <x:c r="C46" s="5" t="str">
        <x:v>Diagnostic Devices</x:v>
      </x:c>
      <x:c r="D46" s="5" t="str">
        <x:v>SEK 30.0M est.</x:v>
      </x:c>
      <x:c r="E46" s="5" t="str">
        <x:v>SEK 18.0M</x:v>
      </x:c>
      <x:c r="F46" s="5" t="str">
        <x:v>SEK</x:v>
      </x:c>
      <x:c r="G46" s="5" t="str">
        <x:v>FY2023/24</x:v>
      </x:c>
      <x:c r="H46" s="5" t="str">
        <x:v>Subsidiary of Lantheus Holdings (Nasdaq: LNTH); AI medical image analysis software (PSMA PET)</x:v>
      </x:c>
    </x:row>
    <x:row r="47" ht="52" customHeight="1">
      <x:c r="A47" s="5" t="str">
        <x:v>Hansa Biopharma</x:v>
      </x:c>
      <x:c r="B47" s="5" t="str">
        <x:v>Lund, Sweden</x:v>
      </x:c>
      <x:c r="C47" s="5" t="str">
        <x:v>Novel immunomodulatory enzymes for transplantation and acute autoimmune diseases</x:v>
      </x:c>
      <x:c r="D47" s="5" t="str">
        <x:v>SEK 171.3M</x:v>
      </x:c>
      <x:c r="E47" s="5" t="str">
        <x:v>SEK 398.5M</x:v>
      </x:c>
      <x:c r="F47" s="5" t="str">
        <x:v>SEK</x:v>
      </x:c>
      <x:c r="G47" s="5" t="str">
        <x:v>FY2024</x:v>
      </x:c>
      <x:c r="H47" s="5" t="str">
        <x:v>Listed (Nasdaq Stockholm: HNSA); Idefirix (imlifidase) immunomodulatory enzyme for desensitization</x:v>
      </x:c>
    </x:row>
    <x:row r="48" ht="32" customHeight="1">
      <x:c r="A48" s="5" t="str">
        <x:v>Iconovo</x:v>
      </x:c>
      <x:c r="B48" s="5" t="str">
        <x:v>Lund, Sweden</x:v>
      </x:c>
      <x:c r="C48" s="5" t="str">
        <x:v>Inhalation Technology</x:v>
      </x:c>
      <x:c r="D48" s="5" t="str">
        <x:v>SEK 16.8M</x:v>
      </x:c>
      <x:c r="E48" s="5" t="str">
        <x:v>SEK 38.4M</x:v>
      </x:c>
      <x:c r="F48" s="5" t="str">
        <x:v>SEK</x:v>
      </x:c>
      <x:c r="G48" s="5" t="str">
        <x:v>FY2023/24</x:v>
      </x:c>
      <x:c r="H48" s="5" t="str">
        <x:v>Listed (Nasdaq First North: ICO); dry powder inhalation devices (ICOpre, ICOres, ICOcap)</x:v>
      </x:c>
    </x:row>
    <x:row r="49" ht="32" customHeight="1">
      <x:c r="A49" s="5" t="str">
        <x:v>Innovagen</x:v>
      </x:c>
      <x:c r="B49" s="5" t="str">
        <x:v>Lund, Sweden</x:v>
      </x:c>
      <x:c r="C49" s="5" t="str">
        <x:v>Custom antibody development</x:v>
      </x:c>
      <x:c r="D49" s="5" t="str">
        <x:v>SEK 22.4M</x:v>
      </x:c>
      <x:c r="E49" s="5" t="str">
        <x:v>SEK 4.2M</x:v>
      </x:c>
      <x:c r="F49" s="5" t="str">
        <x:v>SEK</x:v>
      </x:c>
      <x:c r="G49" s="5" t="str">
        <x:v>FY2023</x:v>
      </x:c>
      <x:c r="H49" s="5" t="str">
        <x:v>Private CRO; custom antibody generation, peptide synthesis, and protein biochemistry</x:v>
      </x:c>
    </x:row>
    <x:row r="50" ht="39" customHeight="1">
      <x:c r="A50" s="5" t="str">
        <x:v>Magle Biopharma</x:v>
      </x:c>
      <x:c r="B50" s="5" t="str">
        <x:v>Lund, Sweden</x:v>
      </x:c>
      <x:c r="C50" s="5" t="str">
        <x:v>Stem Cell CDMO</x:v>
      </x:c>
      <x:c r="D50" s="5" t="str">
        <x:v>SEK 185.0M (Group total post-merger)</x:v>
      </x:c>
      <x:c r="E50" s="5" t="str">
        <x:v>SEK 34.5M</x:v>
      </x:c>
      <x:c r="F50" s="5" t="str">
        <x:v>SEK</x:v>
      </x:c>
      <x:c r="G50" s="5" t="str">
        <x:v>FY2024</x:v>
      </x:c>
      <x:c r="H50" s="5" t="str">
        <x:v>Listed (Nasdaq First North: MAGLE); starch microsphere technology and stem cell CDMO services</x:v>
      </x:c>
    </x:row>
    <x:row r="51" ht="39" customHeight="1">
      <x:c r="A51" s="5" t="str">
        <x:v>Newbury Pharmaceuticals</x:v>
      </x:c>
      <x:c r="B51" s="5" t="str">
        <x:v>Lund, Sweden</x:v>
      </x:c>
      <x:c r="C51" s="5" t="str">
        <x:v>Specialty Pharmaceuticals</x:v>
      </x:c>
      <x:c r="D51" s="5" t="str">
        <x:v>SEK 18.5M (SEK 10.3M in FY2023)</x:v>
      </x:c>
      <x:c r="E51" s="5" t="str">
        <x:v>SEK 9.4M</x:v>
      </x:c>
      <x:c r="F51" s="5" t="str">
        <x:v>SEK</x:v>
      </x:c>
      <x:c r="G51" s="5" t="str">
        <x:v>FY2023/24</x:v>
      </x:c>
      <x:c r="H51" s="5" t="str">
        <x:v>Listed (Nasdaq First North: NEWBRY); registration, in-licensing and commercialization of specialty Rx</x:v>
      </x:c>
    </x:row>
    <x:row r="52" ht="39" customHeight="1">
      <x:c r="A52" s="5" t="str">
        <x:v>Qlucore</x:v>
      </x:c>
      <x:c r="B52" s="5" t="str">
        <x:v>Lund, Sweden</x:v>
      </x:c>
      <x:c r="C52" s="5" t="str">
        <x:v>Visualization Software</x:v>
      </x:c>
      <x:c r="D52" s="5" t="str">
        <x:v>SEK 14.37M</x:v>
      </x:c>
      <x:c r="E52" s="5" t="str">
        <x:v>SEK 22.8M</x:v>
      </x:c>
      <x:c r="F52" s="5" t="str">
        <x:v>SEK</x:v>
      </x:c>
      <x:c r="G52" s="5" t="str">
        <x:v>FY2023/24</x:v>
      </x:c>
      <x:c r="H52" s="5" t="str">
        <x:v>Listed (Nasdaq First North: QLUC); Omics data visualization software &amp; Qlucore Diagnostics clinical platform</x:v>
      </x:c>
    </x:row>
    <x:row r="53" ht="39" customHeight="1">
      <x:c r="A53" s="5" t="str">
        <x:v>Red Glead Discovery</x:v>
      </x:c>
      <x:c r="B53" s="5" t="str">
        <x:v>Lund, Sweden</x:v>
      </x:c>
      <x:c r="C53" s="5" t="str">
        <x:v>Drug Discovery Services</x:v>
      </x:c>
      <x:c r="D53" s="5" t="str">
        <x:v>SEK 48.0M</x:v>
      </x:c>
      <x:c r="E53" s="5" t="str">
        <x:v>SEK 6.8M</x:v>
      </x:c>
      <x:c r="F53" s="5" t="str">
        <x:v>SEK</x:v>
      </x:c>
      <x:c r="G53" s="5" t="str">
        <x:v>FY2023/24</x:v>
      </x:c>
      <x:c r="H53" s="5" t="str">
        <x:v>Acquired by Pelago Bioscience in June 2026; Lund-based preclinical medicinal chemistry &amp; peptide CRO</x:v>
      </x:c>
    </x:row>
    <x:row r="54" ht="39" customHeight="1">
      <x:c r="A54" s="5" t="str">
        <x:v>Redoxis</x:v>
      </x:c>
      <x:c r="B54" s="5" t="str">
        <x:v>Lund, Sweden</x:v>
      </x:c>
      <x:c r="C54" s="5" t="str">
        <x:v>Drug development CRO</x:v>
      </x:c>
      <x:c r="D54" s="5" t="str">
        <x:v>SEK 18.5M</x:v>
      </x:c>
      <x:c r="E54" s="5" t="str">
        <x:v>SEK 3.8M</x:v>
      </x:c>
      <x:c r="F54" s="5" t="str">
        <x:v>SEK</x:v>
      </x:c>
      <x:c r="G54" s="5" t="str">
        <x:v>FY2023</x:v>
      </x:c>
      <x:c r="H54" s="5" t="str">
        <x:v>Private preclinical CRO specialized in in vivo inflammatory and autoimmune disease models (Medicon Village Lund)</x:v>
      </x:c>
    </x:row>
    <x:row r="55" ht="39" customHeight="1">
      <x:c r="A55" s="5" t="str">
        <x:v>SARomics Biostructures</x:v>
      </x:c>
      <x:c r="B55" s="5" t="str">
        <x:v>Lund, Sweden</x:v>
      </x:c>
      <x:c r="C55" s="5" t="str">
        <x:v>Structure-Based drug discovery services</x:v>
      </x:c>
      <x:c r="D55" s="5" t="str">
        <x:v>SEK 21.8M</x:v>
      </x:c>
      <x:c r="E55" s="5" t="str">
        <x:v>SEK 4.8M</x:v>
      </x:c>
      <x:c r="F55" s="5" t="str">
        <x:v>SEK</x:v>
      </x:c>
      <x:c r="G55" s="5" t="str">
        <x:v>FY2023</x:v>
      </x:c>
      <x:c r="H55" s="5" t="str">
        <x:v>Private structural biology and X-ray crystallography / cryo-EM CRO services (Lund, Sweden)</x:v>
      </x:c>
    </x:row>
    <x:row r="56" ht="39" customHeight="1">
      <x:c r="A56" s="5" t="str">
        <x:v>SenzaGen</x:v>
      </x:c>
      <x:c r="B56" s="5" t="str">
        <x:v>Lund, Sweden</x:v>
      </x:c>
      <x:c r="C56" s="5" t="str">
        <x:v>Genomic Assays</x:v>
      </x:c>
      <x:c r="D56" s="5" t="str">
        <x:v>SEK 57.7M (SEK 49.9M in FY2023)</x:v>
      </x:c>
      <x:c r="E56" s="5" t="str">
        <x:v>SEK 14.8M</x:v>
      </x:c>
      <x:c r="F56" s="5" t="str">
        <x:v>SEK</x:v>
      </x:c>
      <x:c r="G56" s="5" t="str">
        <x:v>FY2024</x:v>
      </x:c>
      <x:c r="H56" s="5" t="str">
        <x:v>Listed (Nasdaq First North: SENZA); GARD non-animal in vitro toxicological gene expression test assays</x:v>
      </x:c>
    </x:row>
    <x:row r="57" ht="39" customHeight="1">
      <x:c r="A57" s="5" t="str">
        <x:v>Spago Nanomedical</x:v>
      </x:c>
      <x:c r="B57" s="5" t="str">
        <x:v>Lund, Sweden</x:v>
      </x:c>
      <x:c r="C57" s="5" t="str">
        <x:v>Tumor selective MRI agent; radionuclide cancer treatment</x:v>
      </x:c>
      <x:c r="D57" s="5" t="str">
        <x:v>SEK 1.91M</x:v>
      </x:c>
      <x:c r="E57" s="5" t="str">
        <x:v>SEK 36.5M</x:v>
      </x:c>
      <x:c r="F57" s="5" t="str">
        <x:v>SEK</x:v>
      </x:c>
      <x:c r="G57" s="5" t="str">
        <x:v>FY2024</x:v>
      </x:c>
      <x:c r="H57" s="5" t="str">
        <x:v>Listed (Spotlight: SPAG); tumor-selective polymer nanoparticles (SpagoPix MRI &amp; Tumorad radionuclide)</x:v>
      </x:c>
    </x:row>
    <x:row r="58" ht="39" customHeight="1">
      <x:c r="A58" s="5" t="str">
        <x:v>TFS</x:v>
      </x:c>
      <x:c r="B58" s="5" t="str">
        <x:v>Lund, Sweden</x:v>
      </x:c>
      <x:c r="C58" s="5" t="str">
        <x:v>Clinical Research</x:v>
      </x:c>
      <x:c r="D58" s="5" t="str">
        <x:v>SEK 1,220.0M (Ratos sales)</x:v>
      </x:c>
      <x:c r="E58" s="5" t="str">
        <x:v>SEK 42.0M</x:v>
      </x:c>
      <x:c r="F58" s="5" t="str">
        <x:v>SEK</x:v>
      </x:c>
      <x:c r="G58" s="5" t="str">
        <x:v>FY2023</x:v>
      </x:c>
      <x:c r="H58" s="5" t="str">
        <x:v>TFS HealthScience; subsidiary of Ratos AB (Nasdaq Stockholm: RATO B); leading international mid-sized CRO</x:v>
      </x:c>
    </x:row>
    <x:row r="59" ht="39" customHeight="1">
      <x:c r="A59" s="5" t="str">
        <x:v>Xintela</x:v>
      </x:c>
      <x:c r="B59" s="5" t="str">
        <x:v>Lund, Sweden</x:v>
      </x:c>
      <x:c r="C59" s="5" t="str">
        <x:v>Diagnostics, Stem Cells</x:v>
      </x:c>
      <x:c r="D59" s="5" t="str">
        <x:v>SEK 3.8M</x:v>
      </x:c>
      <x:c r="E59" s="5" t="str">
        <x:v>SEK 31.4M</x:v>
      </x:c>
      <x:c r="F59" s="5" t="str">
        <x:v>SEK</x:v>
      </x:c>
      <x:c r="G59" s="5" t="str">
        <x:v>FY2024</x:v>
      </x:c>
      <x:c r="H59" s="5" t="str">
        <x:v>Listed (Nasdaq First North: XINT); integrin-targeted stem cell therapies (XSTEM) and antibody oncology (Targinta)</x:v>
      </x:c>
    </x:row>
    <x:row r="60" ht="32" customHeight="1">
      <x:c r="A60" s="5" t="str">
        <x:v>Acarix</x:v>
      </x:c>
      <x:c r="B60" s="5" t="str">
        <x:v>Malmö, Sweden</x:v>
      </x:c>
      <x:c r="C60" s="5" t="str">
        <x:v>Acoustic Cardiac Diagnostic Device</x:v>
      </x:c>
      <x:c r="D60" s="5" t="str">
        <x:v>SEK 7.5M (Q4 2024 SEK 1.7M)</x:v>
      </x:c>
      <x:c r="E60" s="5" t="str">
        <x:v>SEK 32.4M</x:v>
      </x:c>
      <x:c r="F60" s="5" t="str">
        <x:v>SEK</x:v>
      </x:c>
      <x:c r="G60" s="5" t="str">
        <x:v>FY2024</x:v>
      </x:c>
      <x:c r="H60" s="5" t="str">
        <x:v>Listed (Nasdaq First North: ACARIX); CADScor acoustic cardiac diagnostic system</x:v>
      </x:c>
    </x:row>
    <x:row r="61" ht="32" customHeight="1">
      <x:c r="A61" s="5" t="str">
        <x:v>Ascelia Pharma</x:v>
      </x:c>
      <x:c r="B61" s="5" t="str">
        <x:v>Malmö, Sweden</x:v>
      </x:c>
      <x:c r="C61" s="5" t="str">
        <x:v>MRI Imaging Drug</x:v>
      </x:c>
      <x:c r="D61" s="5" t="str">
        <x:v>SEK 0M (Clinical stage)</x:v>
      </x:c>
      <x:c r="E61" s="5" t="str">
        <x:v>SEK 74.2M</x:v>
      </x:c>
      <x:c r="F61" s="5" t="str">
        <x:v>SEK</x:v>
      </x:c>
      <x:c r="G61" s="5" t="str">
        <x:v>FY2023/24</x:v>
      </x:c>
      <x:c r="H61" s="5" t="str">
        <x:v>Listed (Nasdaq Stockholm: ACE); liver MRI imaging agent Orviglance (SPARKLE study)</x:v>
      </x:c>
    </x:row>
    <x:row r="62" ht="39" customHeight="1">
      <x:c r="A62" s="5" t="str">
        <x:v>Flow Neuroscience</x:v>
      </x:c>
      <x:c r="B62" s="5" t="str">
        <x:v>Malmö, Sweden</x:v>
      </x:c>
      <x:c r="C62" s="5" t="str">
        <x:v>At-home, non-invasive brain stimulation headset</x:v>
      </x:c>
      <x:c r="D62" s="5" t="str">
        <x:v>EUR 2.2M est. (~SEK 25M)</x:v>
      </x:c>
      <x:c r="E62" s="5" t="str">
        <x:v>EUR 5.8M (~SEK 65M)</x:v>
      </x:c>
      <x:c r="F62" s="5" t="str">
        <x:v>EUR</x:v>
      </x:c>
      <x:c r="G62" s="5" t="str">
        <x:v>FY2023/24</x:v>
      </x:c>
      <x:c r="H62" s="5" t="str">
        <x:v>Private brain stimulation headset (tDCS) for major depressive disorder; raised €7.9M Series A</x:v>
      </x:c>
    </x:row>
    <x:row r="63" ht="39" customHeight="1">
      <x:c r="A63" s="5" t="str">
        <x:v>Laboratorio Reig Jofre</x:v>
      </x:c>
      <x:c r="B63" s="5" t="str">
        <x:v>Malmö, Sweden</x:v>
      </x:c>
      <x:c r="C63" s="5" t="str">
        <x:v>Pharma manufacturing (antibiotics/injectable</x:v>
      </x:c>
      <x:c r="D63" s="5" t="str">
        <x:v>EUR 339.0M (~SEK 3.85B)</x:v>
      </x:c>
      <x:c r="E63" s="5" t="str">
        <x:v>EUR 17.0M (~5% of revenue)</x:v>
      </x:c>
      <x:c r="F63" s="5" t="str">
        <x:v>EUR</x:v>
      </x:c>
      <x:c r="G63" s="5" t="str">
        <x:v>FY2024</x:v>
      </x:c>
      <x:c r="H63" s="5" t="str">
        <x:v>Listed (BME: RJF); European pharmaceutical group; Malmö specialized aseptic antibiotic facility</x:v>
      </x:c>
    </x:row>
    <x:row r="64" ht="32" customHeight="1">
      <x:c r="A64" s="5" t="str">
        <x:v>Magle Chemoswed</x:v>
      </x:c>
      <x:c r="B64" s="5" t="str">
        <x:v>Malmö, Sweden</x:v>
      </x:c>
      <x:c r="C64" s="5" t="str">
        <x:v>CDMO</x:v>
      </x:c>
      <x:c r="D64" s="5" t="str">
        <x:v>SEK 21.0M (Chemoswed operating unit)</x:v>
      </x:c>
      <x:c r="E64" s="5" t="str">
        <x:v>SEK 12.0M</x:v>
      </x:c>
      <x:c r="F64" s="5" t="str">
        <x:v>SEK</x:v>
      </x:c>
      <x:c r="G64" s="5" t="str">
        <x:v>FY2024</x:v>
      </x:c>
      <x:c r="H64" s="5" t="str">
        <x:v>Operating subsidiary of Magle Group (Malmö API synthesis and chemical development)</x:v>
      </x:c>
    </x:row>
    <x:row r="65" ht="39" customHeight="1">
      <x:c r="A65" s="5" t="str">
        <x:v>Svar Life Science</x:v>
      </x:c>
      <x:c r="B65" s="5" t="str">
        <x:v>Malmö, Sweden</x:v>
      </x:c>
      <x:c r="C65" s="5" t="str">
        <x:v>Diagnostics</x:v>
      </x:c>
      <x:c r="D65" s="5" t="str">
        <x:v>SEK 235.0M est.</x:v>
      </x:c>
      <x:c r="E65" s="5" t="str">
        <x:v>SEK 28.0M</x:v>
      </x:c>
      <x:c r="F65" s="5" t="str">
        <x:v>SEK</x:v>
      </x:c>
      <x:c r="G65" s="5" t="str">
        <x:v>FY2023/24</x:v>
      </x:c>
      <x:c r="H65" s="5" t="str">
        <x:v>Private Swedish diagnostic tools and biomarker testing company (iLite cell-based functional assays, Wieslab)</x:v>
      </x:c>
    </x:row>
    <x:row r="66" ht="39" customHeight="1">
      <x:c r="A66" s="5" t="str">
        <x:v>Alzinova</x:v>
      </x:c>
      <x:c r="B66" s="5" t="str">
        <x:v>Mölndal, Sweden</x:v>
      </x:c>
      <x:c r="C66" s="5" t="str">
        <x:v>Alzheimer's Vaccine, Monoclonal Antibody Technology</x:v>
      </x:c>
      <x:c r="D66" s="5" t="str">
        <x:v>SEK 0.3M</x:v>
      </x:c>
      <x:c r="E66" s="5" t="str">
        <x:v>SEK 36.4M (incl. SEK 19.6M capitalized)</x:v>
      </x:c>
      <x:c r="F66" s="5" t="str">
        <x:v>SEK</x:v>
      </x:c>
      <x:c r="G66" s="5" t="str">
        <x:v>FY2023</x:v>
      </x:c>
      <x:c r="H66" s="5" t="str">
        <x:v>Listed (Nasdaq First North: ALZ); oligomer-targeting Alzheimer's vaccine (ALZ-101)</x:v>
      </x:c>
    </x:row>
    <x:row r="67" ht="39" customHeight="1">
      <x:c r="A67" s="5" t="str">
        <x:v>Amferia Kills Bacteria</x:v>
      </x:c>
      <x:c r="B67" s="5" t="str">
        <x:v>Mölndal, Sweden</x:v>
      </x:c>
      <x:c r="C67" s="5" t="str">
        <x:v>Wound Care Antimicrobial</x:v>
      </x:c>
      <x:c r="D67" s="5" t="str">
        <x:v>SEK 3.5M est.</x:v>
      </x:c>
      <x:c r="E67" s="5" t="str">
        <x:v>SEK 15.0M</x:v>
      </x:c>
      <x:c r="F67" s="5" t="str">
        <x:v>SEK</x:v>
      </x:c>
      <x:c r="G67" s="5" t="str">
        <x:v>FY2023/24</x:v>
      </x:c>
      <x:c r="H67" s="5" t="str">
        <x:v>Amferia AB; private Chalmers spin-out; antimicrobial peptide wound care hydrogels (raised €3.5M Dec 2025)</x:v>
      </x:c>
    </x:row>
    <x:row r="68" ht="39" customHeight="1">
      <x:c r="A68" s="5" t="str">
        <x:v>Cereno Scientific</x:v>
      </x:c>
      <x:c r="B68" s="5" t="str">
        <x:v>Mölndal, Sweden</x:v>
      </x:c>
      <x:c r="C68" s="5" t="str">
        <x:v>Small Molecule</x:v>
      </x:c>
      <x:c r="D68" s="5" t="str">
        <x:v>SEK 0M (Clinical stage)</x:v>
      </x:c>
      <x:c r="E68" s="5" t="str">
        <x:v>SEK 78.4M</x:v>
      </x:c>
      <x:c r="F68" s="5" t="str">
        <x:v>SEK</x:v>
      </x:c>
      <x:c r="G68" s="5" t="str">
        <x:v>FY2024</x:v>
      </x:c>
      <x:c r="H68" s="5" t="str">
        <x:v>Listed (Nasdaq First North: CRNO B); epigenetic modulation for pulmonary arterial hypertension (CS1)</x:v>
      </x:c>
    </x:row>
    <x:row r="69" ht="39" customHeight="1">
      <x:c r="A69" s="5" t="str">
        <x:v>Fluicell</x:v>
      </x:c>
      <x:c r="B69" s="5" t="str">
        <x:v>Mölndal, Sweden</x:v>
      </x:c>
      <x:c r="C69" s="5" t="str">
        <x:v>Tissue Production Platform</x:v>
      </x:c>
      <x:c r="D69" s="5" t="str">
        <x:v>SEK 4.8M</x:v>
      </x:c>
      <x:c r="E69" s="5" t="str">
        <x:v>SEK 15.6M</x:v>
      </x:c>
      <x:c r="F69" s="5" t="str">
        <x:v>SEK</x:v>
      </x:c>
      <x:c r="G69" s="5" t="str">
        <x:v>FY2023/24</x:v>
      </x:c>
      <x:c r="H69" s="5" t="str">
        <x:v>Listed (Nasdaq First North: FLUI); Biopixlar single-cell bioprinting &amp; Nexocyte tissue therapeutics</x:v>
      </x:c>
    </x:row>
    <x:row r="70" ht="39" customHeight="1">
      <x:c r="A70" s="5" t="str">
        <x:v>Ribocure Pharmaceuticals</x:v>
      </x:c>
      <x:c r="B70" s="5" t="str">
        <x:v>Mölndal, Sweden</x:v>
      </x:c>
      <x:c r="C70" s="5" t="str">
        <x:v>RNA Therapeutics</x:v>
      </x:c>
      <x:c r="D70" s="5" t="str">
        <x:v>USD 0M (Clinical stage)</x:v>
      </x:c>
      <x:c r="E70" s="5" t="str">
        <x:v>USD 8.5M (~SEK 88M)</x:v>
      </x:c>
      <x:c r="F70" s="5" t="str">
        <x:v>USD</x:v>
      </x:c>
      <x:c r="G70" s="5" t="str">
        <x:v>FY2024</x:v>
      </x:c>
      <x:c r="H70" s="5" t="str">
        <x:v>Private RNA therapeutics platform in cardiovascular and renal diseases; secured $33M equity in July 2025</x:v>
      </x:c>
    </x:row>
    <x:row r="71" ht="39" customHeight="1">
      <x:c r="A71" s="5" t="str">
        <x:v>XVIVO</x:v>
      </x:c>
      <x:c r="B71" s="5" t="str">
        <x:v>Mölndal, Sweden</x:v>
      </x:c>
      <x:c r="C71" s="5" t="str">
        <x:v>Transplantation Systems</x:v>
      </x:c>
      <x:c r="D71" s="5" t="str">
        <x:v>SEK 822.4M (SEK 604.9M in FY2023)</x:v>
      </x:c>
      <x:c r="E71" s="5" t="str">
        <x:v>SEK 114.5M</x:v>
      </x:c>
      <x:c r="F71" s="5" t="str">
        <x:v>SEK</x:v>
      </x:c>
      <x:c r="G71" s="5" t="str">
        <x:v>FY2024</x:v>
      </x:c>
      <x:c r="H71" s="5" t="str">
        <x:v>XVIVO Perfusion; listed (Nasdaq Stockholm: XVIVO); global leader in machine perfusion for organ transplantation</x:v>
      </x:c>
    </x:row>
    <x:row r="72" ht="52" customHeight="1">
      <x:c r="A72" s="5" t="str">
        <x:v>ImmunoIVD</x:v>
      </x:c>
      <x:c r="B72" s="5" t="str">
        <x:v>Nacka Strand, Sweden</x:v>
      </x:c>
      <x:c r="C72" s="5" t="str">
        <x:v>In vitro diagnostic qPCR-based newborn screening kits with pre-filled reagent plates</x:v>
      </x:c>
      <x:c r="D72" s="5" t="str">
        <x:v>SEK 16.5M</x:v>
      </x:c>
      <x:c r="E72" s="5" t="str">
        <x:v>SEK 5.2M</x:v>
      </x:c>
      <x:c r="F72" s="5" t="str">
        <x:v>SEK</x:v>
      </x:c>
      <x:c r="G72" s="5" t="str">
        <x:v>FY2023/24</x:v>
      </x:c>
      <x:c r="H72" s="5" t="str">
        <x:v>Private; SPOT-it neonatal qPCR screening assays for severe combined immunodeficiency (SCID) and SMA</x:v>
      </x:c>
    </x:row>
    <x:row r="73" ht="39" customHeight="1">
      <x:c r="A73" s="5" t="str">
        <x:v>Anocca</x:v>
      </x:c>
      <x:c r="B73" s="5" t="str">
        <x:v>Södertälje, Sweden</x:v>
      </x:c>
      <x:c r="C73" s="5" t="str">
        <x:v>Individualized tcr and antigen cancer treatment</x:v>
      </x:c>
      <x:c r="D73" s="5" t="str">
        <x:v>SEK 0M (Clinical stage)</x:v>
      </x:c>
      <x:c r="E73" s="5" t="str">
        <x:v>SEK 195.0M est.</x:v>
      </x:c>
      <x:c r="F73" s="5" t="str">
        <x:v>SEK</x:v>
      </x:c>
      <x:c r="G73" s="5" t="str">
        <x:v>FY2023/24</x:v>
      </x:c>
      <x:c r="H73" s="5" t="str">
        <x:v>Private; TCR immunotherapy against cancer; raised SEK 440M in Aug 2025 and SEK 400M in 2023</x:v>
      </x:c>
    </x:row>
    <x:row r="74" ht="39" customHeight="1">
      <x:c r="A74" s="5" t="str">
        <x:v>AstraZeneca</x:v>
      </x:c>
      <x:c r="B74" s="5" t="str">
        <x:v>Södertälje, Sweden</x:v>
      </x:c>
      <x:c r="C74" s="5" t="str">
        <x:v>Small Molecules, Vaccines, Biologics</x:v>
      </x:c>
      <x:c r="D74" s="5" t="str">
        <x:v>USD 54,100.0M ($54.1B)</x:v>
      </x:c>
      <x:c r="E74" s="5" t="str">
        <x:v>USD 13,600.0M ($13.6B)</x:v>
      </x:c>
      <x:c r="F74" s="5" t="str">
        <x:v>USD</x:v>
      </x:c>
      <x:c r="G74" s="5" t="str">
        <x:v>FY2024</x:v>
      </x:c>
      <x:c r="H74" s="5" t="str">
        <x:v>Listed (AZN); global multinational flagship; major global R&amp;D hub in Gothenburg &amp; manufacturing in Södertälje</x:v>
      </x:c>
    </x:row>
    <x:row r="75" ht="39" customHeight="1">
      <x:c r="A75" s="5" t="str">
        <x:v>Nanologica</x:v>
      </x:c>
      <x:c r="B75" s="5" t="str">
        <x:v>Södertälje, Sweden</x:v>
      </x:c>
      <x:c r="C75" s="5" t="str">
        <x:v>Nanoporous Silica</x:v>
      </x:c>
      <x:c r="D75" s="5" t="str">
        <x:v>SEK 14.54M (SEK 1.44M in FY2023)</x:v>
      </x:c>
      <x:c r="E75" s="5" t="str">
        <x:v>SEK 28.2M</x:v>
      </x:c>
      <x:c r="F75" s="5" t="str">
        <x:v>SEK</x:v>
      </x:c>
      <x:c r="G75" s="5" t="str">
        <x:v>FY2024</x:v>
      </x:c>
      <x:c r="H75" s="5" t="str">
        <x:v>Listed (Nasdaq Stockholm: NICA); nanoporous silica NLAB Saga for preparative chromatography of insulin</x:v>
      </x:c>
    </x:row>
    <x:row r="76" ht="39" customHeight="1">
      <x:c r="A76" s="5" t="str">
        <x:v>AAX Biotech</x:v>
      </x:c>
      <x:c r="B76" s="5" t="str">
        <x:v>Solna, Sweden</x:v>
      </x:c>
      <x:c r="C76" s="5" t="str">
        <x:v>Next-gen Antibody Therapeutics</x:v>
      </x:c>
      <x:c r="D76" s="5" t="str">
        <x:v>SEK 0M (Pre-revenue)</x:v>
      </x:c>
      <x:c r="E76" s="5" t="str">
        <x:v>SEK 10.5M</x:v>
      </x:c>
      <x:c r="F76" s="5" t="str">
        <x:v>SEK</x:v>
      </x:c>
      <x:c r="G76" s="5" t="str">
        <x:v>FY2023/24</x:v>
      </x:c>
      <x:c r="H76" s="5" t="str">
        <x:v>Private, spin-out from KTH/Karolinska; developing Seqitope &amp; Opti-mAb antibody technologies; partnered with Daiichi Sankyo</x:v>
      </x:c>
    </x:row>
    <x:row r="77" ht="39" customHeight="1">
      <x:c r="A77" s="5" t="str">
        <x:v>Aplex Bio</x:v>
      </x:c>
      <x:c r="B77" s="5" t="str">
        <x:v>Solna, Sweden</x:v>
      </x:c>
      <x:c r="C77" s="5" t="str">
        <x:v>Next-gen PCR-Hyperplexed PCR</x:v>
      </x:c>
      <x:c r="D77" s="5" t="str">
        <x:v>SEK 1.8M est.</x:v>
      </x:c>
      <x:c r="E77" s="5" t="str">
        <x:v>SEK 12.0M</x:v>
      </x:c>
      <x:c r="F77" s="5" t="str">
        <x:v>SEK</x:v>
      </x:c>
      <x:c r="G77" s="5" t="str">
        <x:v>FY2023/24</x:v>
      </x:c>
      <x:c r="H77" s="5" t="str">
        <x:v>Private molecular diagnostics startup; hyperplexed PCR detection platform; raised $1.5M seed</x:v>
      </x:c>
    </x:row>
    <x:row r="78" ht="32" customHeight="1">
      <x:c r="A78" s="5" t="str">
        <x:v>Elypta</x:v>
      </x:c>
      <x:c r="B78" s="5" t="str">
        <x:v>Solna, Sweden</x:v>
      </x:c>
      <x:c r="C78" s="5" t="str">
        <x:v>Liquid Biopsy</x:v>
      </x:c>
      <x:c r="D78" s="5" t="str">
        <x:v>SEK 3.5M est.</x:v>
      </x:c>
      <x:c r="E78" s="5" t="str">
        <x:v>SEK 72.0M</x:v>
      </x:c>
      <x:c r="F78" s="5" t="str">
        <x:v>SEK</x:v>
      </x:c>
      <x:c r="G78" s="5" t="str">
        <x:v>FY2023/24</x:v>
      </x:c>
      <x:c r="H78" s="5" t="str">
        <x:v>Private metabolism-based liquid biopsy for early cancer detection; raised $21M Series A</x:v>
      </x:c>
    </x:row>
    <x:row r="79" ht="32" customHeight="1">
      <x:c r="A79" s="5" t="str">
        <x:v>FenoMark Diagnostics</x:v>
      </x:c>
      <x:c r="B79" s="5" t="str">
        <x:v>Solna, Sweden</x:v>
      </x:c>
      <x:c r="C79" s="5" t="str">
        <x:v>Diagnostics</x:v>
      </x:c>
      <x:c r="D79" s="5" t="str">
        <x:v>SEK 0M (Early stage)</x:v>
      </x:c>
      <x:c r="E79" s="5" t="str">
        <x:v>SEK 2.8M</x:v>
      </x:c>
      <x:c r="F79" s="5" t="str">
        <x:v>SEK</x:v>
      </x:c>
      <x:c r="G79" s="5" t="str">
        <x:v>FY2023</x:v>
      </x:c>
      <x:c r="H79" s="5" t="str">
        <x:v>Private early-stage molecular diagnostics and proteomics biomarkers for precision oncology</x:v>
      </x:c>
    </x:row>
    <x:row r="80" ht="39" customHeight="1">
      <x:c r="A80" s="5" t="str">
        <x:v>Getinge</x:v>
      </x:c>
      <x:c r="B80" s="5" t="str">
        <x:v>Solna, Sweden</x:v>
      </x:c>
      <x:c r="C80" s="5" t="str">
        <x:v>Medical Technology</x:v>
      </x:c>
      <x:c r="D80" s="5" t="str">
        <x:v>SEK 34,759.0M (SEK 34.76B)</x:v>
      </x:c>
      <x:c r="E80" s="5" t="str">
        <x:v>SEK 1,745.0M (~5.0% of sales)</x:v>
      </x:c>
      <x:c r="F80" s="5" t="str">
        <x:v>SEK</x:v>
      </x:c>
      <x:c r="G80" s="5" t="str">
        <x:v>FY2024</x:v>
      </x:c>
      <x:c r="H80" s="5" t="str">
        <x:v>Listed (Nasdaq Stockholm: GETI B); global leader in intensive care equipment, ventilators, surgical tables</x:v>
      </x:c>
    </x:row>
    <x:row r="81" ht="39" customHeight="1">
      <x:c r="A81" s="5" t="str">
        <x:v>mEDICORENT</x:v>
      </x:c>
      <x:c r="B81" s="5" t="str">
        <x:v>Solna, Sweden</x:v>
      </x:c>
      <x:c r="C81" s="5" t="str">
        <x:v>Clinical Outsourcing &amp; Recruitment</x:v>
      </x:c>
      <x:c r="D81" s="5" t="str">
        <x:v>SEK 22.5M</x:v>
      </x:c>
      <x:c r="E81" s="5" t="str">
        <x:v>SEK 1.2M</x:v>
      </x:c>
      <x:c r="F81" s="5" t="str">
        <x:v>SEK</x:v>
      </x:c>
      <x:c r="G81" s="5" t="str">
        <x:v>FY2023</x:v>
      </x:c>
      <x:c r="H81" s="5" t="str">
        <x:v>Private clinical trial recruitment, staffing, and monitoring outsourcing agency based in Solna</x:v>
      </x:c>
    </x:row>
    <x:row r="82" ht="32" customHeight="1">
      <x:c r="A82" s="5" t="str">
        <x:v>Meribel Pharma Group</x:v>
      </x:c>
      <x:c r="B82" s="5" t="str">
        <x:v>Solna, Sweden</x:v>
      </x:c>
      <x:c r="C82" s="5" t="str">
        <x:v>Contract Manufacturing</x:v>
      </x:c>
      <x:c r="D82" s="5" t="str">
        <x:v>SEK 55.0M est.</x:v>
      </x:c>
      <x:c r="E82" s="5" t="str">
        <x:v>SEK 5.5M</x:v>
      </x:c>
      <x:c r="F82" s="5" t="str">
        <x:v>SEK</x:v>
      </x:c>
      <x:c r="G82" s="5" t="str">
        <x:v>FY2023</x:v>
      </x:c>
      <x:c r="H82" s="5" t="str">
        <x:v>Private pharmaceutical manufacturing and packaging group (Höganäs, Karlskoga, Solna sites)</x:v>
      </x:c>
    </x:row>
    <x:row r="83" ht="39" customHeight="1">
      <x:c r="A83" s="5" t="str">
        <x:v>Moleculent</x:v>
      </x:c>
      <x:c r="B83" s="5" t="str">
        <x:v>Solna, Sweden</x:v>
      </x:c>
      <x:c r="C83" s="5" t="str">
        <x:v>Functional biology platform detecting cell-cell interactions</x:v>
      </x:c>
      <x:c r="D83" s="5" t="str">
        <x:v>USD 0M (Pre-commercial)</x:v>
      </x:c>
      <x:c r="E83" s="5" t="str">
        <x:v>USD 5.5M (~SEK 58M)</x:v>
      </x:c>
      <x:c r="F83" s="5" t="str">
        <x:v>USD</x:v>
      </x:c>
      <x:c r="G83" s="5" t="str">
        <x:v>FY2024</x:v>
      </x:c>
      <x:c r="H83" s="5" t="str">
        <x:v>Private spatial functional profiling; raised $26M Series A (June 2024) + $20M (April 2026)</x:v>
      </x:c>
    </x:row>
    <x:row r="84" ht="39" customHeight="1">
      <x:c r="A84" s="5" t="str">
        <x:v>Pelago Bioscience</x:v>
      </x:c>
      <x:c r="B84" s="5" t="str">
        <x:v>Solna, Sweden</x:v>
      </x:c>
      <x:c r="C84" s="5" t="str">
        <x:v>Assay Services</x:v>
      </x:c>
      <x:c r="D84" s="5" t="str">
        <x:v>SEK 75.0M est.</x:v>
      </x:c>
      <x:c r="E84" s="5" t="str">
        <x:v>SEK 16.0M</x:v>
      </x:c>
      <x:c r="F84" s="5" t="str">
        <x:v>SEK</x:v>
      </x:c>
      <x:c r="G84" s="5" t="str">
        <x:v>FY2023/24</x:v>
      </x:c>
      <x:c r="H84" s="5" t="str">
        <x:v>Private target engagement CRO; inventors of CETSA technology; acquired Red Glead Discovery in 2026</x:v>
      </x:c>
    </x:row>
    <x:row r="85" ht="39" customHeight="1">
      <x:c r="A85" s="5" t="str">
        <x:v>Scandinavian Biopharma Holding</x:v>
      </x:c>
      <x:c r="B85" s="5" t="str">
        <x:v>Solna, Sweden</x:v>
      </x:c>
      <x:c r="C85" s="5" t="str">
        <x:v>Various vaccines</x:v>
      </x:c>
      <x:c r="D85" s="5" t="str">
        <x:v>SEK 154.0M</x:v>
      </x:c>
      <x:c r="E85" s="5" t="str">
        <x:v>SEK 75.0M (incl. EDCTP grants)</x:v>
      </x:c>
      <x:c r="F85" s="5" t="str">
        <x:v>SEK</x:v>
      </x:c>
      <x:c r="G85" s="5" t="str">
        <x:v>FY2023</x:v>
      </x:c>
      <x:c r="H85" s="5" t="str">
        <x:v>Private biopharma; ETVAX oral vaccine against ETEC bacterial diarrhea in phase 3 readiness</x:v>
      </x:c>
    </x:row>
    <x:row r="86" ht="39" customHeight="1">
      <x:c r="A86" s="5" t="str">
        <x:v>StromaBio</x:v>
      </x:c>
      <x:c r="B86" s="5" t="str">
        <x:v>Solna, Sweden</x:v>
      </x:c>
      <x:c r="C86" s="5" t="str">
        <x:v>Mesenchymal Stromal Cell based cell therapies</x:v>
      </x:c>
      <x:c r="D86" s="5" t="str">
        <x:v>SEK 0M (Early stage)</x:v>
      </x:c>
      <x:c r="E86" s="5" t="str">
        <x:v>SEK 5.5M</x:v>
      </x:c>
      <x:c r="F86" s="5" t="str">
        <x:v>SEK</x:v>
      </x:c>
      <x:c r="G86" s="5" t="str">
        <x:v>FY2023/24</x:v>
      </x:c>
      <x:c r="H86" s="5" t="str">
        <x:v>Private mesenchymal stromal cell (MSC) therapy for acute inflammatory diseases; Karolinska spin-out</x:v>
      </x:c>
    </x:row>
    <x:row r="87" ht="39" customHeight="1">
      <x:c r="A87" s="5" t="str">
        <x:v>Xbrane Biopharma</x:v>
      </x:c>
      <x:c r="B87" s="5" t="str">
        <x:v>Solna, Sweden</x:v>
      </x:c>
      <x:c r="C87" s="5" t="str">
        <x:v>Protein &amp; Vaccine Production Technology</x:v>
      </x:c>
      <x:c r="D87" s="5" t="str">
        <x:v>SEK 238.7M (SEK 210M in FY2024)</x:v>
      </x:c>
      <x:c r="E87" s="5" t="str">
        <x:v>SEK 305.8M</x:v>
      </x:c>
      <x:c r="F87" s="5" t="str">
        <x:v>SEK</x:v>
      </x:c>
      <x:c r="G87" s="5" t="str">
        <x:v>FY2023</x:v>
      </x:c>
      <x:c r="H87" s="5" t="str">
        <x:v>Listed (Nasdaq Stockholm: XBRANE); biosimilars developer (Ximluci ranibizumab, biosimilar certolizumab)</x:v>
      </x:c>
    </x:row>
    <x:row r="88" ht="52" customHeight="1">
      <x:c r="A88" s="5" t="str">
        <x:v>Arex Advisor</x:v>
      </x:c>
      <x:c r="B88" s="5" t="str">
        <x:v>Stockholm, Sweden</x:v>
      </x:c>
      <x:c r="C88" s="5" t="str">
        <x:v>Regulatory Affairs, CMC, Quality Assurance, Pharmacovigilance and Market Access in Nordics and EU</x:v>
      </x:c>
      <x:c r="D88" s="5" t="str">
        <x:v>SEK 38.6M</x:v>
      </x:c>
      <x:c r="E88" s="5" t="str">
        <x:v>SEK 1.5M est. (Internal)</x:v>
      </x:c>
      <x:c r="F88" s="5" t="str">
        <x:v>SEK</x:v>
      </x:c>
      <x:c r="G88" s="5" t="str">
        <x:v>FY2023</x:v>
      </x:c>
      <x:c r="H88" s="5" t="str">
        <x:v>Private pharmaceutical regulatory affairs, QA &amp; pharmacovigilance consultancy</x:v>
      </x:c>
    </x:row>
    <x:row r="89" ht="39" customHeight="1">
      <x:c r="A89" s="5" t="str">
        <x:v>Avia Pharma</x:v>
      </x:c>
      <x:c r="B89" s="5" t="str">
        <x:v>Stockholm, Sweden</x:v>
      </x:c>
      <x:c r="C89" s="5" t="str">
        <x:v>In-licensing, Acquisitions</x:v>
      </x:c>
      <x:c r="D89" s="5" t="str">
        <x:v>&gt;SEK 600.0M</x:v>
      </x:c>
      <x:c r="E89" s="5" t="str">
        <x:v>SEK 30.0M est.</x:v>
      </x:c>
      <x:c r="F89" s="5" t="str">
        <x:v>SEK</x:v>
      </x:c>
      <x:c r="G89" s="5" t="str">
        <x:v>FY2023/24</x:v>
      </x:c>
      <x:c r="H89" s="5" t="str">
        <x:v>Private specialty pharma group; backed by Impilo; acquired German dermatology player Neubourg</x:v>
      </x:c>
    </x:row>
    <x:row r="90" ht="39" customHeight="1">
      <x:c r="A90" s="5" t="str">
        <x:v>BioArctic</x:v>
      </x:c>
      <x:c r="B90" s="5" t="str">
        <x:v>Stockholm, Sweden</x:v>
      </x:c>
      <x:c r="C90" s="5" t="str">
        <x:v>CNS treatments</x:v>
      </x:c>
      <x:c r="D90" s="5" t="str">
        <x:v>SEK 228.3M (excl. Eisai royalties)</x:v>
      </x:c>
      <x:c r="E90" s="5" t="str">
        <x:v>SEK 284.1M</x:v>
      </x:c>
      <x:c r="F90" s="5" t="str">
        <x:v>SEK</x:v>
      </x:c>
      <x:c r="G90" s="5" t="str">
        <x:v>FY2023/24</x:v>
      </x:c>
      <x:c r="H90" s="5" t="str">
        <x:v>Listed (Nasdaq Stockholm: BIOA B); originator of Leqembi (lecanemab) for Alzheimer's disease</x:v>
      </x:c>
    </x:row>
    <x:row r="91" ht="39" customHeight="1">
      <x:c r="A91" s="5" t="str">
        <x:v>BioGaia</x:v>
      </x:c>
      <x:c r="B91" s="5" t="str">
        <x:v>Stockholm, Sweden</x:v>
      </x:c>
      <x:c r="C91" s="5" t="str">
        <x:v>Probiotics</x:v>
      </x:c>
      <x:c r="D91" s="5" t="str">
        <x:v>SEK 1,304.0M</x:v>
      </x:c>
      <x:c r="E91" s="5" t="str">
        <x:v>SEK 128.5M (~10% of sales)</x:v>
      </x:c>
      <x:c r="F91" s="5" t="str">
        <x:v>SEK</x:v>
      </x:c>
      <x:c r="G91" s="5" t="str">
        <x:v>FY2023/24</x:v>
      </x:c>
      <x:c r="H91" s="5" t="str">
        <x:v>Listed (Nasdaq Stockholm: BIOG B); global leader in probiotics and microbiome clinical trials</x:v>
      </x:c>
    </x:row>
    <x:row r="92" ht="39" customHeight="1">
      <x:c r="A92" s="5" t="str">
        <x:v>Bluefish Pharmaceuticals</x:v>
      </x:c>
      <x:c r="B92" s="5" t="str">
        <x:v>Stockholm, Sweden</x:v>
      </x:c>
      <x:c r="C92" s="5" t="str">
        <x:v>Generics pharmaceutical company</x:v>
      </x:c>
      <x:c r="D92" s="5" t="str">
        <x:v>SEK 484.8M</x:v>
      </x:c>
      <x:c r="E92" s="5" t="str">
        <x:v>SEK 38.5M</x:v>
      </x:c>
      <x:c r="F92" s="5" t="str">
        <x:v>SEK</x:v>
      </x:c>
      <x:c r="G92" s="5" t="str">
        <x:v>FY2023/24</x:v>
      </x:c>
      <x:c r="H92" s="5" t="str">
        <x:v>Owned by Färna Invest AB; generic pharmaceuticals manufacturer and distributor across Europe</x:v>
      </x:c>
    </x:row>
    <x:row r="93" ht="32" customHeight="1">
      <x:c r="A93" s="5" t="str">
        <x:v>Calliditas Therapeutics</x:v>
      </x:c>
      <x:c r="B93" s="5" t="str">
        <x:v>Stockholm, Sweden</x:v>
      </x:c>
      <x:c r="C93" s="5" t="str">
        <x:v>Small Molecule</x:v>
      </x:c>
      <x:c r="D93" s="5" t="str">
        <x:v>SEK 1,180.3M</x:v>
      </x:c>
      <x:c r="E93" s="5" t="str">
        <x:v>SEK 647.9M</x:v>
      </x:c>
      <x:c r="F93" s="5" t="str">
        <x:v>SEK</x:v>
      </x:c>
      <x:c r="G93" s="5" t="str">
        <x:v>FY2023</x:v>
      </x:c>
      <x:c r="H93" s="5" t="str">
        <x:v>Acquired by Asahi Kasei in 2024 for SEK 11.2B; Tarpeyo / Kinpeygo for IgA nephropathy</x:v>
      </x:c>
    </x:row>
    <x:row r="94" ht="39" customHeight="1">
      <x:c r="A94" s="5" t="str">
        <x:v>Cinclus Pharma</x:v>
      </x:c>
      <x:c r="B94" s="5" t="str">
        <x:v>Stockholm, Sweden</x:v>
      </x:c>
      <x:c r="C94" s="5" t="str">
        <x:v>GERD Treatment</x:v>
      </x:c>
      <x:c r="D94" s="5" t="str">
        <x:v>SEK 5.96M (pre-commercial / interest)</x:v>
      </x:c>
      <x:c r="E94" s="5" t="str">
        <x:v>SEK 162.3M</x:v>
      </x:c>
      <x:c r="F94" s="5" t="str">
        <x:v>SEK</x:v>
      </x:c>
      <x:c r="G94" s="5" t="str">
        <x:v>FY2023/24</x:v>
      </x:c>
      <x:c r="H94" s="5" t="str">
        <x:v>Listed (Nasdaq Stockholm: CINP); Linaprazan glurate P-CAB phase 3 for GERD &amp; erosive esophagitis</x:v>
      </x:c>
    </x:row>
    <x:row r="95" ht="39" customHeight="1">
      <x:c r="A95" s="5" t="str">
        <x:v>CubaseBio</x:v>
      </x:c>
      <x:c r="B95" s="5" t="str">
        <x:v>Stockholm, Sweden</x:v>
      </x:c>
      <x:c r="C95" s="5" t="str">
        <x:v>Spatial Biology</x:v>
      </x:c>
      <x:c r="D95" s="5" t="str">
        <x:v>EUR 0.2M est.</x:v>
      </x:c>
      <x:c r="E95" s="5" t="str">
        <x:v>EUR 2.8M (~SEK 32M)</x:v>
      </x:c>
      <x:c r="F95" s="5" t="str">
        <x:v>EUR</x:v>
      </x:c>
      <x:c r="G95" s="5" t="str">
        <x:v>FY2024</x:v>
      </x:c>
      <x:c r="H95" s="5" t="str">
        <x:v>Private spatial biology platform; raised €3.9M co-led by Nordic Science Investments in Feb 2026</x:v>
      </x:c>
    </x:row>
    <x:row r="96" ht="39" customHeight="1">
      <x:c r="A96" s="5" t="str">
        <x:v>Curovir</x:v>
      </x:c>
      <x:c r="B96" s="5" t="str">
        <x:v>Stockholm, Sweden</x:v>
      </x:c>
      <x:c r="C96" s="5" t="str">
        <x:v>Broad-spectrum antiviral treatments for enterovirus infections</x:v>
      </x:c>
      <x:c r="D96" s="5" t="str">
        <x:v>SEK 0M (Pre-clinical)</x:v>
      </x:c>
      <x:c r="E96" s="5" t="str">
        <x:v>SEK 6.5M</x:v>
      </x:c>
      <x:c r="F96" s="5" t="str">
        <x:v>SEK</x:v>
      </x:c>
      <x:c r="G96" s="5" t="str">
        <x:v>FY2023/24</x:v>
      </x:c>
      <x:c r="H96" s="5" t="str">
        <x:v>Private antiviral development for enterovirus infections; Karolinska spin-out</x:v>
      </x:c>
    </x:row>
    <x:row r="97" ht="32" customHeight="1">
      <x:c r="A97" s="5" t="str">
        <x:v>Egetis Therapeutics</x:v>
      </x:c>
      <x:c r="B97" s="5" t="str">
        <x:v>Stockholm, Sweden</x:v>
      </x:c>
      <x:c r="C97" s="5" t="str">
        <x:v>Specialty Pharmaceuticals</x:v>
      </x:c>
      <x:c r="D97" s="5" t="str">
        <x:v>SEK 46.1M</x:v>
      </x:c>
      <x:c r="E97" s="5" t="str">
        <x:v>SEK 295.4M</x:v>
      </x:c>
      <x:c r="F97" s="5" t="str">
        <x:v>SEK</x:v>
      </x:c>
      <x:c r="G97" s="5" t="str">
        <x:v>FY2024</x:v>
      </x:c>
      <x:c r="H97" s="5" t="str">
        <x:v>Listed (Nasdaq Stockholm: EGTX); rare disease treatments; Emcitate for MCT8 deficiency</x:v>
      </x:c>
    </x:row>
    <x:row r="98" ht="39" customHeight="1">
      <x:c r="A98" s="5" t="str">
        <x:v>Elekta</x:v>
      </x:c>
      <x:c r="B98" s="5" t="str">
        <x:v>Stockholm, Sweden</x:v>
      </x:c>
      <x:c r="C98" s="5" t="str">
        <x:v>Radiation Therapy &amp; Technology</x:v>
      </x:c>
      <x:c r="D98" s="5" t="str">
        <x:v>SEK 19,039.0M (SEK 19.04B)</x:v>
      </x:c>
      <x:c r="E98" s="5" t="str">
        <x:v>SEK 2,130.0M (SEK 2.13B)</x:v>
      </x:c>
      <x:c r="F98" s="5" t="str">
        <x:v>SEK</x:v>
      </x:c>
      <x:c r="G98" s="5" t="str">
        <x:v>FY2023/24</x:v>
      </x:c>
      <x:c r="H98" s="5" t="str">
        <x:v>Listed (Nasdaq Stockholm: EKTA B); radiation therapy systems, Elekta Unity MR-Linac &amp; Leksell Gamma Knife</x:v>
      </x:c>
    </x:row>
    <x:row r="99" ht="32" customHeight="1">
      <x:c r="A99" s="5" t="str">
        <x:v>Hexagon Pharma</x:v>
      </x:c>
      <x:c r="B99" s="5" t="str">
        <x:v>Stockholm, Sweden</x:v>
      </x:c>
      <x:c r="C99" s="5" t="str">
        <x:v>Manufacturing Technology</x:v>
      </x:c>
      <x:c r="D99" s="5" t="str">
        <x:v>SEK 7.5M est.</x:v>
      </x:c>
      <x:c r="E99" s="5" t="str">
        <x:v>SEK 2.5M</x:v>
      </x:c>
      <x:c r="F99" s="5" t="str">
        <x:v>SEK</x:v>
      </x:c>
      <x:c r="G99" s="5" t="str">
        <x:v>FY2023</x:v>
      </x:c>
      <x:c r="H99" s="5" t="str">
        <x:v>Private pharmaceutical manufacturing technology and process engineering</x:v>
      </x:c>
    </x:row>
    <x:row r="100" ht="39" customHeight="1">
      <x:c r="A100" s="5" t="str">
        <x:v>IDL Diagnostics</x:v>
      </x:c>
      <x:c r="B100" s="5" t="str">
        <x:v>Stockholm, Sweden</x:v>
      </x:c>
      <x:c r="C100" s="5" t="str">
        <x:v>Diagnostics</x:v>
      </x:c>
      <x:c r="D100" s="5" t="str">
        <x:v>SEK 35.8M (record sales in 2024/25)</x:v>
      </x:c>
      <x:c r="E100" s="5" t="str">
        <x:v>SEK 14.6M</x:v>
      </x:c>
      <x:c r="F100" s="5" t="str">
        <x:v>SEK</x:v>
      </x:c>
      <x:c r="G100" s="5" t="str">
        <x:v>FY2023/24</x:v>
      </x:c>
      <x:c r="H100" s="5" t="str">
        <x:v>AroCell / IDL Biotech (Nasdaq First North: IDLDX); in vitro diagnostics for bladder cancer and oncology</x:v>
      </x:c>
    </x:row>
    <x:row r="101" ht="39" customHeight="1">
      <x:c r="A101" s="5" t="str">
        <x:v>Infant Bacterial Therapeutics</x:v>
      </x:c>
      <x:c r="B101" s="5" t="str">
        <x:v>Stockholm, Sweden</x:v>
      </x:c>
      <x:c r="C101" s="5" t="str">
        <x:v>Premature Infant Treatments</x:v>
      </x:c>
      <x:c r="D101" s="5" t="str">
        <x:v>SEK 0M (Clinical stage)</x:v>
      </x:c>
      <x:c r="E101" s="5" t="str">
        <x:v>SEK 112.4M</x:v>
      </x:c>
      <x:c r="F101" s="5" t="str">
        <x:v>SEK</x:v>
      </x:c>
      <x:c r="G101" s="5" t="str">
        <x:v>FY2023/24</x:v>
      </x:c>
      <x:c r="H101" s="5" t="str">
        <x:v>Listed (Nasdaq Stockholm: IBT B); IBP-9414 phase 3 drug for necrotizing enterocolitis in preterm infants</x:v>
      </x:c>
    </x:row>
    <x:row r="102" ht="39" customHeight="1">
      <x:c r="A102" s="5" t="str">
        <x:v>Mendus</x:v>
      </x:c>
      <x:c r="B102" s="5" t="str">
        <x:v>Stockholm, Sweden</x:v>
      </x:c>
      <x:c r="C102" s="5" t="str">
        <x:v>Cell Therapy for Immuno-Oncology</x:v>
      </x:c>
      <x:c r="D102" s="5" t="str">
        <x:v>SEK 0M (Clinical stage)</x:v>
      </x:c>
      <x:c r="E102" s="5" t="str">
        <x:v>SEK 114.2M</x:v>
      </x:c>
      <x:c r="F102" s="5" t="str">
        <x:v>SEK</x:v>
      </x:c>
      <x:c r="G102" s="5" t="str">
        <x:v>FY2023/24</x:v>
      </x:c>
      <x:c r="H102" s="5" t="str">
        <x:v>Listed (Nasdaq Stockholm: IMMU); Vididencel allogeneic dendritic cell therapy for cancer maintenance</x:v>
      </x:c>
    </x:row>
    <x:row r="103" ht="39" customHeight="1">
      <x:c r="A103" s="5" t="str">
        <x:v>Menten AI</x:v>
      </x:c>
      <x:c r="B103" s="5" t="str">
        <x:v>Stockholm, Sweden</x:v>
      </x:c>
      <x:c r="C103" s="5" t="str">
        <x:v>Generative AI for Peptide Drug Design</x:v>
      </x:c>
      <x:c r="D103" s="5" t="str">
        <x:v>USD 2.0M est.</x:v>
      </x:c>
      <x:c r="E103" s="5" t="str">
        <x:v>USD 7.5M</x:v>
      </x:c>
      <x:c r="F103" s="5" t="str">
        <x:v>USD</x:v>
      </x:c>
      <x:c r="G103" s="5" t="str">
        <x:v>FY2023/24</x:v>
      </x:c>
      <x:c r="H103" s="5" t="str">
        <x:v>Private AI &amp; quantum computing peptide drug discovery platform (collaborations with Swedish biopharma)</x:v>
      </x:c>
    </x:row>
    <x:row r="104" ht="39" customHeight="1">
      <x:c r="A104" s="5" t="str">
        <x:v>Modus Therapeutics</x:v>
      </x:c>
      <x:c r="B104" s="5" t="str">
        <x:v>Stockholm, Sweden</x:v>
      </x:c>
      <x:c r="C104" s="5" t="str">
        <x:v>Heparin Derivatives</x:v>
      </x:c>
      <x:c r="D104" s="5" t="str">
        <x:v>SEK 0M (Clinical stage)</x:v>
      </x:c>
      <x:c r="E104" s="5" t="str">
        <x:v>SEK 24.6M</x:v>
      </x:c>
      <x:c r="F104" s="5" t="str">
        <x:v>SEK</x:v>
      </x:c>
      <x:c r="G104" s="5" t="str">
        <x:v>FY2023/24</x:v>
      </x:c>
      <x:c r="H104" s="5" t="str">
        <x:v>Listed (Nasdaq First North: MODX); Sevuparin low molecular weight heparin for sepsis &amp; inflammation</x:v>
      </x:c>
    </x:row>
    <x:row r="105" ht="39" customHeight="1">
      <x:c r="A105" s="5" t="str">
        <x:v>Neogap Therapeutics</x:v>
      </x:c>
      <x:c r="B105" s="5" t="str">
        <x:v>Stockholm, Sweden</x:v>
      </x:c>
      <x:c r="C105" s="5" t="str">
        <x:v>Personalized Tumor Trained Lymphocytes</x:v>
      </x:c>
      <x:c r="D105" s="5" t="str">
        <x:v>SEK 0M (Clinical stage)</x:v>
      </x:c>
      <x:c r="E105" s="5" t="str">
        <x:v>SEK 42.0M</x:v>
      </x:c>
      <x:c r="F105" s="5" t="str">
        <x:v>SEK</x:v>
      </x:c>
      <x:c r="G105" s="5" t="str">
        <x:v>FY2024</x:v>
      </x:c>
      <x:c r="H105" s="5" t="str">
        <x:v>Private personalized cancer immunotherapy; raised SEK 87M in Feb 2026 led by Sciety</x:v>
      </x:c>
    </x:row>
    <x:row r="106" ht="39" customHeight="1">
      <x:c r="A106" s="5" t="str">
        <x:v>NuvoAir</x:v>
      </x:c>
      <x:c r="B106" s="5" t="str">
        <x:v>Stockholm, Sweden</x:v>
      </x:c>
      <x:c r="C106" s="5" t="str">
        <x:v>Digital Respiratory Monitoring</x:v>
      </x:c>
      <x:c r="D106" s="5" t="str">
        <x:v>USD 8.5M est. (~SEK 88M)</x:v>
      </x:c>
      <x:c r="E106" s="5" t="str">
        <x:v>USD 10.2M (~SEK 106M)</x:v>
      </x:c>
      <x:c r="F106" s="5" t="str">
        <x:v>USD</x:v>
      </x:c>
      <x:c r="G106" s="5" t="str">
        <x:v>FY2023/24</x:v>
      </x:c>
      <x:c r="H106" s="5" t="str">
        <x:v>Private digital health &amp; virtual clinic for complex respiratory conditions; raised $28M+ funding</x:v>
      </x:c>
    </x:row>
    <x:row r="107" ht="39" customHeight="1">
      <x:c r="A107" s="5" t="str">
        <x:v>Octapharma</x:v>
      </x:c>
      <x:c r="B107" s="5" t="str">
        <x:v>Stockholm, Sweden</x:v>
      </x:c>
      <x:c r="C107" s="5" t="str">
        <x:v>Plasma Products</x:v>
      </x:c>
      <x:c r="D107" s="5" t="str">
        <x:v>EUR 3,466.0M (Octapharma AB ~SEK 4,600M)</x:v>
      </x:c>
      <x:c r="E107" s="5" t="str">
        <x:v>EUR 108.0M (~SEK 1,220M)</x:v>
      </x:c>
      <x:c r="F107" s="5" t="str">
        <x:v>EUR</x:v>
      </x:c>
      <x:c r="G107" s="5" t="str">
        <x:v>FY2024</x:v>
      </x:c>
      <x:c r="H107" s="5" t="str">
        <x:v>Private global human protein fractionation and recombinant biopharma; large Stockholm production plant</x:v>
      </x:c>
    </x:row>
    <x:row r="108" ht="39" customHeight="1">
      <x:c r="A108" s="5" t="str">
        <x:v>Oncopeptides</x:v>
      </x:c>
      <x:c r="B108" s="5" t="str">
        <x:v>Stockholm, Sweden</x:v>
      </x:c>
      <x:c r="C108" s="5" t="str">
        <x:v>Cancer Treatments</x:v>
      </x:c>
      <x:c r="D108" s="5" t="str">
        <x:v>SEK 31.65M (SEK 35.22M in FY2023)</x:v>
      </x:c>
      <x:c r="E108" s="5" t="str">
        <x:v>SEK 184.2M</x:v>
      </x:c>
      <x:c r="F108" s="5" t="str">
        <x:v>SEK</x:v>
      </x:c>
      <x:c r="G108" s="5" t="str">
        <x:v>FY2024</x:v>
      </x:c>
      <x:c r="H108" s="5" t="str">
        <x:v>Listed (Nasdaq Stockholm: ONCO); Pepaxti peptide-drug conjugate for relapsed/refractory multiple myeloma</x:v>
      </x:c>
    </x:row>
    <x:row r="109" ht="65" customHeight="1">
      <x:c r="A109" s="5" t="str">
        <x:v>Optimapharm</x:v>
      </x:c>
      <x:c r="B109" s="5" t="str">
        <x:v>Stockholm, Sweden</x:v>
      </x:c>
      <x:c r="C109" s="5" t="str">
        <x:v>A CRO built to deliver faster Clinical Trials. Optimapharm is a global CRO with integrated therapeutic platforms and 2x NA/EU reach</x:v>
      </x:c>
      <x:c r="D109" s="5" t="str">
        <x:v>EUR 52.0M est. (~SEK 590M)</x:v>
      </x:c>
      <x:c r="E109" s="5" t="str">
        <x:v>EUR 4.8M (~SEK 55M)</x:v>
      </x:c>
      <x:c r="F109" s="5" t="str">
        <x:v>EUR</x:v>
      </x:c>
      <x:c r="G109" s="5" t="str">
        <x:v>FY2023/24</x:v>
      </x:c>
      <x:c r="H109" s="5" t="str">
        <x:v>Private full-service European CRO with clinical operations hub in Stockholm (400+ staff)</x:v>
      </x:c>
    </x:row>
    <x:row r="110" ht="39" customHeight="1">
      <x:c r="A110" s="5" t="str">
        <x:v>Peptonic Medical</x:v>
      </x:c>
      <x:c r="B110" s="5" t="str">
        <x:v>Stockholm, Sweden</x:v>
      </x:c>
      <x:c r="C110" s="5" t="str">
        <x:v>OTC Vaginal Atrophy Treatment</x:v>
      </x:c>
      <x:c r="D110" s="5" t="str">
        <x:v>SEK 26.9M</x:v>
      </x:c>
      <x:c r="E110" s="5" t="str">
        <x:v>SEK 18.2M</x:v>
      </x:c>
      <x:c r="F110" s="5" t="str">
        <x:v>SEK</x:v>
      </x:c>
      <x:c r="G110" s="5" t="str">
        <x:v>FY2023</x:v>
      </x:c>
      <x:c r="H110" s="5" t="str">
        <x:v>Listed (Spotlight: PMED); women's intimate healthcare; VagiVital non-hormonal treatment for vaginal atrophy</x:v>
      </x:c>
    </x:row>
    <x:row r="111" ht="39" customHeight="1">
      <x:c r="A111" s="5" t="str">
        <x:v>Pharmadule Morimatsu</x:v>
      </x:c>
      <x:c r="B111" s="5" t="str">
        <x:v>Stockholm, Sweden</x:v>
      </x:c>
      <x:c r="C111" s="5" t="str">
        <x:v>Modular Pharma Manufacturing Facilities</x:v>
      </x:c>
      <x:c r="D111" s="5" t="str">
        <x:v>SEK 520.0M est. (Morimatsu RMB 4,850M)</x:v>
      </x:c>
      <x:c r="E111" s="5" t="str">
        <x:v>SEK 28.0M</x:v>
      </x:c>
      <x:c r="F111" s="5" t="str">
        <x:v>SEK</x:v>
      </x:c>
      <x:c r="G111" s="5" t="str">
        <x:v>FY2023/24</x:v>
      </x:c>
      <x:c r="H111" s="5" t="str">
        <x:v>Subsidiary of Morimatsu International (HKEX: 2155); global pioneer in modular pharmaceutical cleanrooms</x:v>
      </x:c>
    </x:row>
    <x:row r="112" ht="39" customHeight="1">
      <x:c r="A112" s="5" t="str">
        <x:v>Pixelgen Technologies</x:v>
      </x:c>
      <x:c r="B112" s="5" t="str">
        <x:v>Stockholm, Sweden</x:v>
      </x:c>
      <x:c r="C112" s="5" t="str">
        <x:v>3-dimensional spatial mapping of cell surface proteins</x:v>
      </x:c>
      <x:c r="D112" s="5" t="str">
        <x:v>SEK 7.5M est.</x:v>
      </x:c>
      <x:c r="E112" s="5" t="str">
        <x:v>SEK 65.0M</x:v>
      </x:c>
      <x:c r="F112" s="5" t="str">
        <x:v>SEK</x:v>
      </x:c>
      <x:c r="G112" s="5" t="str">
        <x:v>FY2024</x:v>
      </x:c>
      <x:c r="H112" s="5" t="str">
        <x:v>Private Molecular Pixelation 3D spatial proteomics; raised $15.5M Series B (2026) and €12.5M EIC</x:v>
      </x:c>
    </x:row>
    <x:row r="113" ht="39" customHeight="1">
      <x:c r="A113" s="5" t="str">
        <x:v>RaySearch Laboratories</x:v>
      </x:c>
      <x:c r="B113" s="5" t="str">
        <x:v>Stockholm, Sweden</x:v>
      </x:c>
      <x:c r="C113" s="5" t="str">
        <x:v>Cancer Research Software</x:v>
      </x:c>
      <x:c r="D113" s="5" t="str">
        <x:v>SEK 1,192.0M (SEK 1,022.2M in FY2023)</x:v>
      </x:c>
      <x:c r="E113" s="5" t="str">
        <x:v>SEK 174.5M</x:v>
      </x:c>
      <x:c r="F113" s="5" t="str">
        <x:v>SEK</x:v>
      </x:c>
      <x:c r="G113" s="5" t="str">
        <x:v>FY2024</x:v>
      </x:c>
      <x:c r="H113" s="5" t="str">
        <x:v>Listed (Nasdaq Stockholm: RAY B); RayStation radiation treatment planning software &amp; RayCare OIS</x:v>
      </x:c>
    </x:row>
    <x:row r="114" ht="52" customHeight="1">
      <x:c r="A114" s="5" t="str">
        <x:v>Recipharm</x:v>
      </x:c>
      <x:c r="B114" s="5" t="str">
        <x:v>Stockholm, Sweden</x:v>
      </x:c>
      <x:c r="C114" s="5" t="str">
        <x:v>Contract development and manufacturing partner to the pharmaceutical and biopharmaceutical industries.</x:v>
      </x:c>
      <x:c r="D114" s="5" t="str">
        <x:v>SEK 12,400.0M est. (~EUR 1.1B)</x:v>
      </x:c>
      <x:c r="E114" s="5" t="str">
        <x:v>SEK 380.0M est.</x:v>
      </x:c>
      <x:c r="F114" s="5" t="str">
        <x:v>SEK</x:v>
      </x:c>
      <x:c r="G114" s="5" t="str">
        <x:v>FY2023/24</x:v>
      </x:c>
      <x:c r="H114" s="5" t="str">
        <x:v>Private global top-5 CDMO; acquired by EQT / Nichepharm; development and manufacturing of sterile injectables</x:v>
      </x:c>
    </x:row>
    <x:row r="115" ht="52" customHeight="1">
      <x:c r="A115" s="5" t="str">
        <x:v>Recipharm</x:v>
      </x:c>
      <x:c r="B115" s="5" t="str">
        <x:v>Stockholm, Sweden</x:v>
      </x:c>
      <x:c r="C115" s="5" t="str">
        <x:v>Contract development and manufacturing partner to the pharmaceutical and biopharmaceutical industries.</x:v>
      </x:c>
      <x:c r="D115" s="5" t="str">
        <x:v>SEK 12,400.0M est. (~EUR 1.1B)</x:v>
      </x:c>
      <x:c r="E115" s="5" t="str">
        <x:v>SEK 380.0M est.</x:v>
      </x:c>
      <x:c r="F115" s="5" t="str">
        <x:v>SEK</x:v>
      </x:c>
      <x:c r="G115" s="5" t="str">
        <x:v>FY2023/24</x:v>
      </x:c>
      <x:c r="H115" s="5" t="str">
        <x:v>Private global top-5 CDMO; acquired by EQT / Nichepharm; development and manufacturing of sterile injectables</x:v>
      </x:c>
    </x:row>
    <x:row r="116" ht="39" customHeight="1">
      <x:c r="A116" s="5" t="str">
        <x:v>Salipro Biotech</x:v>
      </x:c>
      <x:c r="B116" s="5" t="str">
        <x:v>Stockholm, Sweden</x:v>
      </x:c>
      <x:c r="C116" s="5" t="str">
        <x:v>Membrane Protein Stabilization Technology</x:v>
      </x:c>
      <x:c r="D116" s="5" t="str">
        <x:v>SEK 35.0M</x:v>
      </x:c>
      <x:c r="E116" s="5" t="str">
        <x:v>SEK 24.0M</x:v>
      </x:c>
      <x:c r="F116" s="5" t="str">
        <x:v>SEK</x:v>
      </x:c>
      <x:c r="G116" s="5" t="str">
        <x:v>FY2023/24</x:v>
      </x:c>
      <x:c r="H116" s="5" t="str">
        <x:v>Private; Direct MX membrane protein stabilization technology; partnering with Boehringer Ingelheim &amp; Sanofi</x:v>
      </x:c>
    </x:row>
    <x:row r="117" ht="39" customHeight="1">
      <x:c r="A117" s="5" t="str">
        <x:v>Scibase</x:v>
      </x:c>
      <x:c r="B117" s="5" t="str">
        <x:v>Stockholm, Sweden</x:v>
      </x:c>
      <x:c r="C117" s="5" t="str">
        <x:v>Complementary Information for Melanoma Detection</x:v>
      </x:c>
      <x:c r="D117" s="5" t="str">
        <x:v>SEK 29.71M</x:v>
      </x:c>
      <x:c r="E117" s="5" t="str">
        <x:v>SEK 38.6M</x:v>
      </x:c>
      <x:c r="F117" s="5" t="str">
        <x:v>SEK</x:v>
      </x:c>
      <x:c r="G117" s="5" t="str">
        <x:v>FY2024</x:v>
      </x:c>
      <x:c r="H117" s="5" t="str">
        <x:v>Listed (Nasdaq First North: SCIB); Nevisense electrical impedance spectroscopy for melanoma &amp; skin barrier</x:v>
      </x:c>
    </x:row>
    <x:row r="118" ht="39" customHeight="1">
      <x:c r="A118" s="5" t="str">
        <x:v>SHL Medical</x:v>
      </x:c>
      <x:c r="B118" s="5" t="str">
        <x:v>Stockholm, Sweden</x:v>
      </x:c>
      <x:c r="C118" s="5" t="str">
        <x:v>Medical Device assembly, labeling, packaging</x:v>
      </x:c>
      <x:c r="D118" s="5" t="str">
        <x:v>USD 720.0M est. (~SEK 7.5B)</x:v>
      </x:c>
      <x:c r="E118" s="5" t="str">
        <x:v>USD 58.0M (~SEK 600M)</x:v>
      </x:c>
      <x:c r="F118" s="5" t="str">
        <x:v>USD</x:v>
      </x:c>
      <x:c r="G118" s="5" t="str">
        <x:v>FY2023/24</x:v>
      </x:c>
      <x:c r="H118" s="5" t="str">
        <x:v>Private global autoinjector pioneer; hundreds of millions of units delivered; major design &amp; assembly in Stockholm</x:v>
      </x:c>
    </x:row>
    <x:row r="119" ht="39" customHeight="1">
      <x:c r="A119" s="5" t="str">
        <x:v>Single Technologies</x:v>
      </x:c>
      <x:c r="B119" s="5" t="str">
        <x:v>Stockholm, Sweden</x:v>
      </x:c>
      <x:c r="C119" s="5" t="str">
        <x:v>Next-Gen Sequencing Platform</x:v>
      </x:c>
      <x:c r="D119" s="5" t="str">
        <x:v>SEK 21.2M</x:v>
      </x:c>
      <x:c r="E119" s="5" t="str">
        <x:v>SEK 52.0M</x:v>
      </x:c>
      <x:c r="F119" s="5" t="str">
        <x:v>SEK</x:v>
      </x:c>
      <x:c r="G119" s="5" t="str">
        <x:v>FY2024</x:v>
      </x:c>
      <x:c r="H119" s="5" t="str">
        <x:v>Private high-throughput 3D sequencing platform (Theta); secured €12.5M (SEK 170M) EIC funding</x:v>
      </x:c>
    </x:row>
    <x:row r="120" ht="39" customHeight="1">
      <x:c r="A120" s="5" t="str">
        <x:v>Swedish Orphan Biovitrum</x:v>
      </x:c>
      <x:c r="B120" s="5" t="str">
        <x:v>Stockholm, Sweden</x:v>
      </x:c>
      <x:c r="C120" s="5" t="str">
        <x:v>Biologics</x:v>
      </x:c>
      <x:c r="D120" s="5" t="str">
        <x:v>SEK 26,000.0M (SEK 26.0B; SEK 22.1B in FY23)</x:v>
      </x:c>
      <x:c r="E120" s="5" t="str">
        <x:v>SEK 3,650.0M (SEK 3.65B)</x:v>
      </x:c>
      <x:c r="F120" s="5" t="str">
        <x:v>SEK</x:v>
      </x:c>
      <x:c r="G120" s="5" t="str">
        <x:v>FY2024</x:v>
      </x:c>
      <x:c r="H120" s="5" t="str">
        <x:v>Sobi; listed (Nasdaq Stockholm: SOBI); Nordic biopharma flagship in rare disease hematology &amp; immunology</x:v>
      </x:c>
    </x:row>
    <x:row r="121" ht="39" customHeight="1">
      <x:c r="A121" s="5" t="str">
        <x:v>Tribune Therapeutics</x:v>
      </x:c>
      <x:c r="B121" s="5" t="str">
        <x:v>Stockholm, Sweden</x:v>
      </x:c>
      <x:c r="C121" s="5" t="str">
        <x:v>Therapies targeting CCN protein</x:v>
      </x:c>
      <x:c r="D121" s="5" t="str">
        <x:v>EUR 0M (Pre-clinical)</x:v>
      </x:c>
      <x:c r="E121" s="5" t="str">
        <x:v>EUR 4.5M (~SEK 50M)</x:v>
      </x:c>
      <x:c r="F121" s="5" t="str">
        <x:v>EUR</x:v>
      </x:c>
      <x:c r="G121" s="5" t="str">
        <x:v>FY2024</x:v>
      </x:c>
      <x:c r="H121" s="5" t="str">
        <x:v>Private biologics targeting CCN proteins for severe fibrotic disorders; raised €37M Series A in March 2025</x:v>
      </x:c>
    </x:row>
    <x:row r="122" ht="39" customHeight="1">
      <x:c r="A122" s="5" t="str">
        <x:v>Vicore Pharma</x:v>
      </x:c>
      <x:c r="B122" s="5" t="str">
        <x:v>Stockholm, Sweden</x:v>
      </x:c>
      <x:c r="C122" s="5" t="str">
        <x:v>Small Molecule</x:v>
      </x:c>
      <x:c r="D122" s="5" t="str">
        <x:v>SEK 8.4M</x:v>
      </x:c>
      <x:c r="E122" s="5" t="str">
        <x:v>SEK 264.2M</x:v>
      </x:c>
      <x:c r="F122" s="5" t="str">
        <x:v>SEK</x:v>
      </x:c>
      <x:c r="G122" s="5" t="str">
        <x:v>FY2024</x:v>
      </x:c>
      <x:c r="H122" s="5" t="str">
        <x:v>Listed (Nasdaq Stockholm: VICO); angiotensin II type 2 receptor agonists (ATRAGs) for IPF (ASPIRE study)</x:v>
      </x:c>
    </x:row>
    <x:row r="123" ht="39" customHeight="1">
      <x:c r="A123" s="5" t="str">
        <x:v>BioLamina</x:v>
      </x:c>
      <x:c r="B123" s="5" t="str">
        <x:v>Sundbyberg, Sweden</x:v>
      </x:c>
      <x:c r="C123" s="5" t="str">
        <x:v>Cell Culture Technologies</x:v>
      </x:c>
      <x:c r="D123" s="5" t="str">
        <x:v>SEK 95.0M est. ($9M)</x:v>
      </x:c>
      <x:c r="E123" s="5" t="str">
        <x:v>SEK 28.0M</x:v>
      </x:c>
      <x:c r="F123" s="5" t="str">
        <x:v>SEK</x:v>
      </x:c>
      <x:c r="G123" s="5" t="str">
        <x:v>FY2023/24</x:v>
      </x:c>
      <x:c r="H123" s="5" t="str">
        <x:v>Private cell culture matrix developer; human recombinant laminins; secured €20M EIB loan in 2026</x:v>
      </x:c>
    </x:row>
    <x:row r="124" ht="39" customHeight="1">
      <x:c r="A124" s="5" t="str">
        <x:v>Abera Bioscience</x:v>
      </x:c>
      <x:c r="B124" s="5" t="str">
        <x:v>Uppsala, Sweden</x:v>
      </x:c>
      <x:c r="C124" s="5" t="str">
        <x:v>Vaccine platform that can be decorated with multiple antigens</x:v>
      </x:c>
      <x:c r="D124" s="5" t="str">
        <x:v>SEK 0M (Pre-revenue)</x:v>
      </x:c>
      <x:c r="E124" s="5" t="str">
        <x:v>SEK 14.8M</x:v>
      </x:c>
      <x:c r="F124" s="5" t="str">
        <x:v>SEK</x:v>
      </x:c>
      <x:c r="G124" s="5" t="str">
        <x:v>FY2023/24</x:v>
      </x:c>
      <x:c r="H124" s="5" t="str">
        <x:v>Listed (Spotlight: ABERA); outer membrane vesicle mucosal vaccine platform (Ab-01.12)</x:v>
      </x:c>
    </x:row>
    <x:row r="125" ht="39" customHeight="1">
      <x:c r="A125" s="5" t="str">
        <x:v>Aurevia</x:v>
      </x:c>
      <x:c r="B125" s="5" t="str">
        <x:v>Uppsala, Sweden</x:v>
      </x:c>
      <x:c r="C125" s="5" t="str">
        <x:v>Clinical Research Organizations</x:v>
      </x:c>
      <x:c r="D125" s="5" t="str">
        <x:v>SEK 46.9M</x:v>
      </x:c>
      <x:c r="E125" s="5" t="str">
        <x:v>SEK 4.0M</x:v>
      </x:c>
      <x:c r="F125" s="5" t="str">
        <x:v>SEK</x:v>
      </x:c>
      <x:c r="G125" s="5" t="str">
        <x:v>FY2023</x:v>
      </x:c>
      <x:c r="H125" s="5" t="str">
        <x:v>Private CRO &amp; QARA provider; backed by Mérieux Equity Partners (independent spin from Labquality)</x:v>
      </x:c>
    </x:row>
    <x:row r="126" ht="39" customHeight="1">
      <x:c r="A126" s="5" t="str">
        <x:v>Beactica Therapeutics</x:v>
      </x:c>
      <x:c r="B126" s="5" t="str">
        <x:v>Uppsala, Sweden</x:v>
      </x:c>
      <x:c r="C126" s="5" t="str">
        <x:v>Fragment-based drug discovery platform</x:v>
      </x:c>
      <x:c r="D126" s="5" t="str">
        <x:v>SEK 8.5M</x:v>
      </x:c>
      <x:c r="E126" s="5" t="str">
        <x:v>SEK 32.1M</x:v>
      </x:c>
      <x:c r="F126" s="5" t="str">
        <x:v>SEK</x:v>
      </x:c>
      <x:c r="G126" s="5" t="str">
        <x:v>FY2023/24</x:v>
      </x:c>
      <x:c r="H126" s="5" t="str">
        <x:v>Private clinical-stage drug discovery; fragment-based oncology (awarded €2.5M EIC grant)</x:v>
      </x:c>
    </x:row>
    <x:row r="127" ht="32" customHeight="1">
      <x:c r="A127" s="5" t="str">
        <x:v>Bio-Works</x:v>
      </x:c>
      <x:c r="B127" s="5" t="str">
        <x:v>Uppsala, Sweden</x:v>
      </x:c>
      <x:c r="C127" s="5" t="str">
        <x:v>Purification technologies</x:v>
      </x:c>
      <x:c r="D127" s="5" t="str">
        <x:v>SEK 43.9M</x:v>
      </x:c>
      <x:c r="E127" s="5" t="str">
        <x:v>SEK 16.8M</x:v>
      </x:c>
      <x:c r="F127" s="5" t="str">
        <x:v>SEK</x:v>
      </x:c>
      <x:c r="G127" s="5" t="str">
        <x:v>FY2023/24</x:v>
      </x:c>
      <x:c r="H127" s="5" t="str">
        <x:v>Listed (Nasdaq First North: BIOWKS); agarose-based chromatography resins for bioprocessing</x:v>
      </x:c>
    </x:row>
    <x:row r="128" ht="39" customHeight="1">
      <x:c r="A128" s="5" t="str">
        <x:v>Biotage</x:v>
      </x:c>
      <x:c r="B128" s="5" t="str">
        <x:v>Uppsala, Sweden</x:v>
      </x:c>
      <x:c r="C128" s="5" t="str">
        <x:v>Medicinal &amp; Analytical Chemistry</x:v>
      </x:c>
      <x:c r="D128" s="5" t="str">
        <x:v>SEK 2,056.0M</x:v>
      </x:c>
      <x:c r="E128" s="5" t="str">
        <x:v>SEK 180.0M</x:v>
      </x:c>
      <x:c r="F128" s="5" t="str">
        <x:v>SEK</x:v>
      </x:c>
      <x:c r="G128" s="5" t="str">
        <x:v>FY2024</x:v>
      </x:c>
      <x:c r="H128" s="5" t="str">
        <x:v>Listed (Nasdaq Stockholm: BIOT); automated synthesis, flash chromatography &amp; analytical chemistry</x:v>
      </x:c>
    </x:row>
    <x:row r="129" ht="39" customHeight="1">
      <x:c r="A129" s="5" t="str">
        <x:v>Biovica</x:v>
      </x:c>
      <x:c r="B129" s="5" t="str">
        <x:v>Uppsala, Sweden</x:v>
      </x:c>
      <x:c r="C129" s="5" t="str">
        <x:v>Biomarker Cancer Diagnostics</x:v>
      </x:c>
      <x:c r="D129" s="5" t="str">
        <x:v>SEK 7.29M (FY23/24; SEK 8.62M FY24/25)</x:v>
      </x:c>
      <x:c r="E129" s="5" t="str">
        <x:v>SEK 48.6M</x:v>
      </x:c>
      <x:c r="F129" s="5" t="str">
        <x:v>SEK</x:v>
      </x:c>
      <x:c r="G129" s="5" t="str">
        <x:v>FY2023/24</x:v>
      </x:c>
      <x:c r="H129" s="5" t="str">
        <x:v>Listed (Nasdaq First North: BIOVIC B); DiviTum TKa biomarker assay for metastatic breast cancer</x:v>
      </x:c>
    </x:row>
    <x:row r="130" ht="39" customHeight="1">
      <x:c r="A130" s="5" t="str">
        <x:v>Corline Biomedical</x:v>
      </x:c>
      <x:c r="B130" s="5" t="str">
        <x:v>Uppsala, Sweden</x:v>
      </x:c>
      <x:c r="C130" s="5" t="str">
        <x:v>Heparin Aggregates</x:v>
      </x:c>
      <x:c r="D130" s="5" t="str">
        <x:v>SEK 18.2M (H1 2026 SEK 8.98M)</x:v>
      </x:c>
      <x:c r="E130" s="5" t="str">
        <x:v>SEK 14.5M</x:v>
      </x:c>
      <x:c r="F130" s="5" t="str">
        <x:v>SEK</x:v>
      </x:c>
      <x:c r="G130" s="5" t="str">
        <x:v>FY2023/24</x:v>
      </x:c>
      <x:c r="H130" s="5" t="str">
        <x:v>Listed (Nasdaq First North: CLBI); Corline Heparin Surface (CHS) for medical devices and tissue implants</x:v>
      </x:c>
    </x:row>
    <x:row r="131" ht="39" customHeight="1">
      <x:c r="A131" s="5" t="str">
        <x:v>Fresenius Kabi</x:v>
      </x:c>
      <x:c r="B131" s="5" t="str">
        <x:v>Uppsala, Sweden</x:v>
      </x:c>
      <x:c r="C131" s="5" t="str">
        <x:v>Contract Manufacturing</x:v>
      </x:c>
      <x:c r="D131" s="5" t="str">
        <x:v>EUR 8,414.0M (Swedish affiliate ~SEK 4,800M)</x:v>
      </x:c>
      <x:c r="E131" s="5" t="str">
        <x:v>EUR 636.0M (~SEK 7.2B group R&amp;D)</x:v>
      </x:c>
      <x:c r="F131" s="5" t="str">
        <x:v>EUR</x:v>
      </x:c>
      <x:c r="G131" s="5" t="str">
        <x:v>FY2024</x:v>
      </x:c>
      <x:c r="H131" s="5" t="str">
        <x:v>Subsidiary of Fresenius SE (DAX: FRE); major parenteral manufacturing sites in Brunna and Uppsala</x:v>
      </x:c>
    </x:row>
    <x:row r="132" ht="39" customHeight="1">
      <x:c r="A132" s="5" t="str">
        <x:v>Gradientech</x:v>
      </x:c>
      <x:c r="B132" s="5" t="str">
        <x:v>Uppsala, Sweden</x:v>
      </x:c>
      <x:c r="C132" s="5" t="str">
        <x:v>Diagnostics, Cell Culture Assays</x:v>
      </x:c>
      <x:c r="D132" s="5" t="str">
        <x:v>SEK 2.1M</x:v>
      </x:c>
      <x:c r="E132" s="5" t="str">
        <x:v>SEK 46.8M</x:v>
      </x:c>
      <x:c r="F132" s="5" t="str">
        <x:v>SEK</x:v>
      </x:c>
      <x:c r="G132" s="5" t="str">
        <x:v>FY2023/24</x:v>
      </x:c>
      <x:c r="H132" s="5" t="str">
        <x:v>Listed (Nasdaq First North: GRNT); QuickMIC ultra-rapid antibiotic susceptibility testing (AST)</x:v>
      </x:c>
    </x:row>
    <x:row r="133" ht="39" customHeight="1">
      <x:c r="A133" s="5" t="str">
        <x:v>Gyros Protein Technologies</x:v>
      </x:c>
      <x:c r="B133" s="5" t="str">
        <x:v>Uppsala, Sweden</x:v>
      </x:c>
      <x:c r="C133" s="5" t="str">
        <x:v>Bioassay Equipment</x:v>
      </x:c>
      <x:c r="D133" s="5" t="str">
        <x:v>USD 52.0M est. (~SEK 540M)</x:v>
      </x:c>
      <x:c r="E133" s="5" t="str">
        <x:v>USD 7.2M (~SEK 75M)</x:v>
      </x:c>
      <x:c r="F133" s="5" t="str">
        <x:v>USD</x:v>
      </x:c>
      <x:c r="G133" s="5" t="str">
        <x:v>FY2023/24</x:v>
      </x:c>
      <x:c r="H133" s="5" t="str">
        <x:v>Subsidiary of Mesa Laboratories (Nasdaq: MLAB); Gyrolab automated nanoliter immunoassay platform</x:v>
      </x:c>
    </x:row>
    <x:row r="134" ht="39" customHeight="1">
      <x:c r="A134" s="5" t="str">
        <x:v>Navinci Diagnostics</x:v>
      </x:c>
      <x:c r="B134" s="5" t="str">
        <x:v>Uppsala , Sweden</x:v>
      </x:c>
      <x:c r="C134" s="5" t="str">
        <x:v>Biomarker Services</x:v>
      </x:c>
      <x:c r="D134" s="5" t="str">
        <x:v>SEK 18.1M (72% YoY growth)</x:v>
      </x:c>
      <x:c r="E134" s="5" t="str">
        <x:v>SEK 25.0M</x:v>
      </x:c>
      <x:c r="F134" s="5" t="str">
        <x:v>SEK</x:v>
      </x:c>
      <x:c r="G134" s="5" t="str">
        <x:v>FY2024/25</x:v>
      </x:c>
      <x:c r="H134" s="5" t="str">
        <x:v>Private in situ proximity ligation assay kits for protein interaction imaging; raised €5.3M in 2025</x:v>
      </x:c>
    </x:row>
    <x:row r="135" ht="39" customHeight="1">
      <x:c r="A135" s="5" t="str">
        <x:v>NIOX</x:v>
      </x:c>
      <x:c r="B135" s="5" t="str">
        <x:v>Uppsala, Sweden</x:v>
      </x:c>
      <x:c r="C135" s="5" t="str">
        <x:v>Asthma management device</x:v>
      </x:c>
      <x:c r="D135" s="5" t="str">
        <x:v>GBP 41.8M (~SEK 570M; £36.8M in FY23)</x:v>
      </x:c>
      <x:c r="E135" s="5" t="str">
        <x:v>GBP 4.2M (~SEK 57M)</x:v>
      </x:c>
      <x:c r="F135" s="5" t="str">
        <x:v>GBP</x:v>
      </x:c>
      <x:c r="G135" s="5" t="str">
        <x:v>FY2024</x:v>
      </x:c>
      <x:c r="H135" s="5" t="str">
        <x:v>NIOX Group plc; listed (LSE AIM: NIOX); NIOX VERO fractional exhaled nitric oxide (FeNO) asthma devices</x:v>
      </x:c>
    </x:row>
    <x:row r="136" ht="39" customHeight="1">
      <x:c r="A136" s="5" t="str">
        <x:v>Orexo</x:v>
      </x:c>
      <x:c r="B136" s="5" t="str">
        <x:v>Uppsala, Sweden</x:v>
      </x:c>
      <x:c r="C136" s="5" t="str">
        <x:v>Improved specialty pharmaceuticals and treatments for new areas of use</x:v>
      </x:c>
      <x:c r="D136" s="5" t="str">
        <x:v>SEK 590.0M</x:v>
      </x:c>
      <x:c r="E136" s="5" t="str">
        <x:v>SEK 148.6M</x:v>
      </x:c>
      <x:c r="F136" s="5" t="str">
        <x:v>SEK</x:v>
      </x:c>
      <x:c r="G136" s="5" t="str">
        <x:v>FY2024</x:v>
      </x:c>
      <x:c r="H136" s="5" t="str">
        <x:v>Listed (Nasdaq Stockholm: ORX); Zubsolv opioid dependence; AmorphOX nasal drug delivery platform</x:v>
      </x:c>
    </x:row>
    <x:row r="137" ht="39" customHeight="1">
      <x:c r="A137" s="5" t="str">
        <x:v>Q-Linea</x:v>
      </x:c>
      <x:c r="B137" s="5" t="str">
        <x:v>Uppsala, Sweden</x:v>
      </x:c>
      <x:c r="C137" s="5" t="str">
        <x:v>Blood Analysis Device</x:v>
      </x:c>
      <x:c r="D137" s="5" t="str">
        <x:v>SEK 4.4M</x:v>
      </x:c>
      <x:c r="E137" s="5" t="str">
        <x:v>SEK 178.4M</x:v>
      </x:c>
      <x:c r="F137" s="5" t="str">
        <x:v>SEK</x:v>
      </x:c>
      <x:c r="G137" s="5" t="str">
        <x:v>FY2023/24</x:v>
      </x:c>
      <x:c r="H137" s="5" t="str">
        <x:v>Listed (Nasdaq Stockholm: QLINEA); ASTar rapid antimicrobial susceptibility testing system (FDA 510(k) cleared)</x:v>
      </x:c>
    </x:row>
    <x:row r="138" ht="39" customHeight="1">
      <x:c r="A138" s="5" t="str">
        <x:v>Senzime</x:v>
      </x:c>
      <x:c r="B138" s="5" t="str">
        <x:v>Uppsala, Sweden</x:v>
      </x:c>
      <x:c r="C138" s="5" t="str">
        <x:v>Devices</x:v>
      </x:c>
      <x:c r="D138" s="5" t="str">
        <x:v>SEK 58.5M (SEK 35.8M in FY2023)</x:v>
      </x:c>
      <x:c r="E138" s="5" t="str">
        <x:v>SEK 44.2M</x:v>
      </x:c>
      <x:c r="F138" s="5" t="str">
        <x:v>SEK</x:v>
      </x:c>
      <x:c r="G138" s="5" t="str">
        <x:v>FY2024</x:v>
      </x:c>
      <x:c r="H138" s="5" t="str">
        <x:v>Listed (Nasdaq Stockholm: SEZI); TetraGraph electromyography monitoring to eliminate post-op paralysis</x:v>
      </x:c>
    </x:row>
    <x:row r="139" ht="39" customHeight="1">
      <x:c r="A139" s="5" t="str">
        <x:v>Strike Pharma</x:v>
      </x:c>
      <x:c r="B139" s="5" t="str">
        <x:v>Uppsala, Sweden</x:v>
      </x:c>
      <x:c r="C139" s="5" t="str">
        <x:v>Delivery Technology for Immunogenic Peptides</x:v>
      </x:c>
      <x:c r="D139" s="5" t="str">
        <x:v>SEK 0M (Pre-clinical)</x:v>
      </x:c>
      <x:c r="E139" s="5" t="str">
        <x:v>SEK 18.5M</x:v>
      </x:c>
      <x:c r="F139" s="5" t="str">
        <x:v>SEK</x:v>
      </x:c>
      <x:c r="G139" s="5" t="str">
        <x:v>FY2023/24</x:v>
      </x:c>
      <x:c r="H139" s="5" t="str">
        <x:v>Private immunotherapy; Adapt vaCC individualized therapeutic cancer vaccines; raised SEK 45M</x:v>
      </x:c>
    </x:row>
    <x:row r="140" ht="39" customHeight="1">
      <x:c r="A140" s="5" t="str">
        <x:v>Agrisera</x:v>
      </x:c>
      <x:c r="B140" s="5" t="str">
        <x:v>Vännäs, Sweden</x:v>
      </x:c>
      <x:c r="C140" s="5" t="str">
        <x:v>Antibodies</x:v>
      </x:c>
      <x:c r="D140" s="5" t="str">
        <x:v>SEK 42.5M</x:v>
      </x:c>
      <x:c r="E140" s="5" t="str">
        <x:v>SEK 5.2M</x:v>
      </x:c>
      <x:c r="F140" s="5" t="str">
        <x:v>SEK</x:v>
      </x:c>
      <x:c r="G140" s="5" t="str">
        <x:v>FY2023</x:v>
      </x:c>
      <x:c r="H140" s="5" t="str">
        <x:v>Private antibody producer (Vännäs, Sweden); specialized plant and algal research antibodies</x:v>
      </x:c>
    </x:row>
    <x:row r="141" ht="39" customHeight="1">
      <x:c r="A141" s="5" t="str">
        <x:v>Getinge</x:v>
      </x:c>
      <x:c r="B141" s="5" t="str">
        <x:v>Växjö, Sweden</x:v>
      </x:c>
      <x:c r="C141" s="5" t="str">
        <x:v>Medical Technology</x:v>
      </x:c>
      <x:c r="D141" s="5" t="str">
        <x:v>SEK 34,759.0M (SEK 34.76B)</x:v>
      </x:c>
      <x:c r="E141" s="5" t="str">
        <x:v>SEK 1,745.0M (~5.0% of sales)</x:v>
      </x:c>
      <x:c r="F141" s="5" t="str">
        <x:v>SEK</x:v>
      </x:c>
      <x:c r="G141" s="5" t="str">
        <x:v>FY2024</x:v>
      </x:c>
      <x:c r="H141" s="5" t="str">
        <x:v>Listed (Nasdaq Stockholm: GETI B); global leader in intensive care equipment, ventilators, surgical tables</x:v>
      </x:c>
    </x:row>
    <x:row r="142" ht="39" customHeight="1">
      <x:c r="A142" s="5" t="str">
        <x:v>Metenova</x:v>
      </x:c>
      <x:c r="B142" s="5" t="str">
        <x:v>ZZ, Sweden</x:v>
      </x:c>
      <x:c r="C142" s="5" t="str">
        <x:v>Mixers</x:v>
      </x:c>
      <x:c r="D142" s="5" t="str">
        <x:v>USD 24.5M (~SEK 255M)</x:v>
      </x:c>
      <x:c r="E142" s="5" t="str">
        <x:v>USD 4.2M (~SEK 44M)</x:v>
      </x:c>
      <x:c r="F142" s="5" t="str">
        <x:v>USD</x:v>
      </x:c>
      <x:c r="G142" s="5" t="str">
        <x:v>FY2023</x:v>
      </x:c>
      <x:c r="H142" s="5" t="str">
        <x:v>Acquired by Repligen Corporation (Nasdaq: RGEN) in Oct 2023 for $173M; aseptic magnetic mixing systems</x:v>
      </x:c>
    </x:row>
  </x:sheetData>
  <x:pageMargins left="0.7" right="0.7" top="0.75" bottom="0.75" header="0.3" footer="0.3"/>
  <x:tableParts count="1">
    <x:tablePart xmlns:r="http://schemas.openxmlformats.org/officeDocument/2006/relationships" r:id="R9a6cc1c39a1f442a"/>
  </x:tableParts>
</x:worksheet>
</file>

<file path=xl/worksheets/sheet4.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15" hidden="0" customWidth="1"/>
    <x:col min="2" max="2" width="27" hidden="0" customWidth="1"/>
    <x:col min="3" max="3" width="33" hidden="0" customWidth="1"/>
    <x:col min="4" max="4" width="13" hidden="0" customWidth="1"/>
    <x:col min="5" max="5" width="87" hidden="0" customWidth="1"/>
    <x:col min="6" max="6" width="84" hidden="0" customWidth="1"/>
    <x:col min="7" max="7" width="18" hidden="0" customWidth="1"/>
    <x:col min="8" max="8" width="35" hidden="0" customWidth="1"/>
    <x:col min="9" max="9" width="65" hidden="0" customWidth="1"/>
    <x:col min="10" max="10" width="26" hidden="0" customWidth="1"/>
    <x:col min="11" max="11" width="25" hidden="0" customWidth="1"/>
  </x:cols>
  <x:sheetData>
    <x:row r="1">
      <x:c r="A1" s="1"/>
      <x:c r="B1" s="1"/>
      <x:c r="C1" s="1"/>
      <x:c r="D1" s="1"/>
      <x:c r="E1" s="1"/>
      <x:c r="F1" s="1"/>
      <x:c r="G1" s="1"/>
      <x:c r="H1" s="1"/>
      <x:c r="I1" s="1"/>
      <x:c r="J1" s="1"/>
      <x:c r="K1" s="1"/>
    </x:row>
    <x:row r="2">
      <x:c r="A2" s="2" t="str">
        <x:v>Data review and follow-up</x:v>
      </x:c>
      <x:c r="B2" s="1"/>
      <x:c r="C2" s="1"/>
      <x:c r="D2" s="1"/>
      <x:c r="E2" s="1"/>
      <x:c r="F2" s="1"/>
      <x:c r="G2" s="1"/>
      <x:c r="H2" s="1"/>
      <x:c r="I2" s="1"/>
      <x:c r="J2" s="1"/>
      <x:c r="K2" s="1"/>
    </x:row>
    <x:row r="3">
      <x:c r="A3" s="1" t="str">
        <x:v>v0003 · 2026-09-28T10:47:52Z (UTC)</x:v>
      </x:c>
      <x:c r="B3" s="1"/>
      <x:c r="C3" s="1"/>
      <x:c r="D3" s="1"/>
      <x:c r="E3" s="1"/>
      <x:c r="F3" s="1"/>
      <x:c r="G3" s="1"/>
      <x:c r="H3" s="1"/>
      <x:c r="I3" s="1"/>
      <x:c r="J3" s="1"/>
      <x:c r="K3" s="1"/>
    </x:row>
    <x:row r="4">
      <x:c r="A4" s="3" t="str">
        <x:v>11 open reconciliation actions remain; primary financial discrepancies are itemized in Review_Evidence. RECORDED means evidence fields present, not approved or certified.</x:v>
      </x:c>
      <x:c r="B4" s="1"/>
      <x:c r="C4" s="1"/>
      <x:c r="D4" s="1"/>
      <x:c r="E4" s="1"/>
      <x:c r="F4" s="1"/>
      <x:c r="G4" s="1"/>
      <x:c r="H4" s="1"/>
      <x:c r="I4" s="1"/>
      <x:c r="J4" s="1"/>
      <x:c r="K4" s="1"/>
    </x:row>
    <x:row r="5">
      <x:c r="A5" s="1" t="str">
        <x:v>Open / incomplete</x:v>
      </x:c>
      <x:c r="B5" s="1" t="n">
        <x:f>COUNTIFS(G8:G20,"&lt;&gt;RESOLVED")+COUNTIFS(K8:K20,"INCOMPLETE")</x:f>
        <x:v>11</x:v>
      </x:c>
      <x:c r="C5" s="1"/>
      <x:c r="D5" s="1"/>
      <x:c r="E5" s="1"/>
      <x:c r="F5" s="1"/>
      <x:c r="G5" s="1"/>
      <x:c r="H5" s="1"/>
      <x:c r="I5" s="1"/>
      <x:c r="J5" s="1"/>
      <x:c r="K5" s="1"/>
    </x:row>
    <x:row r="6">
      <x:c r="A6" s="1"/>
      <x:c r="B6" s="1"/>
      <x:c r="C6" s="1"/>
      <x:c r="D6" s="1"/>
      <x:c r="E6" s="1"/>
      <x:c r="F6" s="1"/>
      <x:c r="G6" s="1"/>
      <x:c r="H6" s="1"/>
      <x:c r="I6" s="1"/>
      <x:c r="J6" s="1"/>
      <x:c r="K6" s="1"/>
    </x:row>
    <x:row r="7" ht="32" customHeight="1">
      <x:c r="A7" s="9" t="str">
        <x:v>Review ID</x:v>
      </x:c>
      <x:c r="B7" s="9" t="str">
        <x:v>Category</x:v>
      </x:c>
      <x:c r="C7" s="9" t="str">
        <x:v>Company</x:v>
      </x:c>
      <x:c r="D7" s="9" t="str">
        <x:v>Google row</x:v>
      </x:c>
      <x:c r="E7" s="9" t="str">
        <x:v>Finding</x:v>
      </x:c>
      <x:c r="F7" s="9" t="str">
        <x:v>Required follow-up</x:v>
      </x:c>
      <x:c r="G7" s="9" t="str">
        <x:v>Status</x:v>
      </x:c>
      <x:c r="H7" s="9" t="str">
        <x:v>Assigned reviewer</x:v>
      </x:c>
      <x:c r="I7" s="9" t="str">
        <x:v>Resolution evidence</x:v>
      </x:c>
      <x:c r="J7" s="9" t="str">
        <x:v>Resolved at UTC</x:v>
      </x:c>
      <x:c r="K7" s="9" t="str">
        <x:v>Closure check</x:v>
      </x:c>
    </x:row>
    <x:row r="8" ht="39" customHeight="1">
      <x:c r="A8" s="5" t="str">
        <x:v>R001</x:v>
      </x:c>
      <x:c r="B8" s="5" t="str">
        <x:v>SOURCE MATCH</x:v>
      </x:c>
      <x:c r="C8" s="5" t="str">
        <x:v>TFS</x:v>
      </x:c>
      <x:c r="D8" s="5" t="n">
        <x:v>52</x:v>
      </x:c>
      <x:c r="E8" s="5" t="str">
        <x:v>No exact normalized company + location match in the dossier. Local candidate: TFS HealthScience — Lund, Sweden.</x:v>
      </x:c>
      <x:c r="F8" s="5" t="str">
        <x:v>Review entity and location mapping; do not join by approximate name.</x:v>
      </x:c>
      <x:c r="G8" s="13" t="str">
        <x:v>OPEN</x:v>
      </x:c>
      <x:c r="H8" s="13" t="str">
        <x:v>Unassigned</x:v>
      </x:c>
      <x:c r="I8" s="13"/>
      <x:c r="J8" s="14"/>
      <x:c r="K8" s="5" t="str">
        <x:f>IF(G8="RESOLVED",IF(AND(LEN(TRIM(H8))&gt;0,TRIM(H8)&lt;&gt;"Unassigned",LEN(TRIM(I8))&gt;0,ISNUMBER(J8),J8&gt;=DATE(2000,1,1),J8&lt;=DATE(2100,1,1)),"RECORDED","INCOMPLETE"),"NOT RESOLVED")</x:f>
        <x:v>NOT RESOLVED</x:v>
      </x:c>
    </x:row>
    <x:row r="9" ht="39" customHeight="1">
      <x:c r="A9" s="5" t="str">
        <x:v>R002</x:v>
      </x:c>
      <x:c r="B9" s="5" t="str">
        <x:v>SOURCE MATCH</x:v>
      </x:c>
      <x:c r="C9" s="5" t="str">
        <x:v>Amferia Kills Bacteria</x:v>
      </x:c>
      <x:c r="D9" s="5" t="n">
        <x:v>61</x:v>
      </x:c>
      <x:c r="E9" s="5" t="str">
        <x:v>No exact normalized company + location match in the dossier. Local candidate: Amferia — Mölndal, Sweden.</x:v>
      </x:c>
      <x:c r="F9" s="5" t="str">
        <x:v>Review entity and location mapping; do not join by approximate name.</x:v>
      </x:c>
      <x:c r="G9" s="13" t="str">
        <x:v>OPEN</x:v>
      </x:c>
      <x:c r="H9" s="13" t="str">
        <x:v>Unassigned</x:v>
      </x:c>
      <x:c r="I9" s="13" t="str"/>
      <x:c r="J9" s="14" t="str"/>
      <x:c r="K9" s="5" t="str">
        <x:f>IF(G9="RESOLVED",IF(AND(LEN(TRIM(H9))&gt;0,TRIM(H9)&lt;&gt;"Unassigned",LEN(TRIM(I9))&gt;0,ISNUMBER(J9),J9&gt;=DATE(2000,1,1),J9&lt;=DATE(2100,1,1)),"RECORDED","INCOMPLETE"),"NOT RESOLVED")</x:f>
        <x:v>NOT RESOLVED</x:v>
      </x:c>
    </x:row>
    <x:row r="10" ht="39" customHeight="1">
      <x:c r="A10" s="5" t="str">
        <x:v>R003</x:v>
      </x:c>
      <x:c r="B10" s="5" t="str">
        <x:v>SOURCE MATCH</x:v>
      </x:c>
      <x:c r="C10" s="5" t="str">
        <x:v>XVIVO</x:v>
      </x:c>
      <x:c r="D10" s="5" t="n">
        <x:v>65</x:v>
      </x:c>
      <x:c r="E10" s="5" t="str">
        <x:v>No exact normalized company + location match in the dossier. Local candidate: XVIVO Perfusion — Mölndal, Sweden.</x:v>
      </x:c>
      <x:c r="F10" s="5" t="str">
        <x:v>Review entity and location mapping; do not join by approximate name.</x:v>
      </x:c>
      <x:c r="G10" s="13" t="str">
        <x:v>OPEN</x:v>
      </x:c>
      <x:c r="H10" s="13" t="str">
        <x:v>Unassigned</x:v>
      </x:c>
      <x:c r="I10" s="13" t="str"/>
      <x:c r="J10" s="14" t="str"/>
      <x:c r="K10" s="5" t="str">
        <x:f>IF(G10="RESOLVED",IF(AND(LEN(TRIM(H10))&gt;0,TRIM(H10)&lt;&gt;"Unassigned",LEN(TRIM(I10))&gt;0,ISNUMBER(J10),J10&gt;=DATE(2000,1,1),J10&lt;=DATE(2100,1,1)),"RECORDED","INCOMPLETE"),"NOT RESOLVED")</x:f>
        <x:v>NOT RESOLVED</x:v>
      </x:c>
    </x:row>
    <x:row r="11" ht="39" customHeight="1">
      <x:c r="A11" s="5" t="str">
        <x:v>R004</x:v>
      </x:c>
      <x:c r="B11" s="5" t="str">
        <x:v>SOURCE MATCH</x:v>
      </x:c>
      <x:c r="C11" s="5" t="str">
        <x:v>Scandinavian Biopharma Holding</x:v>
      </x:c>
      <x:c r="D11" s="5" t="n">
        <x:v>79</x:v>
      </x:c>
      <x:c r="E11" s="5" t="str">
        <x:v>No exact normalized company + location match in the dossier. Local candidate: Scandinavian Biopharma — Solna, Sweden.</x:v>
      </x:c>
      <x:c r="F11" s="5" t="str">
        <x:v>Review entity and location mapping; do not join by approximate name.</x:v>
      </x:c>
      <x:c r="G11" s="13" t="str">
        <x:v>OPEN</x:v>
      </x:c>
      <x:c r="H11" s="13" t="str">
        <x:v>Unassigned</x:v>
      </x:c>
      <x:c r="I11" s="13" t="str"/>
      <x:c r="J11" s="14" t="str"/>
      <x:c r="K11" s="5" t="str">
        <x:f>IF(G11="RESOLVED",IF(AND(LEN(TRIM(H11))&gt;0,TRIM(H11)&lt;&gt;"Unassigned",LEN(TRIM(I11))&gt;0,ISNUMBER(J11),J11&gt;=DATE(2000,1,1),J11&lt;=DATE(2100,1,1)),"RECORDED","INCOMPLETE"),"NOT RESOLVED")</x:f>
        <x:v>NOT RESOLVED</x:v>
      </x:c>
    </x:row>
    <x:row r="12" ht="52" customHeight="1">
      <x:c r="A12" s="5" t="str">
        <x:v>R005</x:v>
      </x:c>
      <x:c r="B12" s="5" t="str">
        <x:v>WHITESPACE CLEANUP</x:v>
      </x:c>
      <x:c r="C12" s="5" t="str">
        <x:v>Navinci Diagnostics</x:v>
      </x:c>
      <x:c r="D12" s="5" t="n">
        <x:v>128</x:v>
      </x:c>
      <x:c r="E12" s="5" t="str">
        <x:v>Google location contains a non-breaking space before the comma. Directory normalizes it to Uppsala, Sweden; Google_Source preserves the exact original.</x:v>
      </x:c>
      <x:c r="F12" s="5" t="str">
        <x:v>No entity change. Source snapshot retains the original text.</x:v>
      </x:c>
      <x:c r="G12" s="13" t="str">
        <x:v>RESOLVED</x:v>
      </x:c>
      <x:c r="H12" s="13" t="str">
        <x:v>Codex — formatting review</x:v>
      </x:c>
      <x:c r="I12" s="13" t="str">
        <x:v>Original location retained in Google_Source; normalized display in Directory</x:v>
      </x:c>
      <x:c r="J12" s="14" t="n">
        <x:v>46293.39</x:v>
      </x:c>
      <x:c r="K12" s="5" t="str">
        <x:f>IF(G12="RESOLVED",IF(AND(LEN(TRIM(H12))&gt;0,TRIM(H12)&lt;&gt;"Unassigned",LEN(TRIM(I12))&gt;0,ISNUMBER(J12),J12&gt;=DATE(2000,1,1),J12&lt;=DATE(2100,1,1)),"RECORDED","INCOMPLETE"),"NOT RESOLVED")</x:f>
        <x:v>RECORDED</x:v>
      </x:c>
    </x:row>
    <x:row r="13" ht="32" customHeight="1">
      <x:c r="A13" s="5" t="str">
        <x:v>R006</x:v>
      </x:c>
      <x:c r="B13" s="5" t="str">
        <x:v>LOCATION</x:v>
      </x:c>
      <x:c r="C13" s="5" t="str">
        <x:v>Metenova</x:v>
      </x:c>
      <x:c r="D13" s="5" t="n">
        <x:v>136</x:v>
      </x:c>
      <x:c r="E13" s="5" t="str">
        <x:v>Google Sheet location is "ZZ, Sweden".</x:v>
      </x:c>
      <x:c r="F13" s="5" t="str">
        <x:v>Directory corrected to Mölndal; Google_Source retained. See Review_Evidence for certificate.</x:v>
      </x:c>
      <x:c r="G13" s="13" t="str">
        <x:v>RESOLVED</x:v>
      </x:c>
      <x:c r="H13" s="13" t="str">
        <x:v>Codex — primary-source location check</x:v>
      </x:c>
      <x:c r="I13" s="13" t="str">
        <x:v>Company-hosted DNV certificate page 1; Mölndal address; no financial claim validated</x:v>
      </x:c>
      <x:c r="J13" s="14" t="n">
        <x:v>46293.40738425926</x:v>
      </x:c>
      <x:c r="K13" s="5" t="str">
        <x:f>IF(G13="RESOLVED",IF(AND(LEN(TRIM(H13))&gt;0,TRIM(H13)&lt;&gt;"Unassigned",LEN(TRIM(I13))&gt;0,ISNUMBER(J13),J13&gt;=DATE(2000,1,1),J13&lt;=DATE(2100,1,1)),"RECORDED","INCOMPLETE"),"NOT RESOLVED")</x:f>
        <x:v>RECORDED</x:v>
      </x:c>
    </x:row>
    <x:row r="14" ht="39" customHeight="1">
      <x:c r="A14" s="5" t="str">
        <x:v>R007</x:v>
      </x:c>
      <x:c r="B14" s="5" t="str">
        <x:v>SOURCE MATCH</x:v>
      </x:c>
      <x:c r="C14" s="5" t="str">
        <x:v>Metenova</x:v>
      </x:c>
      <x:c r="D14" s="5" t="n">
        <x:v>136</x:v>
      </x:c>
      <x:c r="E14" s="5" t="str">
        <x:v>No exact normalized company + location match in the dossier. Local candidate: Metenova — Gothenburg, Sweden.</x:v>
      </x:c>
      <x:c r="F14" s="5" t="str">
        <x:v>Review entity and location mapping; do not join by approximate name.</x:v>
      </x:c>
      <x:c r="G14" s="13" t="str">
        <x:v>OPEN</x:v>
      </x:c>
      <x:c r="H14" s="13" t="str">
        <x:v>Unassigned</x:v>
      </x:c>
      <x:c r="I14" s="13" t="str"/>
      <x:c r="J14" s="14" t="str"/>
      <x:c r="K14" s="5" t="str">
        <x:f>IF(G14="RESOLVED",IF(AND(LEN(TRIM(H14))&gt;0,TRIM(H14)&lt;&gt;"Unassigned",LEN(TRIM(I14))&gt;0,ISNUMBER(J14),J14&gt;=DATE(2000,1,1),J14&lt;=DATE(2100,1,1)),"RECORDED","INCOMPLETE"),"NOT RESOLVED")</x:f>
        <x:v>NOT RESOLVED</x:v>
      </x:c>
    </x:row>
    <x:row r="15" ht="39" customHeight="1">
      <x:c r="A15" s="5" t="str">
        <x:v>R008</x:v>
      </x:c>
      <x:c r="B15" s="5" t="str">
        <x:v>MULTIPLE FACILITIES</x:v>
      </x:c>
      <x:c r="C15" s="5" t="str">
        <x:v>Fresenius Kabi</x:v>
      </x:c>
      <x:c r="D15" s="5" t="n">
        <x:v>5</x:v>
      </x:c>
      <x:c r="E15" s="5" t="str">
        <x:v>2 facility rows share this company name. Financial claims may repeat company/group totals.</x:v>
      </x:c>
      <x:c r="F15" s="5" t="str">
        <x:v>Retain sites separately; confirm entity scope before any aggregation.</x:v>
      </x:c>
      <x:c r="G15" s="13" t="str">
        <x:v>OPEN</x:v>
      </x:c>
      <x:c r="H15" s="13" t="str">
        <x:v>Unassigned</x:v>
      </x:c>
      <x:c r="I15" s="13" t="str"/>
      <x:c r="J15" s="14" t="str"/>
      <x:c r="K15" s="5" t="str">
        <x:f>IF(G15="RESOLVED",IF(AND(LEN(TRIM(H15))&gt;0,TRIM(H15)&lt;&gt;"Unassigned",LEN(TRIM(I15))&gt;0,ISNUMBER(J15),J15&gt;=DATE(2000,1,1),J15&lt;=DATE(2100,1,1)),"RECORDED","INCOMPLETE"),"NOT RESOLVED")</x:f>
        <x:v>NOT RESOLVED</x:v>
      </x:c>
    </x:row>
    <x:row r="16" ht="39" customHeight="1">
      <x:c r="A16" s="5" t="str">
        <x:v>R009</x:v>
      </x:c>
      <x:c r="B16" s="5" t="str">
        <x:v>MULTIPLE FACILITIES</x:v>
      </x:c>
      <x:c r="C16" s="5" t="str">
        <x:v>Getinge</x:v>
      </x:c>
      <x:c r="D16" s="5" t="n">
        <x:v>6</x:v>
      </x:c>
      <x:c r="E16" s="5" t="str">
        <x:v>4 facility rows share this company name. Financial claims may repeat company/group totals.</x:v>
      </x:c>
      <x:c r="F16" s="5" t="str">
        <x:v>Retain sites separately; confirm entity scope before any aggregation.</x:v>
      </x:c>
      <x:c r="G16" s="13" t="str">
        <x:v>OPEN</x:v>
      </x:c>
      <x:c r="H16" s="13" t="str">
        <x:v>Unassigned</x:v>
      </x:c>
      <x:c r="I16" s="13" t="str"/>
      <x:c r="J16" s="14" t="str"/>
      <x:c r="K16" s="5" t="str">
        <x:f>IF(G16="RESOLVED",IF(AND(LEN(TRIM(H16))&gt;0,TRIM(H16)&lt;&gt;"Unassigned",LEN(TRIM(I16))&gt;0,ISNUMBER(J16),J16&gt;=DATE(2000,1,1),J16&lt;=DATE(2100,1,1)),"RECORDED","INCOMPLETE"),"NOT RESOLVED")</x:f>
        <x:v>NOT RESOLVED</x:v>
      </x:c>
    </x:row>
    <x:row r="17" ht="39" customHeight="1">
      <x:c r="A17" s="5" t="str">
        <x:v>R010</x:v>
      </x:c>
      <x:c r="B17" s="5" t="str">
        <x:v>MULTIPLE FACILITIES</x:v>
      </x:c>
      <x:c r="C17" s="5" t="str">
        <x:v>AstraZeneca</x:v>
      </x:c>
      <x:c r="D17" s="5" t="n">
        <x:v>9</x:v>
      </x:c>
      <x:c r="E17" s="5" t="str">
        <x:v>2 facility rows share this company name. Financial claims may repeat company/group totals.</x:v>
      </x:c>
      <x:c r="F17" s="5" t="str">
        <x:v>Retain sites separately; confirm entity scope before any aggregation.</x:v>
      </x:c>
      <x:c r="G17" s="13" t="str">
        <x:v>OPEN</x:v>
      </x:c>
      <x:c r="H17" s="13" t="str">
        <x:v>Unassigned</x:v>
      </x:c>
      <x:c r="I17" s="13" t="str"/>
      <x:c r="J17" s="14" t="str"/>
      <x:c r="K17" s="5" t="str">
        <x:f>IF(G17="RESOLVED",IF(AND(LEN(TRIM(H17))&gt;0,TRIM(H17)&lt;&gt;"Unassigned",LEN(TRIM(I17))&gt;0,ISNUMBER(J17),J17&gt;=DATE(2000,1,1),J17&lt;=DATE(2100,1,1)),"RECORDED","INCOMPLETE"),"NOT RESOLVED")</x:f>
        <x:v>NOT RESOLVED</x:v>
      </x:c>
    </x:row>
    <x:row r="18" ht="39" customHeight="1">
      <x:c r="A18" s="5" t="str">
        <x:v>R011</x:v>
      </x:c>
      <x:c r="B18" s="5" t="str">
        <x:v>MULTIPLE FACILITIES</x:v>
      </x:c>
      <x:c r="C18" s="5" t="str">
        <x:v>Meribel Pharma Group</x:v>
      </x:c>
      <x:c r="D18" s="5" t="n">
        <x:v>16</x:v>
      </x:c>
      <x:c r="E18" s="5" t="str">
        <x:v>3 facility rows share this company name. Financial claims may repeat company/group totals.</x:v>
      </x:c>
      <x:c r="F18" s="5" t="str">
        <x:v>Retain sites separately; confirm entity scope before any aggregation.</x:v>
      </x:c>
      <x:c r="G18" s="13" t="str">
        <x:v>OPEN</x:v>
      </x:c>
      <x:c r="H18" s="13" t="str">
        <x:v>Unassigned</x:v>
      </x:c>
      <x:c r="I18" s="13" t="str"/>
      <x:c r="J18" s="14" t="str"/>
      <x:c r="K18" s="5" t="str">
        <x:f>IF(G18="RESOLVED",IF(AND(LEN(TRIM(H18))&gt;0,TRIM(H18)&lt;&gt;"Unassigned",LEN(TRIM(I18))&gt;0,ISNUMBER(J18),J18&gt;=DATE(2000,1,1),J18&lt;=DATE(2100,1,1)),"RECORDED","INCOMPLETE"),"NOT RESOLVED")</x:f>
        <x:v>NOT RESOLVED</x:v>
      </x:c>
    </x:row>
    <x:row r="19" ht="39" customHeight="1">
      <x:c r="A19" s="5" t="str">
        <x:v>R012</x:v>
      </x:c>
      <x:c r="B19" s="5" t="str">
        <x:v>DUPLICATE LOCATION KEY</x:v>
      </x:c>
      <x:c r="C19" s="5" t="str">
        <x:v>Recipharm</x:v>
      </x:c>
      <x:c r="D19" s="5" t="n">
        <x:v>108</x:v>
      </x:c>
      <x:c r="E19" s="5" t="str">
        <x:v>Two Recipharm source records both say Stockholm, Sweden. Two distinct facilities are not established.</x:v>
      </x:c>
      <x:c r="F19" s="5" t="str">
        <x:v>Verify legal entities and site addresses; preserve original rows and do not sum their repeated financials.</x:v>
      </x:c>
      <x:c r="G19" s="13" t="str">
        <x:v>OPEN</x:v>
      </x:c>
      <x:c r="H19" s="13" t="str">
        <x:v>Unassigned</x:v>
      </x:c>
      <x:c r="I19" s="13" t="str"/>
      <x:c r="J19" s="14" t="str"/>
      <x:c r="K19" s="5" t="str">
        <x:f>IF(G19="RESOLVED",IF(AND(LEN(TRIM(H19))&gt;0,TRIM(H19)&lt;&gt;"Unassigned",LEN(TRIM(I19))&gt;0,ISNUMBER(J19),J19&gt;=DATE(2000,1,1),J19&lt;=DATE(2100,1,1)),"RECORDED","INCOMPLETE"),"NOT RESOLVED")</x:f>
        <x:v>NOT RESOLVED</x:v>
      </x:c>
    </x:row>
    <x:row r="20" ht="39" customHeight="1">
      <x:c r="A20" s="5" t="str">
        <x:v>R013</x:v>
      </x:c>
      <x:c r="B20" s="5" t="str">
        <x:v>SOURCE VALIDATION</x:v>
      </x:c>
      <x:c r="C20" s="5" t="str">
        <x:v>Dataset</x:v>
      </x:c>
      <x:c r="D20" s="5"/>
      <x:c r="E20" s="5" t="str">
        <x:v>Primary review now covers selected claims for 11 companies; 116 companies have no financial primary-source check. Some checked claims are contradicted.</x:v>
      </x:c>
      <x:c r="F20" s="5" t="str">
        <x:v>Use Review_Evidence definitions and sources. Validate remaining claims and clinical/commercial assertions before operational use.</x:v>
      </x:c>
      <x:c r="G20" s="13" t="str">
        <x:v>OPEN</x:v>
      </x:c>
      <x:c r="H20" s="13" t="str">
        <x:v>Unassigned</x:v>
      </x:c>
      <x:c r="I20" s="13" t="str"/>
      <x:c r="J20" s="14" t="str"/>
      <x:c r="K20" s="5" t="str">
        <x:f>IF(G20="RESOLVED",IF(AND(LEN(TRIM(H20))&gt;0,TRIM(H20)&lt;&gt;"Unassigned",LEN(TRIM(I20))&gt;0,ISNUMBER(J20),J20&gt;=DATE(2000,1,1),J20&lt;=DATE(2100,1,1)),"RECORDED","INCOMPLETE"),"NOT RESOLVED")</x:f>
        <x:v>NOT RESOLVED</x:v>
      </x:c>
    </x:row>
  </x:sheetData>
  <x:conditionalFormatting sqref="G8:G20">
    <x:cfRule type="containsText" dxfId="1" priority="1" operator="containsText" text="OPEN"/>
  </x:conditionalFormatting>
  <x:dataValidations count="1">
    <x:dataValidation type="list" sqref="G8:G20">
      <x:formula1>"OPEN,IN REVIEW,RESOLVED"</x:formula1>
    </x:dataValidation>
  </x:dataValidations>
  <x:pageMargins left="0.7" right="0.7" top="0.75" bottom="0.75" header="0.3" footer="0.3"/>
  <x:tableParts count="1">
    <x:tablePart xmlns:r="http://schemas.openxmlformats.org/officeDocument/2006/relationships" r:id="Redd584f00f1c44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30" hidden="0" customWidth="1"/>
    <x:col min="4" max="4" width="85" hidden="0" customWidth="1"/>
    <x:col min="5" max="5" width="80" hidden="0" customWidth="1"/>
    <x:col min="6" max="6" width="74" hidden="0" customWidth="1"/>
    <x:col min="7" max="7" width="16" hidden="0" customWidth="1"/>
    <x:col min="8" max="8" width="26" hidden="0" customWidth="1"/>
  </x:cols>
  <x:sheetData>
    <x:row r="1">
      <x:c r="A1" s="1"/>
      <x:c r="B1" s="1"/>
      <x:c r="C1" s="1"/>
      <x:c r="D1" s="1"/>
      <x:c r="E1" s="1"/>
      <x:c r="F1" s="1"/>
    </x:row>
    <x:row r="2">
      <x:c r="A2" s="2" t="str">
        <x:v>Workbook version history</x:v>
      </x:c>
      <x:c r="B2" s="1"/>
      <x:c r="C2" s="1"/>
      <x:c r="D2" s="1"/>
      <x:c r="E2" s="1"/>
      <x:c r="F2" s="1"/>
    </x:row>
    <x:row r="3">
      <x:c r="A3" s="1" t="str">
        <x:v>v0003 · 2026-09-28T10:47:52Z (UTC)</x:v>
      </x:c>
      <x:c r="B3" s="1"/>
      <x:c r="C3" s="1"/>
      <x:c r="D3" s="1"/>
      <x:c r="E3" s="1"/>
      <x:c r="F3" s="1"/>
    </x:row>
    <x:row r="4">
      <x:c r="A4" s="3" t="str">
        <x:v>Versions are numbered and timestamped in UTC. Snapshot checksums and parent checksums are stored in the external version manifest.</x:v>
      </x:c>
      <x:c r="B4" s="1"/>
      <x:c r="C4" s="1"/>
      <x:c r="D4" s="1"/>
      <x:c r="E4" s="1"/>
      <x:c r="F4" s="1"/>
    </x:row>
    <x:row r="5">
      <x:c r="A5" s="1"/>
      <x:c r="B5" s="1"/>
      <x:c r="C5" s="1"/>
      <x:c r="D5" s="1"/>
      <x:c r="E5" s="1"/>
      <x:c r="F5" s="1"/>
    </x:row>
    <x:row r="6">
      <x:c r="A6" s="1"/>
      <x:c r="B6" s="1"/>
      <x:c r="C6" s="1"/>
      <x:c r="D6" s="1"/>
      <x:c r="E6" s="1"/>
      <x:c r="F6" s="1"/>
    </x:row>
    <x:row r="7" ht="32" customHeight="1">
      <x:c r="A7" s="9" t="str">
        <x:v>Version</x:v>
      </x:c>
      <x:c r="B7" s="9" t="str">
        <x:v>Recorded / captured UTC</x:v>
      </x:c>
      <x:c r="C7" s="9" t="str">
        <x:v>Original file modified UTC</x:v>
      </x:c>
      <x:c r="D7" s="9" t="str">
        <x:v>Change</x:v>
      </x:c>
      <x:c r="E7" s="9" t="str">
        <x:v>Review scope</x:v>
      </x:c>
      <x:c r="F7" s="9" t="str">
        <x:v>Prior SHA-256</x:v>
      </x:c>
    </x:row>
    <x:row r="8" ht="52" customHeight="1">
      <x:c r="A8" s="5" t="n">
        <x:v>0</x:v>
      </x:c>
      <x:c r="B8" s="12" t="n">
        <x:v>46293.39</x:v>
      </x:c>
      <x:c r="C8" s="12" t="n">
        <x:v>46292.348541666666</x:v>
      </x:c>
      <x:c r="D8" s="5" t="str">
        <x:v>Archived original zero-byte placeholder. It is not a valid workbook.</x:v>
      </x:c>
      <x:c r="E8" s="5" t="str">
        <x:v>No recoverable sheets, formulas or values.</x:v>
      </x:c>
      <x:c r="F8" s="5"/>
    </x:row>
    <x:row r="9" ht="52" customHeight="1">
      <x:c r="A9" s="5" t="n">
        <x:v>1</x:v>
      </x:c>
      <x:c r="B9" s="12" t="n">
        <x:v>46293.39</x:v>
      </x:c>
      <x:c r="C9" s="12"/>
      <x:c r="D9" s="5" t="str">
        <x:v>Created first usable workbook from the linked Google Sheet and local financial source. Added reconciliation and version history.</x:v>
      </x:c>
      <x:c r="E9" s="5" t="str">
        <x:v>135 facility records; 127 company names. Financial amounts not independently validated.</x:v>
      </x:c>
      <x:c r="F9" s="5" t="str">
        <x:v>e3b0c44298fc1c149afbf4c8996fb92427ae41e4649b934ca495991b7852b855</x:v>
      </x:c>
    </x:row>
    <x:row r="10" ht="75" customHeight="1">
      <x:c r="A10" s="22" t="n">
        <x:v>2</x:v>
      </x:c>
      <x:c r="B10" s="23" t="n">
        <x:v>46293.40738425926</x:v>
      </x:c>
      <x:c r="C10" s="23"/>
      <x:c r="D10" s="22" t="str">
        <x:v>Correct qualifier semantics and location; add primary-source review; flag duplicate keys, scope and period errors.</x:v>
      </x:c>
      <x:c r="E10" s="22" t="str">
        <x:v>Selected financial claims for 11 companies checked; 116 remain unchecked. No safety authorization.</x:v>
      </x:c>
      <x:c r="F10" s="22" t="str">
        <x:v>8a394cf25c25d13e29fb0702cee0991de150e108a2a0456f55a5eb6da238ef5a</x:v>
      </x:c>
    </x:row>
    <x:row r="11" ht="84" customHeight="1">
      <x:c r="A11" s="5" t="n">
        <x:v>3</x:v>
      </x:c>
      <x:c r="B11" s="12" t="n">
        <x:v>46293.449907407405</x:v>
      </x:c>
      <x:c r="C11" s="12"/>
      <x:c r="D11" s="5" t="str">
        <x:v>Incorporated eight Markdown documents, source traceability, strategy, offers, account and competitor profiles.</x:v>
      </x:c>
      <x:c r="E11" s="5" t="str">
        <x:v>Document integration only. Preserved v2 corrections and primary evidence; new source claims remain unverified.</x:v>
      </x:c>
      <x:c r="F11" s="5" t="str">
        <x:v>a04523ff17d9ed46f7c97818594c42eb29264904a1904b6f9b53b3b6ac0e184c</x:v>
      </x:c>
    </x:row>
    <x:row r="12" ht="32" customHeight="1">
      <x:c r="A12" s="15" t="str">
        <x:v>Version control</x:v>
      </x:c>
      <x:c r="B12" s="15" t="str">
        <x:v>Latest release is selected by manifest.json. On the Google Drive mount, the root filename may resolve to an empty native-Sheet export; use the numbered snapshot or exact binary file ID.</x:v>
      </x:c>
    </x:row>
    <x:row r="13" ht="32" customHeight="1">
      <x:c r="A13" s="15" t="str">
        <x:v>Future changes</x:v>
      </x:c>
      <x:c r="B13" s="15" t="str">
        <x:v>Preserve numbered versions. Use --record-local for verified archive releases. Existing Drive binary replacement remains unavailable; do not use the ambiguous root filename.</x:v>
      </x:c>
    </x:row>
    <x:row r="14" ht="32" customHeight="1">
      <x:c r="A14" s="15" t="str">
        <x:v>Source capture (UTC)</x:v>
      </x:c>
      <x:c r="B14" s="16" t="n">
        <x:v>46293.385613425926</x:v>
      </x:c>
    </x:row>
    <x:row r="15" ht="32" customHeight="1">
      <x:c r="A15" s="15" t="str">
        <x:v>Google modified time (UTC)</x:v>
      </x:c>
      <x:c r="B15" s="16" t="n">
        <x:v>46292.34855278935</x:v>
      </x:c>
    </x:row>
    <x:row r="16" ht="32" customHeight="1">
      <x:c r="A16" s="15" t="str">
        <x:v>Google source SHA-256</x:v>
      </x:c>
      <x:c r="B16" s="15" t="str">
        <x:v>6e6c25a296bb3ba2b776c9877567b069b5cca8ab65485a3d66211e7771fd5a57</x:v>
      </x:c>
    </x:row>
    <x:row r="17" ht="32" customHeight="1">
      <x:c r="A17" s="15" t="str">
        <x:v>Master financials SHA-256</x:v>
      </x:c>
      <x:c r="B17" s="15" t="str">
        <x:v>704745214e0deccd9605660ebf58f29fc5b3b9fe4e8a6e3c26fb241754fc30a0</x:v>
      </x:c>
    </x:row>
    <x:row r="18" ht="32" customHeight="1">
      <x:c r="A18" s="15" t="str">
        <x:v>Dossier SHA-256</x:v>
      </x:c>
      <x:c r="B18" s="15" t="str">
        <x:v>8f1bdfcc5bb1c4cc07b13f50469ee056191303b47ac57f57364d3ea8cdd0b60b</x:v>
      </x:c>
    </x:row>
    <x:row r="21" ht="40" customHeight="1">
      <x:c r="A21" s="29" t="str">
        <x:v>Doc ID</x:v>
      </x:c>
      <x:c r="B21" s="29" t="str">
        <x:v>Source Markdown file</x:v>
      </x:c>
      <x:c r="C21" s="29" t="str">
        <x:v>SHA-256</x:v>
      </x:c>
      <x:c r="D21" s="29" t="str">
        <x:v>Source lines</x:v>
      </x:c>
      <x:c r="E21" s="29" t="str">
        <x:v>Table rows</x:v>
      </x:c>
      <x:c r="F21" s="29" t="str">
        <x:v>Note records</x:v>
      </x:c>
      <x:c r="G21" s="29" t="str">
        <x:v>Bytes</x:v>
      </x:c>
      <x:c r="H21" s="29" t="str">
        <x:v>Imported UTC</x:v>
      </x:c>
    </x:row>
    <x:row r="22" ht="100" customHeight="1">
      <x:c r="A22" s="5" t="str">
        <x:v>D01</x:v>
      </x:c>
      <x:c r="B22" s="5" t="str">
        <x:v>2S_CONSULTING_NORDIC_OUTREACH_STRATEGY.md</x:v>
      </x:c>
      <x:c r="C22" s="5" t="str">
        <x:v>2f7bde98c5545a227abf971b75a6d96e2d25c381a1618a2e31fef60f31a1428a</x:v>
      </x:c>
      <x:c r="D22" s="5" t="n">
        <x:v>719</x:v>
      </x:c>
      <x:c r="E22" s="5" t="n">
        <x:v>83</x:v>
      </x:c>
      <x:c r="F22" s="5" t="n">
        <x:v>139</x:v>
      </x:c>
      <x:c r="G22" s="5" t="n">
        <x:v>84171</x:v>
      </x:c>
      <x:c r="H22" s="12" t="n">
        <x:v>46293.449907407405</x:v>
      </x:c>
    </x:row>
    <x:row r="23" ht="100" customHeight="1">
      <x:c r="A23" s="5" t="str">
        <x:v>D02</x:v>
      </x:c>
      <x:c r="B23" s="5" t="str">
        <x:v>2S_NORDIC_MARKET_PENETRATION_AND_ECOSYSTEM_ACCELERATOR.md</x:v>
      </x:c>
      <x:c r="C23" s="5" t="str">
        <x:v>5ce7c669f03205df622c970baf88a36d641760173b113f691d49bb0d2b422df4</x:v>
      </x:c>
      <x:c r="D23" s="5" t="n">
        <x:v>321</x:v>
      </x:c>
      <x:c r="E23" s="5" t="n">
        <x:v>47</x:v>
      </x:c>
      <x:c r="F23" s="5" t="n">
        <x:v>69</x:v>
      </x:c>
      <x:c r="G23" s="5" t="n">
        <x:v>31279</x:v>
      </x:c>
      <x:c r="H23" s="12" t="n">
        <x:v>46293.449907407405</x:v>
      </x:c>
    </x:row>
    <x:row r="24" ht="100" customHeight="1">
      <x:c r="A24" s="5" t="str">
        <x:v>D03</x:v>
      </x:c>
      <x:c r="B24" s="5" t="str">
        <x:v>2S_NORDIC_OUTREACH_PRESENTATION.md</x:v>
      </x:c>
      <x:c r="C24" s="5" t="str">
        <x:v>b46a67e214948620c19a7f9bb9465b0aa662b59f6478245d59ea6154020398a1</x:v>
      </x:c>
      <x:c r="D24" s="5" t="n">
        <x:v>261</x:v>
      </x:c>
      <x:c r="E24" s="5" t="n">
        <x:v>0</x:v>
      </x:c>
      <x:c r="F24" s="5" t="n">
        <x:v>44</x:v>
      </x:c>
      <x:c r="G24" s="5" t="n">
        <x:v>22043</x:v>
      </x:c>
      <x:c r="H24" s="12" t="n">
        <x:v>46293.449907407405</x:v>
      </x:c>
    </x:row>
    <x:row r="25" ht="100" customHeight="1">
      <x:c r="A25" s="5" t="str">
        <x:v>D04</x:v>
      </x:c>
      <x:c r="B25" s="5" t="str">
        <x:v>2S_PHARMACEUTICALS_AND_CHEMICALS_SECTOR_DOSSIER.md</x:v>
      </x:c>
      <x:c r="C25" s="5" t="str">
        <x:v>29313d2f348002bcf0aa97ac5fd35d3404b2f7bbdd8c1a4db6bb25d0ec6da286</x:v>
      </x:c>
      <x:c r="D25" s="5" t="n">
        <x:v>550</x:v>
      </x:c>
      <x:c r="E25" s="5" t="n">
        <x:v>61</x:v>
      </x:c>
      <x:c r="F25" s="5" t="n">
        <x:v>101</x:v>
      </x:c>
      <x:c r="G25" s="5" t="n">
        <x:v>81473</x:v>
      </x:c>
      <x:c r="H25" s="12" t="n">
        <x:v>46293.449907407405</x:v>
      </x:c>
    </x:row>
    <x:row r="26" ht="100" customHeight="1">
      <x:c r="A26" s="5" t="str">
        <x:v>D05</x:v>
      </x:c>
      <x:c r="B26" s="5" t="str">
        <x:v>2S_PHARMA_THREE_PILLARS_OPERATIONAL_BLUEPRINT.md</x:v>
      </x:c>
      <x:c r="C26" s="5" t="str">
        <x:v>eb8cd60a6f15b80cad8cfe4e11549c8fd24a8b236eea20123bb78196fadde3c0</x:v>
      </x:c>
      <x:c r="D26" s="5" t="n">
        <x:v>382</x:v>
      </x:c>
      <x:c r="E26" s="5" t="n">
        <x:v>12</x:v>
      </x:c>
      <x:c r="F26" s="5" t="n">
        <x:v>81</x:v>
      </x:c>
      <x:c r="G26" s="5" t="n">
        <x:v>44193</x:v>
      </x:c>
      <x:c r="H26" s="12" t="n">
        <x:v>46293.449907407405</x:v>
      </x:c>
    </x:row>
    <x:row r="27" ht="100" customHeight="1">
      <x:c r="A27" s="5" t="str">
        <x:v>D06</x:v>
      </x:c>
      <x:c r="B27" s="5" t="str">
        <x:v>MEDICAL_NORDICS_FINANCIALS_DOSSIER.md</x:v>
      </x:c>
      <x:c r="C27" s="5" t="str">
        <x:v>8f1bdfcc5bb1c4cc07b13f50469ee056191303b47ac57f57364d3ea8cdd0b60b</x:v>
      </x:c>
      <x:c r="D27" s="5" t="n">
        <x:v>329</x:v>
      </x:c>
      <x:c r="E27" s="5" t="n">
        <x:v>135</x:v>
      </x:c>
      <x:c r="F27" s="5" t="n">
        <x:v>38</x:v>
      </x:c>
      <x:c r="G27" s="5" t="n">
        <x:v>48874</x:v>
      </x:c>
      <x:c r="H27" s="12" t="n">
        <x:v>46293.449907407405</x:v>
      </x:c>
    </x:row>
    <x:row r="28" ht="100" customHeight="1">
      <x:c r="A28" s="5" t="str">
        <x:v>D07</x:v>
      </x:c>
      <x:c r="B28" s="5" t="str">
        <x:v>NORDIC_COMPETITOR_BENCHMARK_DECK.md</x:v>
      </x:c>
      <x:c r="C28" s="5" t="str">
        <x:v>a534444daf3428dcc75d47e8004b8d37cd9dd20a0e440f09c07f285fc61965b6</x:v>
      </x:c>
      <x:c r="D28" s="5" t="n">
        <x:v>151</x:v>
      </x:c>
      <x:c r="E28" s="5" t="n">
        <x:v>0</x:v>
      </x:c>
      <x:c r="F28" s="5" t="n">
        <x:v>33</x:v>
      </x:c>
      <x:c r="G28" s="5" t="n">
        <x:v>12195</x:v>
      </x:c>
      <x:c r="H28" s="12" t="n">
        <x:v>46293.449907407405</x:v>
      </x:c>
    </x:row>
    <x:row r="29" ht="100" customHeight="1">
      <x:c r="A29" s="5" t="str">
        <x:v>D08</x:v>
      </x:c>
      <x:c r="B29" s="5" t="str">
        <x:v>NORDIC_MEDTECH_COMPETITIVE_LANDSCAPE_AND_PEER_DOSSIER.md</x:v>
      </x:c>
      <x:c r="C29" s="5" t="str">
        <x:v>2f5f01c283b8ac1982d413028c0b07bdb076a67dd6b508d72452bbfbf6ee70ad</x:v>
      </x:c>
      <x:c r="D29" s="5" t="n">
        <x:v>320</x:v>
      </x:c>
      <x:c r="E29" s="5" t="n">
        <x:v>27</x:v>
      </x:c>
      <x:c r="F29" s="5" t="n">
        <x:v>67</x:v>
      </x:c>
      <x:c r="G29" s="5" t="n">
        <x:v>32861</x:v>
      </x:c>
      <x:c r="H29" s="12" t="n">
        <x:v>46293.449907407405</x:v>
      </x:c>
    </x:row>
  </x:sheetData>
  <x:pageMargins left="0.7" right="0.7" top="0.75" bottom="0.75" header="0.3" footer="0.3"/>
  <x:tableParts count="2">
    <x:tablePart xmlns:r="http://schemas.openxmlformats.org/officeDocument/2006/relationships" r:id="R8db48304f67f406f"/>
    <x:tablePart xmlns:r="http://schemas.openxmlformats.org/officeDocument/2006/relationships" r:id="R2aab7aad0f3949f0"/>
  </x:tableParts>
</x:worksheet>
</file>

<file path=xl/worksheets/sheet6.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28" hidden="0" customWidth="1"/>
    <x:col min="2" max="2" width="24" hidden="0" customWidth="1"/>
    <x:col min="3" max="3" width="50" hidden="0" customWidth="1"/>
    <x:col min="4" max="4" width="12" hidden="0" customWidth="1"/>
    <x:col min="5" max="5" width="31" hidden="0" customWidth="1"/>
    <x:col min="6" max="6" width="25" hidden="0" customWidth="1"/>
    <x:col min="7" max="7" width="62" hidden="0" customWidth="1"/>
    <x:col min="8" max="8" width="40" hidden="0" customWidth="1"/>
    <x:col min="9" max="9" width="85" hidden="0" customWidth="1"/>
    <x:col min="10" max="10" width="24" hidden="0" customWidth="1"/>
    <x:col min="12" max="12" width="120" hidden="0" customWidth="1"/>
  </x:cols>
  <x:sheetData>
    <x:row r="2">
      <x:c r="A2" s="17" t="str">
        <x:v>PRIMARY DISCLOSURES AND SOURCE DISCREPANCIES</x:v>
      </x:c>
    </x:row>
    <x:row r="3">
      <x:c r="A3" t="str">
        <x:v>Reviewed 2026-09-28T09:46:38Z — historical periods; not a refresh to FY2025/26.</x:v>
      </x:c>
    </x:row>
    <x:row r="4">
      <x:c r="A4" t="str">
        <x:v>11 companies have selected financial claims checked; 116 have no financial primary-source check. Metenova: location only. Cellink: source-scope warning only.</x:v>
      </x:c>
    </x:row>
    <x:row r="5">
      <x:c r="A5" t="str">
        <x:v>Use the reported value together with its period, basis and qualification. Raw claims elsewhere are retained for traceability; no cross-company sums or safety authorization.</x:v>
      </x:c>
    </x:row>
    <x:row r="7" ht="46" customHeight="1">
      <x:c r="A7" s="19" t="str">
        <x:v>Company</x:v>
      </x:c>
      <x:c r="B7" s="19" t="str">
        <x:v>Metric checked</x:v>
      </x:c>
      <x:c r="C7" s="19" t="str">
        <x:v>Original source claim</x:v>
      </x:c>
      <x:c r="D7" s="19" t="str">
        <x:v>Currency</x:v>
      </x:c>
      <x:c r="E7" s="19" t="str">
        <x:v>Reporting period / as of</x:v>
      </x:c>
      <x:c r="F7" s="19" t="str">
        <x:v>Reported value (millions unless location)</x:v>
      </x:c>
      <x:c r="G7" s="19" t="str">
        <x:v>Basis / entity scope</x:v>
      </x:c>
      <x:c r="H7" s="19" t="str">
        <x:v>Result / qualification</x:v>
      </x:c>
      <x:c r="I7" s="19" t="str">
        <x:v>Interpretation / limit</x:v>
      </x:c>
      <x:c r="J7" s="19" t="str">
        <x:v>Reviewed UTC</x:v>
      </x:c>
      <x:c r="L7" t="str">
        <x:v>Evidence URL and locator</x:v>
      </x:c>
    </x:row>
    <x:row r="8" ht="80" customHeight="1">
      <x:c r="A8" s="5" t="str">
        <x:v>AstraZeneca</x:v>
      </x:c>
      <x:c r="B8" s="5" t="str">
        <x:v>revenue</x:v>
      </x:c>
      <x:c r="C8" s="5" t="str">
        <x:v>USD 54,100.0M ($54.1B)</x:v>
      </x:c>
      <x:c r="D8" s="5" t="str">
        <x:v>USD</x:v>
      </x:c>
      <x:c r="E8" s="5" t="str">
        <x:v>FY2024</x:v>
      </x:c>
      <x:c r="F8" s="20" t="n">
        <x:v>54073</x:v>
      </x:c>
      <x:c r="G8" s="5" t="str">
        <x:v>Consolidated Total Revenue, USD million</x:v>
      </x:c>
      <x:c r="H8" s="5" t="str">
        <x:v>ROUNDED_SOURCE</x:v>
      </x:c>
      <x:c r="I8" s="5" t="str">
        <x:v>54100 is consistent with rounding to54.1 billion, but must not be labelled exact million-level reported value. Worldwide group, not Swedish facility revenue.</x:v>
      </x:c>
      <x:c r="J8" s="12" t="n">
        <x:v>46293.40738425926</x:v>
      </x:c>
      <x:c r="L8" t="str">
        <x:v>https://www.sec.gov/Archives/edgar/data/901832/000110465925014750/azn-20241231x20f.htm | Consolidated Statement of Comprehensive Income F-2, FY2024</x:v>
      </x:c>
    </x:row>
    <x:row r="9" ht="80" customHeight="1">
      <x:c r="A9" s="5" t="str">
        <x:v>AstraZeneca</x:v>
      </x:c>
      <x:c r="B9" s="5" t="str">
        <x:v>rd spend</x:v>
      </x:c>
      <x:c r="C9" s="5" t="str">
        <x:v>USD 13,600.0M ($13.6B)</x:v>
      </x:c>
      <x:c r="D9" s="5" t="str">
        <x:v>USD</x:v>
      </x:c>
      <x:c r="E9" s="5" t="str">
        <x:v>FY2024</x:v>
      </x:c>
      <x:c r="F9" s="20" t="n">
        <x:v>13583</x:v>
      </x:c>
      <x:c r="G9" s="5" t="str">
        <x:v>Consolidated reported R&amp;D expense, USD million</x:v>
      </x:c>
      <x:c r="H9" s="5" t="str">
        <x:v>ROUNDED_SOURCE</x:v>
      </x:c>
      <x:c r="I9" s="5" t="str">
        <x:v>13600 is consistent with rounding to13.6 billion. Expense is not necessarily cash expenditure; core R&amp;D is a different metric.</x:v>
      </x:c>
      <x:c r="J9" s="12" t="n">
        <x:v>46293.40738425926</x:v>
      </x:c>
      <x:c r="L9" t="str">
        <x:v>https://www.sec.gov/Archives/edgar/data/901832/000110465925014750/azn-20241231x20f.htm | Consolidated Statement of Comprehensive Income F-2, FY2024</x:v>
      </x:c>
    </x:row>
    <x:row r="10" ht="80" customHeight="1">
      <x:c r="A10" s="5" t="str">
        <x:v>Getinge</x:v>
      </x:c>
      <x:c r="B10" s="5" t="str">
        <x:v>revenue</x:v>
      </x:c>
      <x:c r="C10" s="5" t="str">
        <x:v>SEK 34,759.0M (SEK 34.76B)</x:v>
      </x:c>
      <x:c r="D10" s="5" t="str">
        <x:v>SEK</x:v>
      </x:c>
      <x:c r="E10" s="5" t="str">
        <x:v>FY2024</x:v>
      </x:c>
      <x:c r="F10" s="20" t="n">
        <x:v>34759</x:v>
      </x:c>
      <x:c r="G10" s="5" t="str">
        <x:v>Consolidated net sales</x:v>
      </x:c>
      <x:c r="H10" s="5" t="str">
        <x:v>SUPPORTED</x:v>
      </x:c>
      <x:c r="I10" s="5" t="str">
        <x:v>Worldwide group revenue, repeated across four facilities; never sum repeated site rows.</x:v>
      </x:c>
      <x:c r="J10" s="12" t="n">
        <x:v>46293.40738425926</x:v>
      </x:c>
      <x:c r="L10" t="str">
        <x:v>https://www.getinge.com/dam/corporate/documents/investors/annual-reports/english/getinge_annual_report_2024-105736-en.pdf | Annual report printed pages56 and69</x:v>
      </x:c>
    </x:row>
    <x:row r="11" ht="80" customHeight="1">
      <x:c r="A11" s="5" t="str">
        <x:v>Getinge</x:v>
      </x:c>
      <x:c r="B11" s="5" t="str">
        <x:v>rd spend</x:v>
      </x:c>
      <x:c r="C11" s="5" t="str">
        <x:v>SEK 1,745.0M (~5.0% of sales)</x:v>
      </x:c>
      <x:c r="D11" s="5" t="str">
        <x:v>SEK</x:v>
      </x:c>
      <x:c r="E11" s="5" t="str">
        <x:v>FY2024</x:v>
      </x:c>
      <x:c r="F11" s="20" t="n">
        <x:v>2091</x:v>
      </x:c>
      <x:c r="G11" s="5" t="str">
        <x:v>Gross R&amp;D costs including660 capitalized;1431 expensed</x:v>
      </x:c>
      <x:c r="H11" s="5" t="str">
        <x:v>DEFINITION_MISMATCH</x:v>
      </x:c>
      <x:c r="I11" s="5" t="str">
        <x:v>1745 is not supported by either gross2091 or expense1431 in the report. Original spend lacks basis. Use2091 only with gross-cost basis; report expense1431 separately.</x:v>
      </x:c>
      <x:c r="J11" s="12" t="n">
        <x:v>46293.40738425926</x:v>
      </x:c>
      <x:c r="L11" t="str">
        <x:v>https://www.getinge.com/dam/corporate/documents/investors/annual-reports/english/getinge_annual_report_2024-105736-en.pdf | Annual report printed pages58,69 and83</x:v>
      </x:c>
    </x:row>
    <x:row r="12" ht="80" customHeight="1">
      <x:c r="A12" s="5" t="str">
        <x:v>Devyser</x:v>
      </x:c>
      <x:c r="B12" s="5" t="str">
        <x:v>revenue</x:v>
      </x:c>
      <x:c r="C12" s="5" t="str">
        <x:v>SEK 216.9M (SEK 169.3M in FY2023)</x:v>
      </x:c>
      <x:c r="D12" s="5" t="str">
        <x:v>SEK</x:v>
      </x:c>
      <x:c r="E12" s="5" t="str">
        <x:v>FY2024</x:v>
      </x:c>
      <x:c r="F12" s="20" t="n">
        <x:v>216.9</x:v>
      </x:c>
      <x:c r="G12" s="5" t="str">
        <x:v>Consolidated net sales</x:v>
      </x:c>
      <x:c r="H12" s="5" t="str">
        <x:v>SUPPORTED</x:v>
      </x:c>
      <x:c r="I12" s="5" t="str">
        <x:v>Prior-year comparator169.3 also supported. Worldwide group, not Årsta site revenue.</x:v>
      </x:c>
      <x:c r="J12" s="12" t="n">
        <x:v>46293.40738425926</x:v>
      </x:c>
      <x:c r="L12" t="str">
        <x:v>https://investors.devyser.com/sites/devyser/files/pr/20250213-50a2fff5-347e-445c-837c-1bac86374921-1.pdf | Year-end report page4</x:v>
      </x:c>
    </x:row>
    <x:row r="13" ht="80" customHeight="1">
      <x:c r="A13" s="5" t="str">
        <x:v>Devyser</x:v>
      </x:c>
      <x:c r="B13" s="5" t="str">
        <x:v>rd spend</x:v>
      </x:c>
      <x:c r="C13" s="5" t="str">
        <x:v>SEK 44.8M</x:v>
      </x:c>
      <x:c r="D13" s="5" t="str">
        <x:v>SEK</x:v>
      </x:c>
      <x:c r="E13" s="5" t="str">
        <x:v>FY2024</x:v>
      </x:c>
      <x:c r="F13" s="20" t="n">
        <x:v>73.7</x:v>
      </x:c>
      <x:c r="G13" s="5" t="str">
        <x:v>Total R&amp;D costs,43.1 expensed plus30.6 capitalized</x:v>
      </x:c>
      <x:c r="H13" s="5" t="str">
        <x:v>DEFINITION_MISMATCH</x:v>
      </x:c>
      <x:c r="I13" s="5" t="str">
        <x:v>44.8 not supported by total or expensed figures. Spend undefined; disclose total73.7 and expense43.1 separately.</x:v>
      </x:c>
      <x:c r="J13" s="12" t="n">
        <x:v>46293.40738425926</x:v>
      </x:c>
      <x:c r="L13" t="str">
        <x:v>https://investors.devyser.com/sites/devyser/files/pr/20250213-50a2fff5-347e-445c-837c-1bac86374921-1.pdf | Year-end report page4</x:v>
      </x:c>
    </x:row>
    <x:row r="14" ht="80" customHeight="1">
      <x:c r="A14" s="5" t="str">
        <x:v>Mentice</x:v>
      </x:c>
      <x:c r="B14" s="5" t="str">
        <x:v>revenue</x:v>
      </x:c>
      <x:c r="C14" s="5" t="str">
        <x:v>SEK 290.3M (SEK 265.4M in FY2023)</x:v>
      </x:c>
      <x:c r="D14" s="5" t="str">
        <x:v>SEK</x:v>
      </x:c>
      <x:c r="E14" s="5" t="str">
        <x:v>FY2024</x:v>
      </x:c>
      <x:c r="F14" s="20" t="n">
        <x:v>290.3</x:v>
      </x:c>
      <x:c r="G14" s="5" t="str">
        <x:v>Consolidated net sales rounded to0.1 million; detailed290.329</x:v>
      </x:c>
      <x:c r="H14" s="5" t="str">
        <x:v>SUPPORTED_WITH_COMPARATOR_ERROR</x:v>
      </x:c>
      <x:c r="I14" s="5" t="str">
        <x:v>FY2024 leading figure supported. FY2023 parenthetical265.4 is contradicted; annual report gives273.6 (detailed273.610).</x:v>
      </x:c>
      <x:c r="J14" s="12" t="n">
        <x:v>46293.40738425926</x:v>
      </x:c>
      <x:c r="L14" t="str">
        <x:v>https://cdn.prod.website-files.com/621bac50b18d199dfac227d3/6800a0c3c7132749ec325480_Mentice%20AR24%20EN%20final%20version.pdf | Annual report pages4,36 and37</x:v>
      </x:c>
    </x:row>
    <x:row r="15" ht="80" customHeight="1">
      <x:c r="A15" s="5" t="str">
        <x:v>Mentice</x:v>
      </x:c>
      <x:c r="B15" s="5" t="str">
        <x:v>revenue prior year</x:v>
      </x:c>
      <x:c r="C15" s="5" t="str">
        <x:v>SEK 290.3M (SEK 265.4M in FY2023)</x:v>
      </x:c>
      <x:c r="D15" s="5" t="str">
        <x:v>SEK</x:v>
      </x:c>
      <x:c r="E15" s="5" t="str">
        <x:v>FY2023 comparator</x:v>
      </x:c>
      <x:c r="F15" s="20" t="n">
        <x:v>273.6</x:v>
      </x:c>
      <x:c r="G15" s="5" t="str">
        <x:v>Consolidated FY2023 net sales rounded to0.1 million; detailed273.610</x:v>
      </x:c>
      <x:c r="H15" s="5" t="str">
        <x:v>CONTRADICTED</x:v>
      </x:c>
      <x:c r="I15" s="5" t="str">
        <x:v>Source comparator265.4 is incorrect for reported group net sales. Do not change FY2024 period to2023 for the main row.</x:v>
      </x:c>
      <x:c r="J15" s="12" t="n">
        <x:v>46293.40738425926</x:v>
      </x:c>
      <x:c r="L15" t="str">
        <x:v>https://cdn.prod.website-files.com/621bac50b18d199dfac227d3/6800a0c3c7132749ec325480_Mentice%20AR24%20EN%20final%20version.pdf | Annual report pages4,36 and37</x:v>
      </x:c>
    </x:row>
    <x:row r="16" ht="80" customHeight="1">
      <x:c r="A16" s="5" t="str">
        <x:v>Mentice</x:v>
      </x:c>
      <x:c r="B16" s="5" t="str">
        <x:v>rd spend</x:v>
      </x:c>
      <x:c r="C16" s="5" t="str">
        <x:v>SEK 42.1M</x:v>
      </x:c>
      <x:c r="D16" s="5" t="str">
        <x:v>SEK</x:v>
      </x:c>
      <x:c r="E16" s="5" t="str">
        <x:v>FY2024</x:v>
      </x:c>
      <x:c r="F16" s="20"/>
      <x:c r="G16" s="5" t="str">
        <x:v>R&amp;D spend total not established by this review</x:v>
      </x:c>
      <x:c r="H16" s="5" t="str">
        <x:v>UNVERIFIED</x:v>
      </x:c>
      <x:c r="I16" s="5" t="str">
        <x:v>Annual report discloses15.2 million capitalized development costs, which is not a replacement for total R&amp;D spend.42.1 remains unsupported; do not infer it from capitalized costs.</x:v>
      </x:c>
      <x:c r="J16" s="12" t="n">
        <x:v>46293.40738425926</x:v>
      </x:c>
      <x:c r="L16" t="str">
        <x:v>https://cdn.prod.website-files.com/621bac50b18d199dfac227d3/6800a0c3c7132749ec325480_Mentice%20AR24%20EN%20final%20version.pdf | Annual report page32</x:v>
      </x:c>
    </x:row>
    <x:row r="17" ht="80" customHeight="1">
      <x:c r="A17" s="5" t="str">
        <x:v>Fresenius Kabi</x:v>
      </x:c>
      <x:c r="B17" s="5" t="str">
        <x:v>revenue</x:v>
      </x:c>
      <x:c r="C17" s="5" t="str">
        <x:v>EUR 8,414.0M (Swedish affiliate ~SEK 4,800M)</x:v>
      </x:c>
      <x:c r="D17" s="5" t="str">
        <x:v>EUR</x:v>
      </x:c>
      <x:c r="E17" s="5" t="str">
        <x:v>FY2024</x:v>
      </x:c>
      <x:c r="F17" s="20" t="n">
        <x:v>8414</x:v>
      </x:c>
      <x:c r="G17" s="5" t="str">
        <x:v>Fresenius Kabi global business-segment revenue</x:v>
      </x:c>
      <x:c r="H17" s="5" t="str">
        <x:v>SUPPORTED_WITH_SCOPE_LIMIT</x:v>
      </x:c>
      <x:c r="I17" s="5" t="str">
        <x:v>Swedish-affiliate estimate4800SEK million not verified.8414 is global Kabi segment, not Brunna/Uppsala revenue.</x:v>
      </x:c>
      <x:c r="J17" s="12" t="n">
        <x:v>46293.40738425926</x:v>
      </x:c>
      <x:c r="L17" t="str">
        <x:v>https://report.fresenius.com/2024/annual-report/group-management-report/economic-report/results-of-operations.html | Annual report: Results of operations</x:v>
      </x:c>
    </x:row>
    <x:row r="18" ht="80" customHeight="1">
      <x:c r="A18" s="5" t="str">
        <x:v>Fresenius Kabi</x:v>
      </x:c>
      <x:c r="B18" s="5" t="str">
        <x:v>rd spend</x:v>
      </x:c>
      <x:c r="C18" s="5" t="str">
        <x:v>EUR 636.0M (~SEK 7.2B group R&amp;D)</x:v>
      </x:c>
      <x:c r="D18" s="5" t="str">
        <x:v>EUR</x:v>
      </x:c>
      <x:c r="E18" s="5" t="str">
        <x:v>FY2024</x:v>
      </x:c>
      <x:c r="F18" s="20" t="n">
        <x:v>636</x:v>
      </x:c>
      <x:c r="G18" s="5" t="str">
        <x:v>Fresenius Group R&amp;D expense before special items and excluding impairments of capitalized in-process R&amp;D</x:v>
      </x:c>
      <x:c r="H18" s="5" t="str">
        <x:v>ENTITY_SCOPE_MISMATCH</x:v>
      </x:c>
      <x:c r="I18" s="5" t="str">
        <x:v>636 supports group adjusted expense, not standalone Kabi or Swedish sites. Kabi ratio7.5% stated, but do not derive an exact Kabi amount from rounded ratio. SEK7.2B conversion unsupported without FX basis.</x:v>
      </x:c>
      <x:c r="J18" s="12" t="n">
        <x:v>46293.40738425926</x:v>
      </x:c>
      <x:c r="L18" t="str">
        <x:v>https://report.fresenius.com/2024/annual-report/group-management-report/fundamental-information-about-the-group/research-and-development.html | Annual report: Research and development</x:v>
      </x:c>
    </x:row>
    <x:row r="19" ht="80" customHeight="1">
      <x:c r="A19" s="5" t="str">
        <x:v>Camurus</x:v>
      </x:c>
      <x:c r="B19" s="5" t="str">
        <x:v>revenue</x:v>
      </x:c>
      <x:c r="C19" s="5" t="str">
        <x:v>SEK 1,868.0M</x:v>
      </x:c>
      <x:c r="D19" s="5" t="str">
        <x:v>SEK</x:v>
      </x:c>
      <x:c r="E19" s="5" t="str">
        <x:v>FY2024</x:v>
      </x:c>
      <x:c r="F19" s="20" t="n">
        <x:v>1868</x:v>
      </x:c>
      <x:c r="G19" s="5" t="str">
        <x:v>Consolidated total revenue at reported million precision</x:v>
      </x:c>
      <x:c r="H19" s="5" t="str">
        <x:v>SUPPORTED</x:v>
      </x:c>
      <x:c r="I19" s="5" t="str">
        <x:v>Worldwide group total including product sales, royalties and milestone income, not Lund facility revenue.</x:v>
      </x:c>
      <x:c r="J19" s="12" t="n">
        <x:v>46293.40738425926</x:v>
      </x:c>
      <x:c r="L19" t="str">
        <x:v>https://www.camurus.com/files/Main/13456/4273592/camurus-annual-report-2024.pdf | Annual report pages6 and84</x:v>
      </x:c>
    </x:row>
    <x:row r="20" ht="80" customHeight="1">
      <x:c r="A20" s="5" t="str">
        <x:v>Camurus</x:v>
      </x:c>
      <x:c r="B20" s="5" t="str">
        <x:v>rd spend</x:v>
      </x:c>
      <x:c r="C20" s="5" t="str">
        <x:v>SEK 485.0M</x:v>
      </x:c>
      <x:c r="D20" s="5" t="str">
        <x:v>SEK</x:v>
      </x:c>
      <x:c r="E20" s="5" t="str">
        <x:v>FY2024</x:v>
      </x:c>
      <x:c r="F20" s="20" t="n">
        <x:v>684</x:v>
      </x:c>
      <x:c r="G20" s="5" t="str">
        <x:v>Consolidated R&amp;D expenditure at reported million precision</x:v>
      </x:c>
      <x:c r="H20" s="5" t="str">
        <x:v>CONTRADICTED</x:v>
      </x:c>
      <x:c r="I20" s="5" t="str">
        <x:v>Original485 not supported by FY2024 report;684 stated, with FY2023 comparator638.</x:v>
      </x:c>
      <x:c r="J20" s="12" t="n">
        <x:v>46293.40738425926</x:v>
      </x:c>
      <x:c r="L20" t="str">
        <x:v>https://www.camurus.com/files/Main/13456/4273592/camurus-annual-report-2024.pdf | Annual report page86</x:v>
      </x:c>
    </x:row>
    <x:row r="21" ht="80" customHeight="1">
      <x:c r="A21" s="5" t="str">
        <x:v>Biotage</x:v>
      </x:c>
      <x:c r="B21" s="5" t="str">
        <x:v>revenue</x:v>
      </x:c>
      <x:c r="C21" s="5" t="str">
        <x:v>SEK 2,056.0M</x:v>
      </x:c>
      <x:c r="D21" s="5" t="str">
        <x:v>SEK</x:v>
      </x:c>
      <x:c r="E21" s="5" t="str">
        <x:v>FY2024</x:v>
      </x:c>
      <x:c r="F21" s="20" t="n">
        <x:v>2056</x:v>
      </x:c>
      <x:c r="G21" s="5" t="str">
        <x:v>Consolidated net sales</x:v>
      </x:c>
      <x:c r="H21" s="5" t="str">
        <x:v>SUPPORTED</x:v>
      </x:c>
      <x:c r="I21" s="5" t="str">
        <x:v>Worldwide group, not Uppsala facility revenue.</x:v>
      </x:c>
      <x:c r="J21" s="12" t="n">
        <x:v>46293.40738425926</x:v>
      </x:c>
      <x:c r="L21" t="str">
        <x:v>https://www.biotage.com/hubfs/Unsorted%202024-%20Apr/1.%20DOCUMENTS%20(APRIL%202024)/Investor%20relations%20documents/General%20Meetings/2025/Biotage%20Annual%20and%20Sustainability%20Report%202024.pdf?hsLang=en | Annual report page60</x:v>
      </x:c>
    </x:row>
    <x:row r="22" ht="80" customHeight="1">
      <x:c r="A22" s="5" t="str">
        <x:v>Biotage</x:v>
      </x:c>
      <x:c r="B22" s="5" t="str">
        <x:v>rd spend</x:v>
      </x:c>
      <x:c r="C22" s="5" t="str">
        <x:v>SEK 180.0M</x:v>
      </x:c>
      <x:c r="D22" s="5" t="str">
        <x:v>SEK</x:v>
      </x:c>
      <x:c r="E22" s="5" t="str">
        <x:v>FY2024</x:v>
      </x:c>
      <x:c r="F22" s="20" t="n">
        <x:v>180</x:v>
      </x:c>
      <x:c r="G22" s="5" t="str">
        <x:v>Consolidated R&amp;D income-statement expense</x:v>
      </x:c>
      <x:c r="H22" s="5" t="str">
        <x:v>SUPPORTED_WITH_DEFINITION_LIMIT</x:v>
      </x:c>
      <x:c r="I22" s="5" t="str">
        <x:v>180 is supported as expense, not total cash spend. Includes28 amortization/impairment of capitalized development;53 recognition of capitalized development appears separately. Do not mix it with gross investment measures.</x:v>
      </x:c>
      <x:c r="J22" s="12" t="n">
        <x:v>46293.40738425926</x:v>
      </x:c>
      <x:c r="L22" t="str">
        <x:v>https://www.biotage.com/hubfs/Unsorted%202024-%20Apr/1.%20DOCUMENTS%20(APRIL%202024)/Investor%20relations%20documents/General%20Meetings/2025/Biotage%20Annual%20and%20Sustainability%20Report%202024.pdf?hsLang=en | Annual report pages60,70 and77</x:v>
      </x:c>
    </x:row>
    <x:row r="23" ht="80" customHeight="1">
      <x:c r="A23" s="5" t="str">
        <x:v>Elekta</x:v>
      </x:c>
      <x:c r="B23" s="5" t="str">
        <x:v>revenue</x:v>
      </x:c>
      <x:c r="C23" s="5" t="str">
        <x:v>SEK 19,039.0M (SEK 19.04B)</x:v>
      </x:c>
      <x:c r="D23" s="5" t="str">
        <x:v>SEK</x:v>
      </x:c>
      <x:c r="E23" s="5" t="str">
        <x:v>FY2023/24</x:v>
      </x:c>
      <x:c r="F23" s="20" t="n">
        <x:v>18119</x:v>
      </x:c>
      <x:c r="G23" s="5" t="str">
        <x:v>Consolidated net sales for fiscal year ended30April2024</x:v>
      </x:c>
      <x:c r="H23" s="5" t="str">
        <x:v>CONTRADICTED</x:v>
      </x:c>
      <x:c r="I23" s="5" t="str">
        <x:v>19039 is not reported FY2023/24 net sales. Explicit fiscal year differs from calendar2024.</x:v>
      </x:c>
      <x:c r="J23" s="12" t="n">
        <x:v>46293.40738425926</x:v>
      </x:c>
      <x:c r="L23" t="str">
        <x:v>https://ir.elekta.com/files/investors/annual-reports/print/Print-Elekta-AR2324.pdf | Annual report pages22 and49</x:v>
      </x:c>
    </x:row>
    <x:row r="24" ht="80" customHeight="1">
      <x:c r="A24" s="5" t="str">
        <x:v>Elekta</x:v>
      </x:c>
      <x:c r="B24" s="5" t="str">
        <x:v>rd spend</x:v>
      </x:c>
      <x:c r="C24" s="5" t="str">
        <x:v>SEK 2,130.0M (SEK 2.13B)</x:v>
      </x:c>
      <x:c r="D24" s="5" t="str">
        <x:v>SEK</x:v>
      </x:c>
      <x:c r="E24" s="5" t="str">
        <x:v>FY2023/24</x:v>
      </x:c>
      <x:c r="F24" s="20" t="n">
        <x:v>1404</x:v>
      </x:c>
      <x:c r="G24" s="5" t="str">
        <x:v>Net R&amp;D expense in income statement</x:v>
      </x:c>
      <x:c r="H24" s="5" t="str">
        <x:v>DEFINITION_MISMATCH</x:v>
      </x:c>
      <x:c r="I24" s="5" t="str">
        <x:v>2130 unsupported by reviewed definitions. Net expense1404; capitalized R&amp;D1331; amortization511; adjusted gross R&amp;D expenditure2214. Unadjusted gross2224 is derived1404+1331-511, not separately quoted. Select an explicit basis; do not label net expense total spend.</x:v>
      </x:c>
      <x:c r="J24" s="12" t="n">
        <x:v>46293.40738425926</x:v>
      </x:c>
      <x:c r="L24" t="str">
        <x:v>https://ir.elekta.com/files/investors/annual-reports/print/Print-Elekta-AR2324.pdf | Annual report pages23 and105</x:v>
      </x:c>
    </x:row>
    <x:row r="25" ht="80" customHeight="1">
      <x:c r="A25" s="5" t="str">
        <x:v>Metenova</x:v>
      </x:c>
      <x:c r="B25" s="5" t="str">
        <x:v>Location</x:v>
      </x:c>
      <x:c r="C25" s="5" t="str">
        <x:v>ZZ, Sweden (Google); Gothenburg, Sweden (dossier)</x:v>
      </x:c>
      <x:c r="D25" s="5" t="str"/>
      <x:c r="E25" s="5" t="str">
        <x:v>Certificate valid 2024-12-27 to 2027-12-26</x:v>
      </x:c>
      <x:c r="F25" s="20" t="str">
        <x:v>Mölndal, Sweden</x:v>
      </x:c>
      <x:c r="G25" s="5" t="str">
        <x:v>Metenova AB, Norra Ågatan 32, 431 35 Mölndal; company-hosted DNV certificate, page 1; development, final assembly and sales scope</x:v>
      </x:c>
      <x:c r="H25" s="5" t="str">
        <x:v>CORRECTED DISPLAY; RAW SOURCE RETAINED</x:v>
      </x:c>
      <x:c r="I25" s="5" t="str">
        <x:v>Correct the Directory location. This does not verify financial claims, legal identity of other entities or suitability for safety-critical use.</x:v>
      </x:c>
      <x:c r="J25" s="12" t="n">
        <x:v>46293.40738425926</x:v>
      </x:c>
      <x:c r="L25" t="str">
        <x:v>https://www.metenova.com/hubfs/Metenova_June2019/pdf/ISO%209001%20certificate%20Metenova%20AB.pdf?hsLang=en | Metenova AB, Norra Ågatan 32, 431 35 Mölndal; company-hosted DNV certificate, page 1; development, final assembly and sales scope</x:v>
      </x:c>
    </x:row>
    <x:row r="26" ht="80" customHeight="1">
      <x:c r="A26" s="5" t="str">
        <x:v>Avia Pharma</x:v>
      </x:c>
      <x:c r="B26" s="5" t="str">
        <x:v>Revenue</x:v>
      </x:c>
      <x:c r="C26" s="5" t="str">
        <x:v>&gt;SEK 600.0M; FY2023/24</x:v>
      </x:c>
      <x:c r="D26" s="5" t="str">
        <x:v>SEK</x:v>
      </x:c>
      <x:c r="E26" s="5" t="str">
        <x:v>Annual turnover statement at 2024-02-02; fiscal period unspecified</x:v>
      </x:c>
      <x:c r="F26" s="20" t="n">
        <x:v>600</x:v>
      </x:c>
      <x:c r="G26" s="5" t="str">
        <x:v>Lower bound (&gt;), annual turnover after Neubourg acquisition; group scope</x:v>
      </x:c>
      <x:c r="H26" s="5" t="str">
        <x:v>LOWER BOUND SUPPORTED; FISCAL PERIOD NOT ESTABLISHED</x:v>
      </x:c>
      <x:c r="I26" s="5" t="str">
        <x:v>Company announcement supports &gt;SEK 600m but does not establish FY2023/24 audited revenue. Retain &gt; qualifier; do not replace with exact 600 or treat as a fiscal-year actual. R&amp;D estimate remains unverified.</x:v>
      </x:c>
      <x:c r="J26" s="12" t="n">
        <x:v>46293.40738425926</x:v>
      </x:c>
      <x:c r="L26" t="str">
        <x:v>https://aviapharma.se/avia-pharma-welcomes-impilo-as-a-new-partner/ | Lower bound (&gt;), annual turnover after Neubourg acquisition; group scope</x:v>
      </x:c>
    </x:row>
    <x:row r="27" ht="80" customHeight="1">
      <x:c r="A27" s="5" t="str">
        <x:v>Cinclus Pharma</x:v>
      </x:c>
      <x:c r="B27" s="5" t="str">
        <x:v>Revenue</x:v>
      </x:c>
      <x:c r="C27" s="5" t="str">
        <x:v>SEK 5.96M (pre-commercial / interest); FY2023/24</x:v>
      </x:c>
      <x:c r="D27" s="5" t="str">
        <x:v>SEK</x:v>
      </x:c>
      <x:c r="E27" s="5" t="str">
        <x:v>FY2024</x:v>
      </x:c>
      <x:c r="F27" s="20" t="n">
        <x:v>4.58</x:v>
      </x:c>
      <x:c r="G27" s="5" t="str">
        <x:v>Consolidated net sales; TSEK 4580 divided by 1000</x:v>
      </x:c>
      <x:c r="H27" s="5" t="str">
        <x:v>PERIOD / METRIC QUALIFICATION ERROR</x:v>
      </x:c>
      <x:c r="I27" s="5" t="str">
        <x:v>FY2024 net sales are 4.580 million; FY2023 net sales are 5.959 million. The source leading 5.96 matches rounded prior-year net sales, not FY2024; its interest label is unsupported. R&amp;D not checked.</x:v>
      </x:c>
      <x:c r="J27" s="12" t="n">
        <x:v>46293.40738425926</x:v>
      </x:c>
      <x:c r="L27" t="str">
        <x:v>https://cincluspharma.com/media/1jvfi5bc/cinclus-pharma-annual-report-2024.pdf | Annual report page 3</x:v>
      </x:c>
    </x:row>
    <x:row r="28" ht="80" customHeight="1">
      <x:c r="A28" s="5" t="str">
        <x:v>Cinclus Pharma</x:v>
      </x:c>
      <x:c r="B28" s="5" t="str">
        <x:v>Revenue prior year</x:v>
      </x:c>
      <x:c r="C28" s="5" t="str">
        <x:v>SEK 5.96M (pre-commercial / interest); FY2023/24</x:v>
      </x:c>
      <x:c r="D28" s="5" t="str">
        <x:v>SEK</x:v>
      </x:c>
      <x:c r="E28" s="5" t="str">
        <x:v>FY2023 comparator</x:v>
      </x:c>
      <x:c r="F28" s="20" t="n">
        <x:v>5.959</x:v>
      </x:c>
      <x:c r="G28" s="5" t="str">
        <x:v>Consolidated net sales; TSEK 5959 divided by 1000</x:v>
      </x:c>
      <x:c r="H28" s="5" t="str">
        <x:v>ROUNDED PRIOR YEAR; INTEREST LABEL UNSUPPORTED</x:v>
      </x:c>
      <x:c r="I28" s="5" t="str">
        <x:v>Keep the actual fiscal year attached to each amount. Do not treat FY2023/24 as a single reporting year for this company.</x:v>
      </x:c>
      <x:c r="J28" s="12" t="n">
        <x:v>46293.40738425926</x:v>
      </x:c>
      <x:c r="L28" t="str">
        <x:v>https://cincluspharma.com/media/1jvfi5bc/cinclus-pharma-annual-report-2024.pdf | Annual report page 3</x:v>
      </x:c>
    </x:row>
    <x:row r="29" ht="80" customHeight="1">
      <x:c r="A29" s="5" t="str">
        <x:v>DIGNITANA</x:v>
      </x:c>
      <x:c r="B29" s="5" t="str">
        <x:v>Revenue</x:v>
      </x:c>
      <x:c r="C29" s="5" t="str">
        <x:v>SEK 91.8M (FY2023; ~SEK 88M in FY2024)</x:v>
      </x:c>
      <x:c r="D29" s="5" t="str">
        <x:v>SEK</x:v>
      </x:c>
      <x:c r="E29" s="5" t="str">
        <x:v>FY2024</x:v>
      </x:c>
      <x:c r="F29" s="20" t="n">
        <x:v>89.83</x:v>
      </x:c>
      <x:c r="G29" s="5" t="str">
        <x:v>Group net sales, TSEK 89830 divided by 1000; total revenue is 90.451 million</x:v>
      </x:c>
      <x:c r="H29" s="5" t="str">
        <x:v>CONTRADICTED / MIXED PERIODS</x:v>
      </x:c>
      <x:c r="I29" s="5" t="str">
        <x:v>Source FY2024 approximation 88 does not match 89.830 net sales or 90.451 total revenue. R&amp;D remains unverified.</x:v>
      </x:c>
      <x:c r="J29" s="12" t="n">
        <x:v>46293.40738425926</x:v>
      </x:c>
      <x:c r="L29" t="str">
        <x:v>https://dignitana.com/wp-content/uploads/2025/02/Dignitana-2024-Q4-20250220.pdf | Year-end report page 2</x:v>
      </x:c>
    </x:row>
    <x:row r="30" ht="80" customHeight="1">
      <x:c r="A30" s="5" t="str">
        <x:v>DIGNITANA</x:v>
      </x:c>
      <x:c r="B30" s="5" t="str">
        <x:v>Revenue prior year</x:v>
      </x:c>
      <x:c r="C30" s="5" t="str">
        <x:v>SEK 91.8M (FY2023; ~SEK 88M in FY2024)</x:v>
      </x:c>
      <x:c r="D30" s="5" t="str">
        <x:v>SEK</x:v>
      </x:c>
      <x:c r="E30" s="5" t="str">
        <x:v>FY2023 comparator</x:v>
      </x:c>
      <x:c r="F30" s="20" t="n">
        <x:v>86.063</x:v>
      </x:c>
      <x:c r="G30" s="5" t="str">
        <x:v>Group net sales; total revenue is 89.025 million</x:v>
      </x:c>
      <x:c r="H30" s="5" t="str">
        <x:v>CONTRADICTED</x:v>
      </x:c>
      <x:c r="I30" s="5" t="str">
        <x:v>91.8 does not match the published comparative net-sales or total-revenue amounts. Retain source claim for traceability only.</x:v>
      </x:c>
      <x:c r="J30" s="12" t="n">
        <x:v>46293.40738425926</x:v>
      </x:c>
      <x:c r="L30" t="str">
        <x:v>https://dignitana.com/wp-content/uploads/2025/02/Dignitana-2024-Q4-20250220.pdf | Year-end report page 2</x:v>
      </x:c>
    </x:row>
    <x:row r="31" ht="80" customHeight="1">
      <x:c r="A31" s="5" t="str">
        <x:v>Cellink</x:v>
      </x:c>
      <x:c r="B31" s="5" t="str">
        <x:v>Entity scope</x:v>
      </x:c>
      <x:c r="C31" s="5" t="str">
        <x:v>SEK 2240M BICO consolidated; Cellink ~SEK 600M; R&amp;D215M BICO Group</x:v>
      </x:c>
      <x:c r="D31" s="5" t="str">
        <x:v>SEK</x:v>
      </x:c>
      <x:c r="E31" s="5" t="str">
        <x:v>FY2023/24 source label; unresolved</x:v>
      </x:c>
      <x:c r="F31" s="20"/>
      <x:c r="G31" s="5" t="str">
        <x:v>SOURCE TEXT ONLY — no independent verification for this company</x:v>
      </x:c>
      <x:c r="H31" s="5" t="str">
        <x:v>PARENT / SUBSIDIARY SCOPE UNRESOLVED</x:v>
      </x:c>
      <x:c r="I31" s="5" t="str">
        <x:v>The source explicitly describes parent-group amounts. They must not be represented as Cellink subsidiary financials. No unsupported subsidiary substitution or ratio is calculated.</x:v>
      </x:c>
      <x:c r="J31" s="12" t="n">
        <x:v>46293.40738425926</x:v>
      </x:c>
      <x:c r="L31" t="str">
        <x:v>Input source: master_financials.json; NOT a primary verification</x:v>
      </x:c>
    </x:row>
  </x:sheetData>
  <x:pageMargins left="0.7" right="0.7" top="0.75" bottom="0.75" header="0.3" footer="0.3"/>
  <x:tableParts count="1">
    <x:tablePart xmlns:r="http://schemas.openxmlformats.org/officeDocument/2006/relationships" r:id="Rfc4765ee0d214887"/>
  </x:tableParts>
</x:worksheet>
</file>

<file path=xl/worksheets/sheet7.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27" hidden="0" customWidth="1"/>
    <x:col min="2" max="2" width="80" hidden="0" customWidth="1"/>
    <x:col min="3" max="3" width="80" hidden="0" customWidth="1"/>
    <x:col min="4" max="4" width="32" hidden="0" customWidth="1"/>
  </x:cols>
  <x:sheetData>
    <x:row r="1">
      <x:c r="A1" s="24"/>
      <x:c r="B1" s="24"/>
      <x:c r="C1" s="24"/>
      <x:c r="D1" s="24"/>
    </x:row>
    <x:row r="2" ht="28" customHeight="1">
      <x:c r="A2" s="25" t="str">
        <x:v>Nordic medical strategy and document integration</x:v>
      </x:c>
      <x:c r="B2" s="24"/>
      <x:c r="C2" s="24"/>
      <x:c r="D2" s="24"/>
    </x:row>
    <x:row r="3">
      <x:c r="A3" s="24" t="str">
        <x:v>v0003 · 2026-09-28T10:47:52Z (UTC)</x:v>
      </x:c>
      <x:c r="B3" s="24"/>
      <x:c r="C3" s="24"/>
      <x:c r="D3" s="24"/>
    </x:row>
    <x:row r="4" ht="32" customHeight="1">
      <x:c r="A4" s="27" t="str">
        <x:v>Historical source content. Strategy is proposed; financial, competitor, regulatory and clinical claims require revalidation. Earlier ratings are superseded.</x:v>
      </x:c>
      <x:c r="B4" s="24"/>
      <x:c r="C4" s="24"/>
      <x:c r="D4" s="24"/>
    </x:row>
    <x:row r="5">
      <x:c r="A5" s="24"/>
      <x:c r="B5" s="24"/>
      <x:c r="C5" s="24"/>
      <x:c r="D5" s="24"/>
    </x:row>
    <x:row r="6">
      <x:c r="A6" s="24"/>
      <x:c r="B6" s="24"/>
      <x:c r="C6" s="24"/>
      <x:c r="D6" s="24"/>
    </x:row>
    <x:row r="7" ht="42" customHeight="1">
      <x:c r="A7" s="29" t="str">
        <x:v>Topic</x:v>
      </x:c>
      <x:c r="B7" s="29" t="str">
        <x:v>Incorporated information</x:v>
      </x:c>
      <x:c r="C7" s="29" t="str">
        <x:v>Qualification / next step</x:v>
      </x:c>
      <x:c r="D7" s="29" t="str">
        <x:v>Source locator</x:v>
      </x:c>
    </x:row>
    <x:row r="8" ht="42" customHeight="1">
      <x:c r="A8" s="5" t="str">
        <x:v>Use the workbook</x:v>
      </x:c>
      <x:c r="B8" s="5" t="str">
        <x:v>Start with Target_Accounts and Proposed_Offers. Use Peer_Profiles for source-specific competitor positioning.</x:v>
      </x:c>
      <x:c r="C8" s="5" t="str">
        <x:v>Source proposals; no outreach or agreements recorded.</x:v>
      </x:c>
      <x:c r="D8" s="5" t="str">
        <x:v>D01, D07, D08</x:v>
      </x:c>
    </x:row>
    <x:row r="9" ht="56" customHeight="1">
      <x:c r="A9" s="5" t="str">
        <x:v>Eight source documents</x:v>
      </x:c>
      <x:c r="B9" s="5" t="str">
        <x:v>Full table fields appear in Document_Tables; narrative, slide content and diagrams appear in Document_Notes. Versions records file hashes.</x:v>
      </x:c>
      <x:c r="C9" s="5" t="str">
        <x:v>Filter by document ID, section and source row.</x:v>
      </x:c>
      <x:c r="D9" s="5" t="str">
        <x:v>D01–D08</x:v>
      </x:c>
    </x:row>
    <x:row r="10" ht="56" customHeight="1">
      <x:c r="A10" s="5" t="str">
        <x:v>Three operational pillars</x:v>
      </x:c>
      <x:c r="B10" s="5" t="str">
        <x:v>Commercial sales visibility and gross-to-net analysis; R&amp;D productivity and trial burn monitoring; API margin and chemical yield analysis.</x:v>
      </x:c>
      <x:c r="C10" s="5" t="str">
        <x:v>Blueprint concepts and example claims, not validated clinical or manufacturing controls.</x:v>
      </x:c>
      <x:c r="D10" s="5" t="str">
        <x:v>D05</x:v>
      </x:c>
    </x:row>
    <x:row r="11" ht="42" customHeight="1">
      <x:c r="A11" s="5" t="str">
        <x:v>Ecosystem routes</x:v>
      </x:c>
      <x:c r="B11" s="5" t="str">
        <x:v>Cluster outreach, investor portfolio introductions and consultancy partnerships accompany direct account targeting.</x:v>
      </x:c>
      <x:c r="C11" s="5" t="str">
        <x:v>Targets, prospective partners and proposed owners; relationships are not confirmed.</x:v>
      </x:c>
      <x:c r="D11" s="5" t="str">
        <x:v>D02</x:v>
      </x:c>
    </x:row>
    <x:row r="12" ht="42" customHeight="1">
      <x:c r="A12" s="5" t="str">
        <x:v>Existing financial review</x:v>
      </x:c>
      <x:c r="B12" s="5" t="str">
        <x:v>Directory and Company_Financials preserve v2. Review_Evidence retains primary-source findings and qualifications.</x:v>
      </x:c>
      <x:c r="C12" s="5" t="str">
        <x:v>The new dossier import does not supersede checked values.</x:v>
      </x:c>
      <x:c r="D12" s="5" t="str">
        <x:v>D06; Review_Evidence</x:v>
      </x:c>
    </x:row>
    <x:row r="13" ht="42" customHeight="1">
      <x:c r="A13" s="5" t="str">
        <x:v>Price boundary conflict</x:v>
      </x:c>
      <x:c r="B13" s="5" t="str">
        <x:v>The six offer prices range from EUR 28,000 to EUR 35,000 inclusive. Two are exactly EUR 35,000.</x:v>
      </x:c>
      <x:c r="C13" s="5" t="str">
        <x:v>Source heading says &lt;EUR 35,000. EUR and SEK are separate proposals, not a verified FX conversion.</x:v>
      </x:c>
      <x:c r="D13" s="5" t="str">
        <x:v>D01, section 8</x:v>
      </x:c>
    </x:row>
    <x:row r="14" ht="42" customHeight="1">
      <x:c r="A14" s="5" t="str">
        <x:v>Procurement assumptions</x:v>
      </x:c>
      <x:c r="B14" s="5" t="str">
        <x:v>Local incorporation and proposed prices are asserted to simplify onboarding.</x:v>
      </x:c>
      <x:c r="C14" s="5" t="str">
        <x:v>Eligibility and buyer purchasing authority require case-specific confirmation; no bypass established.</x:v>
      </x:c>
      <x:c r="D14" s="5" t="str">
        <x:v>D01, sections 10 and 12.3</x:v>
      </x:c>
    </x:row>
    <x:row r="15" ht="42" customHeight="1">
      <x:c r="A15" s="5" t="str">
        <x:v>Target conflict</x:v>
      </x:c>
      <x:c r="B15" s="5" t="str">
        <x:v>Month 1 narrative targets 30 discovery meetings; revenue table targets 12.</x:v>
      </x:c>
      <x:c r="C15" s="5" t="str">
        <x:v>Reconcile before using either target as an operating commitment.</x:v>
      </x:c>
      <x:c r="D15" s="5" t="str">
        <x:v>D01, sections 11 and 11.1</x:v>
      </x:c>
    </x:row>
    <x:row r="16" ht="42" customHeight="1">
      <x:c r="A16" s="5" t="str">
        <x:v>Revenue definitions</x:v>
      </x:c>
      <x:c r="B16" s="5" t="str">
        <x:v>EUR 561,000 cumulative 90-day revenue and EUR 1.2m+ ARR are separate source claims. Ecosystem forecasts use another plan.</x:v>
      </x:c>
      <x:c r="C16" s="5" t="str">
        <x:v>Do not combine pipeline, signed contract value, recognized revenue and recurring ARR.</x:v>
      </x:c>
      <x:c r="D16" s="5" t="str">
        <x:v>D01-T06; D02-T04</x:v>
      </x:c>
    </x:row>
    <x:row r="17" ht="42" customHeight="1">
      <x:c r="A17" s="5" t="str">
        <x:v>Directory population</x:v>
      </x:c>
      <x:c r="B17" s="5" t="str">
        <x:v>135 source records, 127 company names, 134 company/location keys in the preserved workbook.</x:v>
      </x:c>
      <x:c r="C17" s="5" t="str">
        <x:v>Source references to 135 distinct facilities are not established by these records.</x:v>
      </x:c>
      <x:c r="D17" s="5" t="str">
        <x:v>D06; Directory</x:v>
      </x:c>
    </x:row>
    <x:row r="18" ht="42" customHeight="1">
      <x:c r="A18" s="5" t="str">
        <x:v>Competitor population conflict</x:v>
      </x:c>
      <x:c r="B18" s="5" t="str">
        <x:v>Deck includes Key2Compliance and Syntagon; peer dossier profiles include ProPharma and IQVIA instead.</x:v>
      </x:c>
      <x:c r="C18" s="5" t="str">
        <x:v>Keep the two lists separate. Shared names do not prove identical legal-entity scope.</x:v>
      </x:c>
      <x:c r="D18" s="5" t="str">
        <x:v>D07 slide 3; D08 section 2</x:v>
      </x:c>
    </x:row>
    <x:row r="19" ht="42" customHeight="1">
      <x:c r="A19" s="5" t="str">
        <x:v>Competitor metric conflicts</x:v>
      </x:c>
      <x:c r="B19" s="5" t="str">
        <x:v>Examples: Knightec ~800 vs ~900, Qadvis ~35 vs ~25, Semcon ~1,200 vs ~1,800 total (~300 life sciences).</x:v>
      </x:c>
      <x:c r="C19" s="5" t="str">
        <x:v>Undated headcount claims differ in scope. No current headcount chosen or averaged.</x:v>
      </x:c>
      <x:c r="D19" s="5" t="str">
        <x:v>D07 slide 3; D08 section 2</x:v>
      </x:c>
    </x:row>
    <x:row r="20" ht="42" customHeight="1">
      <x:c r="A20" s="5" t="str">
        <x:v>Competitor capability claims</x:v>
      </x:c>
      <x:c r="B20" s="5" t="str">
        <x:v>Ratings, absence-of-capability assertions and ROI/clearance promises are source judgments.</x:v>
      </x:c>
      <x:c r="C20" s="5" t="str">
        <x:v>They are not independently verified comparisons or guaranteed outcomes.</x:v>
      </x:c>
      <x:c r="D20" s="5" t="str">
        <x:v>D07, D08</x:v>
      </x:c>
    </x:row>
    <x:row r="21" ht="42" customHeight="1">
      <x:c r="A21" s="5" t="str">
        <x:v>Incomplete slide heading</x:v>
      </x:c>
      <x:c r="B21" s="5" t="str">
        <x:v>Competitor slide 8 promises five discovery questions but lists three.</x:v>
      </x:c>
      <x:c r="C21" s="5" t="str">
        <x:v>Retain all three supplied questions; do not invent the missing two.</x:v>
      </x:c>
      <x:c r="D21" s="5" t="str">
        <x:v>D07 slide 8</x:v>
      </x:c>
    </x:row>
    <x:row r="22" ht="42" customHeight="1">
      <x:c r="A22" s="5" t="str">
        <x:v>Assessment status</x:v>
      </x:c>
      <x:c r="B22" s="5" t="str">
        <x:v>All eight sources carry the 2026-09-28 supersession notice.</x:v>
      </x:c>
      <x:c r="C22" s="5" t="str">
        <x:v>Historical ACH/Admiralty scores, SIL-6 claims and ratification statements are not current assessments or deployment permission.</x:v>
      </x:c>
      <x:c r="D22" s="5" t="str">
        <x:v>D01–D08, line 1</x:v>
      </x:c>
    </x:row>
  </x:sheetData>
  <x:mergeCells>
    <x:mergeCell ref="A2:D2"/>
    <x:mergeCell ref="A3:D3"/>
    <x:mergeCell ref="A4:D4"/>
  </x:mergeCells>
  <x:pageMargins left="0.7" right="0.7" top="0.75" bottom="0.75" header="0.3" footer="0.3"/>
  <x:tableParts count="1">
    <x:tablePart xmlns:r="http://schemas.openxmlformats.org/officeDocument/2006/relationships" r:id="R625347376bf042b6"/>
  </x:tableParts>
</x:worksheet>
</file>

<file path=xl/worksheets/sheet8.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12" hidden="0" customWidth="1"/>
    <x:col min="2" max="2" width="36" hidden="0" customWidth="1"/>
    <x:col min="3" max="3" width="32" hidden="0" customWidth="1"/>
    <x:col min="4" max="4" width="55" hidden="0" customWidth="1"/>
    <x:col min="5" max="5" width="60" hidden="0" customWidth="1"/>
    <x:col min="6" max="6" width="65" hidden="0" customWidth="1"/>
    <x:col min="7" max="7" width="40" hidden="0" customWidth="1"/>
    <x:col min="8" max="8" width="55" hidden="0" customWidth="1"/>
    <x:col min="9" max="9" width="70" hidden="0" customWidth="1"/>
    <x:col min="10" max="10" width="28" hidden="0" customWidth="1"/>
    <x:col min="11" max="11" width="3" hidden="0" customWidth="1"/>
    <x:col min="12" max="12" width="95" hidden="0" customWidth="1"/>
  </x:cols>
  <x:sheetData>
    <x:row r="1">
      <x:c r="A1" s="24"/>
      <x:c r="B1" s="24"/>
      <x:c r="C1" s="24"/>
      <x:c r="D1" s="24"/>
      <x:c r="E1" s="24"/>
      <x:c r="F1" s="24"/>
      <x:c r="G1" s="24"/>
      <x:c r="H1" s="24"/>
      <x:c r="I1" s="24"/>
      <x:c r="J1" s="24"/>
    </x:row>
    <x:row r="2" ht="28" customHeight="1">
      <x:c r="A2" s="25" t="str">
        <x:v>20 proposed Nordic target accounts</x:v>
      </x:c>
      <x:c r="B2" s="24"/>
      <x:c r="C2" s="24"/>
      <x:c r="D2" s="24"/>
      <x:c r="E2" s="24"/>
      <x:c r="F2" s="24"/>
      <x:c r="G2" s="24"/>
      <x:c r="H2" s="24"/>
      <x:c r="I2" s="24"/>
      <x:c r="J2" s="24"/>
    </x:row>
    <x:row r="3">
      <x:c r="A3" s="24" t="str">
        <x:v>v0003 · 2026-09-28T10:47:52Z (UTC)</x:v>
      </x:c>
      <x:c r="B3" s="24"/>
      <x:c r="C3" s="24"/>
      <x:c r="D3" s="24"/>
      <x:c r="E3" s="24"/>
      <x:c r="F3" s="24"/>
      <x:c r="G3" s="24"/>
      <x:c r="H3" s="24"/>
      <x:c r="I3" s="24"/>
      <x:c r="J3" s="24"/>
    </x:row>
    <x:row r="4" ht="32" customHeight="1">
      <x:c r="A4" s="27" t="str">
        <x:v>Account prioritization and buyer needs are source hypotheses. Confirm fit and entity scope before outreach.</x:v>
      </x:c>
      <x:c r="B4" s="24"/>
      <x:c r="C4" s="24"/>
      <x:c r="D4" s="24"/>
      <x:c r="E4" s="24"/>
      <x:c r="F4" s="24"/>
      <x:c r="G4" s="24"/>
      <x:c r="H4" s="24"/>
      <x:c r="I4" s="24"/>
      <x:c r="J4" s="24"/>
    </x:row>
    <x:row r="5">
      <x:c r="A5" s="24"/>
      <x:c r="B5" s="24"/>
      <x:c r="C5" s="24"/>
      <x:c r="D5" s="24"/>
      <x:c r="E5" s="24"/>
      <x:c r="F5" s="24"/>
      <x:c r="G5" s="24"/>
      <x:c r="H5" s="24"/>
      <x:c r="I5" s="24"/>
      <x:c r="J5" s="24"/>
    </x:row>
    <x:row r="6">
      <x:c r="A6" s="24"/>
      <x:c r="B6" s="24"/>
      <x:c r="C6" s="24"/>
      <x:c r="D6" s="24"/>
      <x:c r="E6" s="24"/>
      <x:c r="F6" s="24"/>
      <x:c r="G6" s="24"/>
      <x:c r="H6" s="24"/>
      <x:c r="I6" s="24"/>
      <x:c r="J6" s="24"/>
    </x:row>
    <x:row r="7" ht="42" customHeight="1">
      <x:c r="A7" s="29" t="str">
        <x:v>Source no.</x:v>
      </x:c>
      <x:c r="B7" s="29" t="str">
        <x:v>Account / location</x:v>
      </x:c>
      <x:c r="C7" s="29" t="str">
        <x:v>Source track</x:v>
      </x:c>
      <x:c r="D7" s="29" t="str">
        <x:v>Financial profile claim</x:v>
      </x:c>
      <x:c r="E7" s="29" t="str">
        <x:v>Products / therapeutic / manufacturing focus claim</x:v>
      </x:c>
      <x:c r="F7" s="29" t="str">
        <x:v>Friction hypothesis</x:v>
      </x:c>
      <x:c r="G7" s="29" t="str">
        <x:v>Buyer persona</x:v>
      </x:c>
      <x:c r="H7" s="29" t="str">
        <x:v>Proposed offer</x:v>
      </x:c>
      <x:c r="I7" s="29" t="str">
        <x:v>Value proposition claim</x:v>
      </x:c>
      <x:c r="J7" s="29" t="str">
        <x:v>Status</x:v>
      </x:c>
      <x:c r="L7" s="31" t="str">
        <x:v>Document source and locator</x:v>
      </x:c>
    </x:row>
    <x:row r="8" ht="84" customHeight="1">
      <x:c r="A8" s="5" t="n">
        <x:v>1</x:v>
      </x:c>
      <x:c r="B8" s="5" t="str">
        <x:v>Getinge AB (Gothenburg, Sweden)</x:v>
      </x:c>
      <x:c r="C8" s="5" t="str">
        <x:v>4.1 Track A: MedTech &amp; SaMD Titans</x:v>
      </x:c>
      <x:c r="D8" s="5" t="str">
        <x:v>Revenue: SEK 31.8 Billion (~€2.8B) | Employees: 11,000+ | Public (Nasdaq Stockholm: GETI-B).</x:v>
      </x:c>
      <x:c r="E8" s="5" t="str">
        <x:v>Servo-u / Servo-air ICU Ventilators, Maquet Operating Tables &amp; Lights, Cardiopulmonary Extracorporeal Systems, Cleanroom Autoclaves.</x:v>
      </x:c>
      <x:c r="F8" s="5" t="str">
        <x:v>Nordic and European hospital procurement boards are refusing capital expenditure outlays for ventilator fleets. Getinge faces margin pressure from Draeger and Hamilton Medical.</x:v>
      </x:c>
      <x:c r="G8" s="5" t="str">
        <x:v>*Chief Commercial Officer* / *VP Regulatory &amp; Quality Affairs*.</x:v>
      </x:c>
      <x:c r="H8" s="5" t="str">
        <x:v>Hospital CFO DaaS Procurement Calculator (€28,000 / SEK 320,000).</x:v>
      </x:c>
      <x:c r="I8" s="5" t="str">
        <x:v>Provide Getinge’s commercial sales force with an interactive health economic calculator demonstrating to hospital CFOs that transitioning to Getinge's Device-as-a-Service model yields a 14-month ROI via reduced ICU bed-days and automated consumable reordering.</x:v>
      </x:c>
      <x:c r="J8" s="5" t="str">
        <x:v>PROPOSED; claims unverified</x:v>
      </x:c>
      <x:c r="L8" s="31" t="str">
        <x:v>D01, Markdown line 152; http://nas-1.tail55d152.ts.net:4100/static/2S_CONSULTING_NORDIC_OUTREACH_STRATEGY.html</x:v>
      </x:c>
    </x:row>
    <x:row r="9" ht="98" customHeight="1">
      <x:c r="A9" s="5" t="n">
        <x:v>2</x:v>
      </x:c>
      <x:c r="B9" s="5" t="str">
        <x:v>Elekta AB (Stockholm, Sweden)</x:v>
      </x:c>
      <x:c r="C9" s="5" t="str">
        <x:v>4.1 Track A: MedTech &amp; SaMD Titans</x:v>
      </x:c>
      <x:c r="D9" s="5" t="str">
        <x:v>Revenue: SEK 18.5 Billion (~€1.6B) | Employees: 4,700+ | Public (Nasdaq Stockholm: EKTA-B).</x:v>
      </x:c>
      <x:c r="E9" s="5" t="str">
        <x:v>Leksell Gamma Knife, Elekta Harmony / Versa HD Linear Accelerators, MOSAIQ Oncology Information System, Elekta ONE Software.</x:v>
      </x:c>
      <x:c r="F9" s="5" t="str">
        <x:v>Software-intensive radiation therapy platforms face immediate scrutiny under the EU AI Act (Annex I/III) for automated radiation beam targeting algorithms and adaptive MRI-guided contouring.</x:v>
      </x:c>
      <x:c r="G9" s="5" t="str">
        <x:v>*Chief Technology Officer* / *VP Software Quality &amp; AI Governance*.</x:v>
      </x:c>
      <x:c r="H9" s="5" t="str">
        <x:v>EU AI Act High-Risk Software Audit &amp; Algorithmic Validation (€35,000 / SEK 400,000).</x:v>
      </x:c>
      <x:c r="I9" s="5" t="str">
        <x:v>Execute independent verification of machine-learning contouring algorithms on Numantra’s sovereign Finnish cloud infrastructure ([https://www.numantratech.ai/](https://www.numantratech.ai/)), generating tamper-proof algorithmic audit trails and MDCG 2019-16 compliance documentation.</x:v>
      </x:c>
      <x:c r="J9" s="5" t="str">
        <x:v>PROPOSED; claims unverified</x:v>
      </x:c>
      <x:c r="L9" s="31" t="str">
        <x:v>D01, Markdown line 160; http://nas-1.tail55d152.ts.net:4100/static/2S_CONSULTING_NORDIC_OUTREACH_STRATEGY.html</x:v>
      </x:c>
    </x:row>
    <x:row r="10" ht="70" customHeight="1">
      <x:c r="A10" s="5" t="n">
        <x:v>3</x:v>
      </x:c>
      <x:c r="B10" s="5" t="str">
        <x:v>Vitrolife AB (Gothenburg, Sweden)</x:v>
      </x:c>
      <x:c r="C10" s="5" t="str">
        <x:v>4.1 Track A: MedTech &amp; SaMD Titans</x:v>
      </x:c>
      <x:c r="D10" s="5" t="str">
        <x:v>Revenue: SEK 3.5 Billion (~€310M) | Employees: 1,100+ | Public (Nasdaq Stockholm: VITR).</x:v>
      </x:c>
      <x:c r="E10" s="5" t="str">
        <x:v>Time-lapse embryo incubation systems (EmbryoScope+), IVF culture media, cryopreservation systems, genomic testing software.</x:v>
      </x:c>
      <x:c r="F10" s="5" t="str">
        <x:v>Transitioning automated time-lapse AI embryo scoring software from IVDD to EU IVDR 2017/746 Class C/D. Notified Body capacity delays threaten commercial rollout in Southern and Western Europe.</x:v>
      </x:c>
      <x:c r="G10" s="5" t="str">
        <x:v>*VP Quality &amp; Regulatory Affairs* / *Head of Software R&amp;D*.</x:v>
      </x:c>
      <x:c r="H10" s="5" t="str">
        <x:v>IVDR Class C/D Technical File Remediation &amp; Algorithmic Audit (€35,000 / SEK 400,000).</x:v>
      </x:c>
      <x:c r="I10" s="5" t="str">
        <x:v>Deliver a complete gap remediation package for EmbryoScope AI scoring algorithms, authoring performance evaluation reports (PER) compliant with MDCG 2020-1.</x:v>
      </x:c>
      <x:c r="J10" s="5" t="str">
        <x:v>PROPOSED; claims unverified</x:v>
      </x:c>
      <x:c r="L10" s="31" t="str">
        <x:v>D01, Markdown line 168; http://nas-1.tail55d152.ts.net:4100/static/2S_CONSULTING_NORDIC_OUTREACH_STRATEGY.html</x:v>
      </x:c>
    </x:row>
    <x:row r="11" ht="84" customHeight="1">
      <x:c r="A11" s="5" t="n">
        <x:v>4</x:v>
      </x:c>
      <x:c r="B11" s="5" t="str">
        <x:v>Sectra AB (Linköping, Sweden)</x:v>
      </x:c>
      <x:c r="C11" s="5" t="str">
        <x:v>4.1 Track A: MedTech &amp; SaMD Titans</x:v>
      </x:c>
      <x:c r="D11" s="5" t="str">
        <x:v>Revenue: SEK 2.7 Billion (~€235M) | Employees: 1,000+ | Public (Nasdaq Stockholm: SECT-B).</x:v>
      </x:c>
      <x:c r="E11" s="5" t="str">
        <x:v>Enterprise PACS, Vendor Neutral Archive (VNA), Digital Pathology AI Suite, Orthopaedic Surgery Planning Software.</x:v>
      </x:c>
      <x:c r="F11" s="5" t="str">
        <x:v>Rapidly scaling third-party AI image diagnostic algorithms within the Sectra Amplifier Marketplace. Requires continuous software validation (EN 60601-1, ISO 14971) and cloud cybersecurity conformity under NIS2 and GDPR.</x:v>
      </x:c>
      <x:c r="G11" s="5" t="str">
        <x:v>*VP Medical Informatics* / *Head of Cybersecurity &amp; Compliance*.</x:v>
      </x:c>
      <x:c r="H11" s="5" t="str">
        <x:v>PACS AI Marketplace Algorithm Verification Engine (€32,000 / SEK 360,000).</x:v>
      </x:c>
      <x:c r="I11" s="5" t="str">
        <x:v>Provide a standardized verification wrapper for incoming third-party algorithms, ensuring automated conformity with MDR Rule 11 and EU AI Act Article 10 data governance rules.</x:v>
      </x:c>
      <x:c r="J11" s="5" t="str">
        <x:v>PROPOSED; claims unverified</x:v>
      </x:c>
      <x:c r="L11" s="31" t="str">
        <x:v>D01, Markdown line 176; http://nas-1.tail55d152.ts.net:4100/static/2S_CONSULTING_NORDIC_OUTREACH_STRATEGY.html</x:v>
      </x:c>
    </x:row>
    <x:row r="12" ht="70" customHeight="1">
      <x:c r="A12" s="5" t="n">
        <x:v>5</x:v>
      </x:c>
      <x:c r="B12" s="5" t="str">
        <x:v>RaySearch Laboratories AB (Stockholm, Sweden)</x:v>
      </x:c>
      <x:c r="C12" s="5" t="str">
        <x:v>4.1 Track A: MedTech &amp; SaMD Titans</x:v>
      </x:c>
      <x:c r="D12" s="5" t="str">
        <x:v>Revenue: SEK 1.05 Billion (~€92M) | Employees: 380+ | Public (Nasdaq Stockholm: RAY-B).</x:v>
      </x:c>
      <x:c r="E12" s="5" t="str">
        <x:v>RayStation Treatment Planning System, RayCare Oncology Information System, RayIntelligence Oncology Analytics.</x:v>
      </x:c>
      <x:c r="F12" s="5" t="str">
        <x:v>Deep learning automated organ segmentation and machine learning proton beam dose optimization require massive clinical verification documentation under MDR 2017/745.</x:v>
      </x:c>
      <x:c r="G12" s="5" t="str">
        <x:v>*VP Quality Assurance &amp; Regulatory Affairs* / *Chief Science Officer*.</x:v>
      </x:c>
      <x:c r="H12" s="5" t="str">
        <x:v>Deep Learning Algorithmic Risk Governance Package (€28,000 / SEK 320,000).</x:v>
      </x:c>
      <x:c r="I12" s="5" t="str">
        <x:v>Co-author clinical evaluation reports (CER) with empirical statistical benchmarking of contouring accuracy, slashing Notified Body technical clarification rounds.</x:v>
      </x:c>
      <x:c r="J12" s="5" t="str">
        <x:v>PROPOSED; claims unverified</x:v>
      </x:c>
      <x:c r="L12" s="31" t="str">
        <x:v>D01, Markdown line 184; http://nas-1.tail55d152.ts.net:4100/static/2S_CONSULTING_NORDIC_OUTREACH_STRATEGY.html</x:v>
      </x:c>
    </x:row>
    <x:row r="13" ht="70" customHeight="1">
      <x:c r="A13" s="5" t="n">
        <x:v>6</x:v>
      </x:c>
      <x:c r="B13" s="5" t="str">
        <x:v>Bactiguard AB (Stockholm, Sweden)</x:v>
      </x:c>
      <x:c r="C13" s="5" t="str">
        <x:v>4.1 Track A: MedTech &amp; SaMD Titans</x:v>
      </x:c>
      <x:c r="D13" s="5" t="str">
        <x:v>Revenue: SEK 250 Million (~€22M) | Employees: 200+ | Public (Nasdaq Stockholm: BACTI-B).</x:v>
      </x:c>
      <x:c r="E13" s="5" t="str">
        <x:v>Noble metal anti-infective coating technology (BIP) for Foley catheters, central venous catheters, and orthopedic trauma implants.</x:v>
      </x:c>
      <x:c r="F13" s="5" t="str">
        <x:v>Defending premium pricing against un-coated generic catheters in Nordic hospital tenders (*Region Stockholm*, *Region Skåne*).</x:v>
      </x:c>
      <x:c r="G13" s="5" t="str">
        <x:v>*Chief Commercial Officer* / *Head of Market Access &amp; Health Economics*.</x:v>
      </x:c>
      <x:c r="H13" s="5" t="str">
        <x:v>Catheter Total Cost of Care (TCC) Hospital Tender Engine (€28,000 / SEK 320,000).</x:v>
      </x:c>
      <x:c r="I13" s="5" t="str">
        <x:v>Model the financial impact of catheter-associated urinary tract infections (CAUTI) inside Bountytek AB's HEOR calculator, providing public tender boards with quantitative proof of ICU bed-day cost avoidance.</x:v>
      </x:c>
      <x:c r="J13" s="5" t="str">
        <x:v>PROPOSED; claims unverified</x:v>
      </x:c>
      <x:c r="L13" s="31" t="str">
        <x:v>D01, Markdown line 192; http://nas-1.tail55d152.ts.net:4100/static/2S_CONSULTING_NORDIC_OUTREACH_STRATEGY.html</x:v>
      </x:c>
    </x:row>
    <x:row r="14" ht="70" customHeight="1">
      <x:c r="A14" s="5" t="n">
        <x:v>7</x:v>
      </x:c>
      <x:c r="B14" s="5" t="str">
        <x:v>Mentice AB (Gothenburg, Sweden)</x:v>
      </x:c>
      <x:c r="C14" s="5" t="str">
        <x:v>4.1 Track A: MedTech &amp; SaMD Titans</x:v>
      </x:c>
      <x:c r="D14" s="5" t="str">
        <x:v>Revenue: SEK 240 Million (~€21M) | Employees: 130+ | Public (Nasdaq Stockholm: MNTC).</x:v>
      </x:c>
      <x:c r="E14" s="5" t="str">
        <x:v>Endovascular interventional medical simulation hardware, software simulators, anatomical flow models.</x:v>
      </x:c>
      <x:c r="F14" s="5" t="str">
        <x:v>Transitioning simulation platforms from academic training tools into certified software workflows used for pre-operative clinical decision support (Class IIa/IIb SaMD under MDR Rule 11).</x:v>
      </x:c>
      <x:c r="G14" s="5" t="str">
        <x:v>*VP Strategic Marketing &amp; Business Development* / *VP Software R&amp;D*.</x:v>
      </x:c>
      <x:c r="H14" s="5" t="str">
        <x:v>MDR Rule 11 SaMD Clinical Transition Audit (€28,000 / SEK 320,000).</x:v>
      </x:c>
      <x:c r="I14" s="5" t="str">
        <x:v>Structure the regulatory pathway for clinical decision support classification, opening recurring hospital clinical billing codes.</x:v>
      </x:c>
      <x:c r="J14" s="5" t="str">
        <x:v>PROPOSED; claims unverified</x:v>
      </x:c>
      <x:c r="L14" s="31" t="str">
        <x:v>D01, Markdown line 200; http://nas-1.tail55d152.ts.net:4100/static/2S_CONSULTING_NORDIC_OUTREACH_STRATEGY.html</x:v>
      </x:c>
    </x:row>
    <x:row r="15" ht="70" customHeight="1">
      <x:c r="A15" s="5" t="n">
        <x:v>8</x:v>
      </x:c>
      <x:c r="B15" s="5" t="str">
        <x:v>AMRA Medical AB (Linköping, Sweden)</x:v>
      </x:c>
      <x:c r="C15" s="5" t="str">
        <x:v>4.1 Track A: MedTech &amp; SaMD Titans</x:v>
      </x:c>
      <x:c r="D15" s="5" t="str">
        <x:v>High-growth venture-backed spin-out | 60+ Employees | Private.</x:v>
      </x:c>
      <x:c r="E15" s="5" t="str">
        <x:v>AMRA Researcher, AMRA Profiler (MRI-based body composition and muscle volume analysis software).</x:v>
      </x:c>
      <x:c r="F15" s="5" t="str">
        <x:v>Scaling clinical trial muscle biomarker profiling services to multinational biopharma sponsors while maintaining GCP and FDA 21 CFR Part 11 software audit compliance.</x:v>
      </x:c>
      <x:c r="G15" s="5" t="str">
        <x:v>*Chief Executive Officer* / *Head of Clinical Operations*.</x:v>
      </x:c>
      <x:c r="H15" s="5" t="str">
        <x:v>Biopharma GCP Cloud Data Pipeline Verification (€28,000 / SEK 320,000).</x:v>
      </x:c>
      <x:c r="I15" s="5" t="str">
        <x:v>Certify data pipelines on Numantra's Finnish sovereign cloud infrastructure, ensuring multi-site data integrity for Phase II/III metabolic and sarcopenia trials.</x:v>
      </x:c>
      <x:c r="J15" s="5" t="str">
        <x:v>PROPOSED; claims unverified</x:v>
      </x:c>
      <x:c r="L15" s="31" t="str">
        <x:v>D01, Markdown line 208; http://nas-1.tail55d152.ts.net:4100/static/2S_CONSULTING_NORDIC_OUTREACH_STRATEGY.html</x:v>
      </x:c>
    </x:row>
    <x:row r="16" ht="84" customHeight="1">
      <x:c r="A16" s="5" t="n">
        <x:v>9</x:v>
      </x:c>
      <x:c r="B16" s="5" t="str">
        <x:v>Swedish Orphan Biovitrum AB / Sobi (Stockholm, Sweden)</x:v>
      </x:c>
      <x:c r="C16" s="5" t="str">
        <x:v>4.2 Track B: Pharma, Biotech &amp; Chemical CDMO Powerhouses</x:v>
      </x:c>
      <x:c r="D16" s="5" t="str">
        <x:v>Revenue: SEK 22.1 Billion (~€1.95B) | Employees: 1,800+ | Public (Nasdaq Stockholm: SOBI).</x:v>
      </x:c>
      <x:c r="E16" s="5" t="str">
        <x:v>Rare diseases, Hematology (*Elocta*, *Alprolix*), Immunology (*Kineret*, *Gamifant*).</x:v>
      </x:c>
      <x:c r="F16" s="5" t="str">
        <x:v>Extreme gross-to-net (GTN) pricing erosion in public tenders across Scandinavia and Central Europe. Inability to monitor real-time stockist depletions (Tamro/Oriola) leads to unanticipated hospital penalty clawbacks.</x:v>
      </x:c>
      <x:c r="G16" s="5" t="str">
        <x:v>*Chief Commercial Officer* / *Head of Global Supply Chain &amp; Market Access*.</x:v>
      </x:c>
      <x:c r="H16" s="5" t="str">
        <x:v>Merck-Proven Commercial S&amp;OP &amp; GTN Leakage Diagnostic (€35,000 / SEK 400,000).</x:v>
      </x:c>
      <x:c r="I16" s="5" t="str">
        <x:v>Deploy 2S's S&amp;OP architecture to integrate primary SAP sales with secondary wholesaler sell-out data, identifying 3% to 5% in uncollected rebates and eliminating tender stockout penalties.</x:v>
      </x:c>
      <x:c r="J16" s="5" t="str">
        <x:v>PROPOSED; claims unverified</x:v>
      </x:c>
      <x:c r="L16" s="31" t="str">
        <x:v>D01, Markdown line 220; http://nas-1.tail55d152.ts.net:4100/static/2S_CONSULTING_NORDIC_OUTREACH_STRATEGY.html</x:v>
      </x:c>
    </x:row>
    <x:row r="17" ht="70" customHeight="1">
      <x:c r="A17" s="5" t="n">
        <x:v>10</x:v>
      </x:c>
      <x:c r="B17" s="5" t="str">
        <x:v>Novo Nordisk A/S (Copenhagen, Denmark &amp; Malmö Site)</x:v>
      </x:c>
      <x:c r="C17" s="5" t="str">
        <x:v>4.2 Track B: Pharma, Biotech &amp; Chemical CDMO Powerhouses</x:v>
      </x:c>
      <x:c r="D17" s="5" t="str">
        <x:v>Revenue: DKK 232 Billion (~€32B) | Employees: 64,000+ | Public (Nasdaq Copenhagen: NOVO-B).</x:v>
      </x:c>
      <x:c r="E17" s="5" t="str">
        <x:v>Diabetes, Obesity (*Ozempic*, *Wegovy*), Rare Blood and Endocrine Disorders.</x:v>
      </x:c>
      <x:c r="F17" s="5" t="str">
        <x:v>Staggering manufacturing capacity bottlenecks and cleanroom line turnaround delays for sterile injectable cartridge fill-finish lines across Nordic facilities.</x:v>
      </x:c>
      <x:c r="G17" s="5" t="str">
        <x:v>*VP Aseptic Manufacturing Operations* / *Head of Global Quality Control*.</x:v>
      </x:c>
      <x:c r="H17" s="5" t="str">
        <x:v>Unimark/Matix Sterile Cleanroom Turnaround Sprint (€35,000 / SEK 400,000).</x:v>
      </x:c>
      <x:c r="I17" s="5" t="str">
        <x:v>Apply 2S's cGMP cleanroom sanitization changeover protocol, cutting cleanroom turnaround downtime by 40% and reclaiming up to 18 operational production hours per week.</x:v>
      </x:c>
      <x:c r="J17" s="5" t="str">
        <x:v>PROPOSED; claims unverified</x:v>
      </x:c>
      <x:c r="L17" s="31" t="str">
        <x:v>D01, Markdown line 228; http://nas-1.tail55d152.ts.net:4100/static/2S_CONSULTING_NORDIC_OUTREACH_STRATEGY.html</x:v>
      </x:c>
    </x:row>
    <x:row r="18" ht="70" customHeight="1">
      <x:c r="A18" s="5" t="n">
        <x:v>11</x:v>
      </x:c>
      <x:c r="B18" s="5" t="str">
        <x:v>AstraZeneca AB (Gothenburg R&amp;D Hub, Sweden)</x:v>
      </x:c>
      <x:c r="C18" s="5" t="str">
        <x:v>4.2 Track B: Pharma, Biotech &amp; Chemical CDMO Powerhouses</x:v>
      </x:c>
      <x:c r="D18" s="5" t="str">
        <x:v>Global Revenue: $45.8 Billion (~€42B) | Gothenburg Site: 3,000+ Scientists &amp; Engineers.</x:v>
      </x:c>
      <x:c r="E18" s="5" t="str">
        <x:v>Cardiovascular, Renal &amp; Metabolism (CVRM), Respiratory &amp; Immunology, Oncology.</x:v>
      </x:c>
      <x:c r="F18" s="5" t="str">
        <x:v>Multi-million-dollar monthly cash burns in early-phase clinical trial patient screening across Scandinavian university clinics. Protocol exclusion bottlenecks delay trials by 4 to 8 months.</x:v>
      </x:c>
      <x:c r="G18" s="5" t="str">
        <x:v>*VP Clinical Development Operations (Gothenburg)* / *Head of Digital Health &amp; AI*.</x:v>
      </x:c>
      <x:c r="H18" s="5" t="str">
        <x:v>HCare360 NLP Scandinavian Clinical Cohort Acceleration Sprint (€35,000 / SEK 400,000).</x:v>
      </x:c>
      <x:c r="I18" s="5" t="str">
        <x:v>Deploy multilingual NLP to screen unstructured clinical records across Nordic university clinics, identifying eligible patient cohorts in 14 days and saving &gt;€500,000 in monthly trial burn.</x:v>
      </x:c>
      <x:c r="J18" s="5" t="str">
        <x:v>PROPOSED; claims unverified</x:v>
      </x:c>
      <x:c r="L18" s="31" t="str">
        <x:v>D01, Markdown line 236; http://nas-1.tail55d152.ts.net:4100/static/2S_CONSULTING_NORDIC_OUTREACH_STRATEGY.html</x:v>
      </x:c>
    </x:row>
    <x:row r="19" ht="70" customHeight="1">
      <x:c r="A19" s="5" t="n">
        <x:v>12</x:v>
      </x:c>
      <x:c r="B19" s="5" t="str">
        <x:v>Camurus AB (Lund, Sweden)</x:v>
      </x:c>
      <x:c r="C19" s="5" t="str">
        <x:v>4.2 Track B: Pharma, Biotech &amp; Chemical CDMO Powerhouses</x:v>
      </x:c>
      <x:c r="D19" s="5" t="str">
        <x:v>Revenue: SEK 1.7 Billion (~€150M) | Employees: 180+ | Public (Nasdaq Stockholm: CAMX).</x:v>
      </x:c>
      <x:c r="E19" s="5" t="str">
        <x:v>Long-acting lipid-based injectable therapies (*FluidCrystal* technology) for opioid dependence (*Buvidal*) and neuroendocrine tumors (*CAM2029*).</x:v>
      </x:c>
      <x:c r="F19" s="5" t="str">
        <x:v>Complex European hospital tendering and pharmacy dispensing models for controlled substances, requiring continuous supply forecasting to avoid regional stockout fines.</x:v>
      </x:c>
      <x:c r="G19" s="5" t="str">
        <x:v>*Chief Commercial Officer* / *VP Manufacturing &amp; Supply Chain*.</x:v>
      </x:c>
      <x:c r="H19" s="5" t="str">
        <x:v>Hospital Tendering S&amp;OP &amp; Buffer Stock Optimization (€28,000 / SEK 320,000).</x:v>
      </x:c>
      <x:c r="I19" s="5" t="str">
        <x:v>Build an algorithmic buffer-stock predictor synchronizing European tender awards with contract manufacturing batch release dates.</x:v>
      </x:c>
      <x:c r="J19" s="5" t="str">
        <x:v>PROPOSED; claims unverified</x:v>
      </x:c>
      <x:c r="L19" s="31" t="str">
        <x:v>D01, Markdown line 244; http://nas-1.tail55d152.ts.net:4100/static/2S_CONSULTING_NORDIC_OUTREACH_STRATEGY.html</x:v>
      </x:c>
    </x:row>
    <x:row r="20" ht="70" customHeight="1">
      <x:c r="A20" s="5" t="n">
        <x:v>13</x:v>
      </x:c>
      <x:c r="B20" s="5" t="str">
        <x:v>Cambrex Karlskoga AB (Karlskoga, Sweden)</x:v>
      </x:c>
      <x:c r="C20" s="5" t="str">
        <x:v>4.2 Track B: Pharma, Biotech &amp; Chemical CDMO Powerhouses</x:v>
      </x:c>
      <x:c r="D20" s="5" t="str">
        <x:v>Revenue: SEK 2.1 Billion (~€180M) | Employees: 450+ | Private (Cambrex Corporation).</x:v>
      </x:c>
      <x:c r="E20" s="5" t="str">
        <x:v>Small-molecule active pharmaceutical ingredient (API) chemical synthesis, energetic chemistry, controlled substances cGMP manufacturing.</x:v>
      </x:c>
      <x:c r="F20" s="5" t="str">
        <x:v>Aggressive price pressure from Indian and Chinese bulk chemical manufacturers, coupled with European REACH solvent handling regulations and high reactor idle turnaround times.</x:v>
      </x:c>
      <x:c r="G20" s="5" t="str">
        <x:v>*Managing Director* / *VP Chemical Operations &amp; Plant Engineering*.</x:v>
      </x:c>
      <x:c r="H20" s="5" t="str">
        <x:v>30-Day API Batch Yield &amp; Reactor Turnaround Diagnostic (€32,000 / SEK 360,000).</x:v>
      </x:c>
      <x:c r="I20" s="5" t="str">
        <x:v>Deploy activity-based chemical batch costing to optimize solvent recovery and slash hazardous reaction vessel changeover times by 35%.</x:v>
      </x:c>
      <x:c r="J20" s="5" t="str">
        <x:v>PROPOSED; claims unverified</x:v>
      </x:c>
      <x:c r="L20" s="31" t="str">
        <x:v>D01, Markdown line 252; http://nas-1.tail55d152.ts.net:4100/static/2S_CONSULTING_NORDIC_OUTREACH_STRATEGY.html</x:v>
      </x:c>
    </x:row>
    <x:row r="21" ht="56" customHeight="1">
      <x:c r="A21" s="5" t="n">
        <x:v>14</x:v>
      </x:c>
      <x:c r="B21" s="5" t="str">
        <x:v>PolyPeptide Group (Malmö Facility, Sweden)</x:v>
      </x:c>
      <x:c r="C21" s="5" t="str">
        <x:v>4.2 Track B: Pharma, Biotech &amp; Chemical CDMO Powerhouses</x:v>
      </x:c>
      <x:c r="D21" s="5" t="str">
        <x:v>Revenue: €280 Million | Employees: 1,200+ | Public (SIX Swiss Exchange: PPGN).</x:v>
      </x:c>
      <x:c r="E21" s="5" t="str">
        <x:v>Custom peptide chemical synthesis, solid-phase and liquid-phase synthesis for generic and novel therapeutic peptides.</x:v>
      </x:c>
      <x:c r="F21" s="5" t="str">
        <x:v>Extreme solvent consumption (DMF, NMP) and hazardous waste handling costs threatening European peptide synthesis margins.</x:v>
      </x:c>
      <x:c r="G21" s="5" t="str">
        <x:v>*Director of Malmö Operations* / *Head of Global Process Development*.</x:v>
      </x:c>
      <x:c r="H21" s="5" t="str">
        <x:v>Green Peptide Synthesis &amp; Solvent Recovery Cost Diagnostic (€32,000 / SEK 360,000).</x:v>
      </x:c>
      <x:c r="I21" s="5" t="str">
        <x:v>Apply chemical process engineering models to evaluate continuous-flow peptide synthesis and in-line solvent recycling, cutting raw material costs by 20%.</x:v>
      </x:c>
      <x:c r="J21" s="5" t="str">
        <x:v>PROPOSED; claims unverified</x:v>
      </x:c>
      <x:c r="L21" s="31" t="str">
        <x:v>D01, Markdown line 260; http://nas-1.tail55d152.ts.net:4100/static/2S_CONSULTING_NORDIC_OUTREACH_STRATEGY.html</x:v>
      </x:c>
    </x:row>
    <x:row r="22" ht="56" customHeight="1">
      <x:c r="A22" s="5" t="n">
        <x:v>15</x:v>
      </x:c>
      <x:c r="B22" s="5" t="str">
        <x:v>Recipharm AB (Stockholm, Sweden)</x:v>
      </x:c>
      <x:c r="C22" s="5" t="str">
        <x:v>4.2 Track B: Pharma, Biotech &amp; Chemical CDMO Powerhouses</x:v>
      </x:c>
      <x:c r="D22" s="5" t="str">
        <x:v>Revenue: SEK 12.5 Billion (~€1.1B) | Employees: 9,000+ | Private (EQT).</x:v>
      </x:c>
      <x:c r="E22" s="5" t="str">
        <x:v>Comprehensive pharmaceutical CDMO across solid doses, sterile injectables, blow-fill-seal, inhalation, and biologics.</x:v>
      </x:c>
      <x:c r="F22" s="5" t="str">
        <x:v>Margin leakage across multi-site manufacturing networks due to decentralized ERP systems and disparate OEE tracking across legacy facilities.</x:v>
      </x:c>
      <x:c r="G22" s="5" t="str">
        <x:v>*Chief Operating Officer* / *VP Operational Excellence*.</x:v>
      </x:c>
      <x:c r="H22" s="5" t="str">
        <x:v>Cross-Facility OEE &amp; Sterile Cleanroom Optimization Sprint (€35,000 / SEK 400,000).</x:v>
      </x:c>
      <x:c r="I22" s="5" t="str">
        <x:v>Unify operational line-clearance data across Nordic plants, standardizing cleaning validation protocols compliant with cGMP Annex 1.</x:v>
      </x:c>
      <x:c r="J22" s="5" t="str">
        <x:v>PROPOSED; claims unverified</x:v>
      </x:c>
      <x:c r="L22" s="31" t="str">
        <x:v>D01, Markdown line 268; http://nas-1.tail55d152.ts.net:4100/static/2S_CONSULTING_NORDIC_OUTREACH_STRATEGY.html</x:v>
      </x:c>
    </x:row>
    <x:row r="23" ht="70" customHeight="1">
      <x:c r="A23" s="5" t="n">
        <x:v>16</x:v>
      </x:c>
      <x:c r="B23" s="5" t="str">
        <x:v>BioInvent International AB (Lund, Sweden)</x:v>
      </x:c>
      <x:c r="C23" s="5" t="str">
        <x:v>4.2 Track B: Pharma, Biotech &amp; Chemical CDMO Powerhouses</x:v>
      </x:c>
      <x:c r="D23" s="5" t="str">
        <x:v>Revenue: SEK 180 Million (~€16M) | Employees: 120+ | Public (Nasdaq Stockholm: BINV).</x:v>
      </x:c>
      <x:c r="E23" s="5" t="str">
        <x:v>Novel immuno-oncology antibodies (*BI-1206*, *BI-1808*, *BI-1910*) utilizing the proprietary F.I.R.S.T. platform.</x:v>
      </x:c>
      <x:c r="F23" s="5" t="str">
        <x:v>High clinical cash burn in Phase I/IIa multi-center trials across the US and Europe. Patient recruitment delays cost over €25,000 per day in ongoing site overhead.</x:v>
      </x:c>
      <x:c r="G23" s="5" t="str">
        <x:v>*Chief Medical Officer* / *VP Clinical Development*.</x:v>
      </x:c>
      <x:c r="H23" s="5" t="str">
        <x:v>Oncology Cohort Screening &amp; Protocol Optimization (€28,000 / SEK 320,000).</x:v>
      </x:c>
      <x:c r="I23" s="5" t="str">
        <x:v>Deploy HCare360 NLP screening to match complex biomarker-positive refractory lymphoma patients in Nordic hospital cancer registries.</x:v>
      </x:c>
      <x:c r="J23" s="5" t="str">
        <x:v>PROPOSED; claims unverified</x:v>
      </x:c>
      <x:c r="L23" s="31" t="str">
        <x:v>D01, Markdown line 276; http://nas-1.tail55d152.ts.net:4100/static/2S_CONSULTING_NORDIC_OUTREACH_STRATEGY.html</x:v>
      </x:c>
    </x:row>
    <x:row r="24" ht="56" customHeight="1">
      <x:c r="A24" s="5" t="n">
        <x:v>17</x:v>
      </x:c>
      <x:c r="B24" s="5" t="str">
        <x:v>Alligator Bioscience AB (Lund, Sweden)</x:v>
      </x:c>
      <x:c r="C24" s="5" t="str">
        <x:v>4.2 Track B: Pharma, Biotech &amp; Chemical CDMO Powerhouses</x:v>
      </x:c>
      <x:c r="D24" s="5" t="str">
        <x:v>Revenue: SEK 80 Million (~€7M) | Employees: 60+ | Public (Nasdaq Stockholm: ATORX).</x:v>
      </x:c>
      <x:c r="E24" s="5" t="str">
        <x:v>Tumor-directed immuno-oncology antibody drug candidates (*Mitazalimab*, *ATOR-1017*).</x:v>
      </x:c>
      <x:c r="F24" s="5" t="str">
        <x:v>Preparing for Phase III partnering and commercial registration while operating under strict biotech cash-runway constraints.</x:v>
      </x:c>
      <x:c r="G24" s="5" t="str">
        <x:v>*Chief Executive Officer* / *Chief Medical Officer*.</x:v>
      </x:c>
      <x:c r="H24" s="5" t="str">
        <x:v>Phase III Trial Feasibility &amp; Regulatory Dossier Audit (€28,000 / SEK 320,000).</x:v>
      </x:c>
      <x:c r="I24" s="5" t="str">
        <x:v>Audit clinical trial endpoints and data pipelines to ensure zero-friction transfer during Big Pharma out-licensing due diligence.</x:v>
      </x:c>
      <x:c r="J24" s="5" t="str">
        <x:v>PROPOSED; claims unverified</x:v>
      </x:c>
      <x:c r="L24" s="31" t="str">
        <x:v>D01, Markdown line 284; http://nas-1.tail55d152.ts.net:4100/static/2S_CONSULTING_NORDIC_OUTREACH_STRATEGY.html</x:v>
      </x:c>
    </x:row>
    <x:row r="25" ht="56" customHeight="1">
      <x:c r="A25" s="5" t="n">
        <x:v>18</x:v>
      </x:c>
      <x:c r="B25" s="5" t="str">
        <x:v>Hansa Biopharma AB (Lund, Sweden)</x:v>
      </x:c>
      <x:c r="C25" s="5" t="str">
        <x:v>4.2 Track B: Pharma, Biotech &amp; Chemical CDMO Powerhouses</x:v>
      </x:c>
      <x:c r="D25" s="5" t="str">
        <x:v>Revenue: SEK 140 Million (~€12M) | Employees: 150+ | Public (Nasdaq Stockholm: HNSA).</x:v>
      </x:c>
      <x:c r="E25" s="5" t="str">
        <x:v>Immunoglobulin G (IgG)-cleaving enzymes for rare kidney transplantation (*Idefirix* / imlifidase) and autoimmune diseases.</x:v>
      </x:c>
      <x:c r="F25" s="5" t="str">
        <x:v>Highly specialized, low-volume European market access negotiations. Disparate reimbursement protocols across Nordic regions slow hospital adoption.</x:v>
      </x:c>
      <x:c r="G25" s="5" t="str">
        <x:v>*Chief Commercial Officer* / *Head of European Market Access*.</x:v>
      </x:c>
      <x:c r="H25" s="5" t="str">
        <x:v>Orphan Drug Nordic Market Access &amp; Health Economic Dossier (€32,000 / SEK 360,000).</x:v>
      </x:c>
      <x:c r="I25" s="5" t="str">
        <x:v>Build a regional budget-impact model demonstrating that desensitization with imlifidase reduces long-term dialysis costs by &gt;€80,000 per patient.</x:v>
      </x:c>
      <x:c r="J25" s="5" t="str">
        <x:v>PROPOSED; claims unverified</x:v>
      </x:c>
      <x:c r="L25" s="31" t="str">
        <x:v>D01, Markdown line 292; http://nas-1.tail55d152.ts.net:4100/static/2S_CONSULTING_NORDIC_OUTREACH_STRATEGY.html</x:v>
      </x:c>
    </x:row>
    <x:row r="26" ht="56" customHeight="1">
      <x:c r="A26" s="5" t="n">
        <x:v>19</x:v>
      </x:c>
      <x:c r="B26" s="5" t="str">
        <x:v>Biotage AB (Uppsala, Sweden)</x:v>
      </x:c>
      <x:c r="C26" s="5" t="str">
        <x:v>4.2 Track B: Pharma, Biotech &amp; Chemical CDMO Powerhouses</x:v>
      </x:c>
      <x:c r="D26" s="5" t="str">
        <x:v>Revenue: SEK 1.9 Billion (~€165M) | Employees: 700+ | Public (Nasdaq Stockholm: BIOT).</x:v>
      </x:c>
      <x:c r="E26" s="5" t="str">
        <x:v>Automated flash chromatography, peptide synthesis instruments, analytical sample preparation, molecular diagnostics consumables.</x:v>
      </x:c>
      <x:c r="F26" s="5" t="str">
        <x:v>Capital equipment sales slowing due to academic and biotech lab budget freezes across Scandinavia.</x:v>
      </x:c>
      <x:c r="G26" s="5" t="str">
        <x:v>*Chief Commercial Officer* / *Head of Product Management*.</x:v>
      </x:c>
      <x:c r="H26" s="5" t="str">
        <x:v>Consumable Reagent Subscription Model Calculator (€28,000 / SEK 320,000).</x:v>
      </x:c>
      <x:c r="I26" s="5" t="str">
        <x:v>Structure a workflow-based "Hardware-as-a-Service" commercial packaging model, bundling chromatography columns into predictable monthly operational contracts.</x:v>
      </x:c>
      <x:c r="J26" s="5" t="str">
        <x:v>PROPOSED; claims unverified</x:v>
      </x:c>
      <x:c r="L26" s="31" t="str">
        <x:v>D01, Markdown line 300; http://nas-1.tail55d152.ts.net:4100/static/2S_CONSULTING_NORDIC_OUTREACH_STRATEGY.html</x:v>
      </x:c>
    </x:row>
    <x:row r="27" ht="56" customHeight="1">
      <x:c r="A27" s="5" t="n">
        <x:v>20</x:v>
      </x:c>
      <x:c r="B27" s="5" t="str">
        <x:v>EQL Pharma AB (Lund, Sweden)</x:v>
      </x:c>
      <x:c r="C27" s="5" t="str">
        <x:v>4.2 Track B: Pharma, Biotech &amp; Chemical CDMO Powerhouses</x:v>
      </x:c>
      <x:c r="D27" s="5" t="str">
        <x:v>Revenue: SEK 280 Million (~€25M) | Employees: 30+ | Public (Nasdaq Stockholm: EQL).</x:v>
      </x:c>
      <x:c r="E27" s="5" t="str">
        <x:v>Cost-effective specialty generics and niche hospital pharmaceuticals across the Nordic region.</x:v>
      </x:c>
      <x:c r="F27" s="5" t="str">
        <x:v>Winning hospital tenders while managing narrow gross margins and severe tender penalty clauses for late delivery.</x:v>
      </x:c>
      <x:c r="G27" s="5" t="str">
        <x:v>*Chief Executive Officer* / *Head of Tendering &amp; Supply*.</x:v>
      </x:c>
      <x:c r="H27" s="5" t="str">
        <x:v>Tender Price Optimization &amp; Safety-Stock Predictor (€28,000 / SEK 320,000).</x:v>
      </x:c>
      <x:c r="I27" s="5" t="str">
        <x:v>Provide an automated bidding algorithm optimizing tender bid prices against historical winning margins across *Sykehusinnkjøp* and *Region Stockholm*.</x:v>
      </x:c>
      <x:c r="J27" s="5" t="str">
        <x:v>PROPOSED; claims unverified</x:v>
      </x:c>
      <x:c r="L27" s="31" t="str">
        <x:v>D01, Markdown line 308; http://nas-1.tail55d152.ts.net:4100/static/2S_CONSULTING_NORDIC_OUTREACH_STRATEGY.html</x:v>
      </x:c>
    </x:row>
  </x:sheetData>
  <x:mergeCells>
    <x:mergeCell ref="A2:J2"/>
    <x:mergeCell ref="A3:J3"/>
    <x:mergeCell ref="A4:J4"/>
  </x:mergeCells>
  <x:pageMargins left="0.7" right="0.7" top="0.75" bottom="0.75" header="0.3" footer="0.3"/>
  <x:tableParts count="1">
    <x:tablePart xmlns:r="http://schemas.openxmlformats.org/officeDocument/2006/relationships" r:id="Re086fe918efc462c"/>
  </x:tableParts>
</x:worksheet>
</file>

<file path=xl/worksheets/sheet9.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43" hidden="0" customWidth="1"/>
    <x:col min="2" max="2" width="30" hidden="0" customWidth="1"/>
    <x:col min="3" max="3" width="18" hidden="0" customWidth="1"/>
    <x:col min="4" max="4" width="18" hidden="0" customWidth="1"/>
    <x:col min="5" max="5" width="24" hidden="0" customWidth="1"/>
    <x:col min="6" max="6" width="80" hidden="0" customWidth="1"/>
    <x:col min="7" max="7" width="70" hidden="0" customWidth="1"/>
    <x:col min="8" max="8" width="28" hidden="0" customWidth="1"/>
    <x:col min="9" max="9" width="3" hidden="0" customWidth="1"/>
    <x:col min="10" max="10" width="95" hidden="0" customWidth="1"/>
  </x:cols>
  <x:sheetData>
    <x:row r="1">
      <x:c r="A1" s="24"/>
      <x:c r="B1" s="24"/>
      <x:c r="C1" s="24"/>
      <x:c r="D1" s="24"/>
      <x:c r="E1" s="24"/>
      <x:c r="F1" s="24"/>
      <x:c r="G1" s="24"/>
      <x:c r="H1" s="24"/>
    </x:row>
    <x:row r="2" ht="28" customHeight="1">
      <x:c r="A2" s="25" t="str">
        <x:v>Six proposed entry offers</x:v>
      </x:c>
      <x:c r="B2" s="24"/>
      <x:c r="C2" s="24"/>
      <x:c r="D2" s="24"/>
      <x:c r="E2" s="24"/>
      <x:c r="F2" s="24"/>
      <x:c r="G2" s="24"/>
      <x:c r="H2" s="24"/>
    </x:row>
    <x:row r="3">
      <x:c r="A3" s="24" t="str">
        <x:v>v0003 · 2026-09-28T10:47:52Z (UTC)</x:v>
      </x:c>
      <x:c r="B3" s="24"/>
      <x:c r="C3" s="24"/>
      <x:c r="D3" s="24"/>
      <x:c r="E3" s="24"/>
      <x:c r="F3" s="24"/>
      <x:c r="G3" s="24"/>
      <x:c r="H3" s="24"/>
    </x:row>
    <x:row r="4" ht="32" customHeight="1">
      <x:c r="A4" s="27" t="str">
        <x:v>EUR and SEK are quoted separately. Benefits are unverified source claims. No procurement threshold or exchange rate is inferred.</x:v>
      </x:c>
      <x:c r="B4" s="24"/>
      <x:c r="C4" s="24"/>
      <x:c r="D4" s="24"/>
      <x:c r="E4" s="24"/>
      <x:c r="F4" s="24"/>
      <x:c r="G4" s="24"/>
      <x:c r="H4" s="24"/>
    </x:row>
    <x:row r="5">
      <x:c r="A5" s="24"/>
      <x:c r="B5" s="24"/>
      <x:c r="C5" s="24"/>
      <x:c r="D5" s="24"/>
      <x:c r="E5" s="24"/>
      <x:c r="F5" s="24"/>
      <x:c r="G5" s="24"/>
      <x:c r="H5" s="24"/>
    </x:row>
    <x:row r="6">
      <x:c r="A6" s="24"/>
      <x:c r="B6" s="24"/>
      <x:c r="C6" s="24"/>
      <x:c r="D6" s="24"/>
      <x:c r="E6" s="24"/>
      <x:c r="F6" s="24"/>
      <x:c r="G6" s="24"/>
      <x:c r="H6" s="24"/>
    </x:row>
    <x:row r="7" ht="42" customHeight="1">
      <x:c r="A7" s="29" t="str">
        <x:v>Offer</x:v>
      </x:c>
      <x:c r="B7" s="29" t="str">
        <x:v>Buyer</x:v>
      </x:c>
      <x:c r="C7" s="29" t="str">
        <x:v>EUR price</x:v>
      </x:c>
      <x:c r="D7" s="29" t="str">
        <x:v>SEK price</x:v>
      </x:c>
      <x:c r="E7" s="29" t="str">
        <x:v>Timeline</x:v>
      </x:c>
      <x:c r="F7" s="29" t="str">
        <x:v>Deliverables</x:v>
      </x:c>
      <x:c r="G7" s="29" t="str">
        <x:v>Claimed benefit</x:v>
      </x:c>
      <x:c r="H7" s="29" t="str">
        <x:v>Status</x:v>
      </x:c>
      <x:c r="J7" s="31" t="str">
        <x:v>Document source and locator</x:v>
      </x:c>
    </x:row>
    <x:row r="8" ht="42" customHeight="1">
      <x:c r="A8" s="5" t="str">
        <x:v>Wedge 1: 48-Hr MDR/AI Act Gap Scan</x:v>
      </x:c>
      <x:c r="B8" s="5" t="str">
        <x:v>VP QA/RA, CTO</x:v>
      </x:c>
      <x:c r="C8" s="32" t="n">
        <x:v>28000</x:v>
      </x:c>
      <x:c r="D8" s="33" t="n">
        <x:v>320000</x:v>
      </x:c>
      <x:c r="E8" s="5" t="str">
        <x:v>5 Business Days</x:v>
      </x:c>
      <x:c r="F8" s="5" t="str">
        <x:v>Comprehensive GSPR &amp; MDCG 2019-16 gap matrix; red-flag non-conformity list; remediation roadmap.</x:v>
      </x:c>
      <x:c r="G8" s="5" t="str">
        <x:v>Prevents 6–12 month Notified Body re-submission delay (€250k+ saved).</x:v>
      </x:c>
      <x:c r="H8" s="5" t="str">
        <x:v>PROPOSED; benefits unverified</x:v>
      </x:c>
      <x:c r="J8" s="31" t="str">
        <x:v>D01, Markdown line 510; http://nas-1.tail55d152.ts.net:4100/static/2S_CONSULTING_NORDIC_OUTREACH_STRATEGY.html</x:v>
      </x:c>
    </x:row>
    <x:row r="9" ht="42" customHeight="1">
      <x:c r="A9" s="5" t="str">
        <x:v>Wedge 2: Hospital CFO DaaS Calculator</x:v>
      </x:c>
      <x:c r="B9" s="5" t="str">
        <x:v>CCO, VP Sales</x:v>
      </x:c>
      <x:c r="C9" s="32" t="n">
        <x:v>28000</x:v>
      </x:c>
      <x:c r="D9" s="33" t="n">
        <x:v>320000</x:v>
      </x:c>
      <x:c r="E9" s="5" t="str">
        <x:v>10 Business Days</x:v>
      </x:c>
      <x:c r="F9" s="5" t="str">
        <x:v>Interactive HEOR economic model; ICU bed-day reduction simulator; commercial sales presentation deck.</x:v>
      </x:c>
      <x:c r="G9" s="5" t="str">
        <x:v>Unfreezes hospital procurement capex; lifts tender win rates by 3.2x.</x:v>
      </x:c>
      <x:c r="H9" s="5" t="str">
        <x:v>PROPOSED; benefits unverified</x:v>
      </x:c>
      <x:c r="J9" s="31" t="str">
        <x:v>D01, Markdown line 511; http://nas-1.tail55d152.ts.net:4100/static/2S_CONSULTING_NORDIC_OUTREACH_STRATEGY.html</x:v>
      </x:c>
    </x:row>
    <x:row r="10" ht="42" customHeight="1">
      <x:c r="A10" s="5" t="str">
        <x:v>Wedge 3: API Yield &amp; Cleanroom Turnaround</x:v>
      </x:c>
      <x:c r="B10" s="5" t="str">
        <x:v>Plant Director</x:v>
      </x:c>
      <x:c r="C10" s="32" t="n">
        <x:v>32000</x:v>
      </x:c>
      <x:c r="D10" s="33" t="n">
        <x:v>360000</x:v>
      </x:c>
      <x:c r="E10" s="5" t="str">
        <x:v>30 Calendar Days</x:v>
      </x:c>
      <x:c r="F10" s="5" t="str">
        <x:v>Activity-based batch cost model; line changeover time-motion study; cleanroom sanitization protocol.</x:v>
      </x:c>
      <x:c r="G10" s="5" t="str">
        <x:v>Slashes changeover downtime by 40%; reclaims 12–18 production hrs/wk.</x:v>
      </x:c>
      <x:c r="H10" s="5" t="str">
        <x:v>PROPOSED; benefits unverified</x:v>
      </x:c>
      <x:c r="J10" s="31" t="str">
        <x:v>D01, Markdown line 512; http://nas-1.tail55d152.ts.net:4100/static/2S_CONSULTING_NORDIC_OUTREACH_STRATEGY.html</x:v>
      </x:c>
    </x:row>
    <x:row r="11" ht="42" customHeight="1">
      <x:c r="A11" s="5" t="str">
        <x:v>Wedge 4: Pharma GTN Tender Leakage Audit</x:v>
      </x:c>
      <x:c r="B11" s="5" t="str">
        <x:v>CCO, Head Market Access</x:v>
      </x:c>
      <x:c r="C11" s="32" t="n">
        <x:v>28000</x:v>
      </x:c>
      <x:c r="D11" s="33" t="n">
        <x:v>320000</x:v>
      </x:c>
      <x:c r="E11" s="5" t="str">
        <x:v>21 Calendar Days</x:v>
      </x:c>
      <x:c r="F11" s="5" t="str">
        <x:v>Primary ERP vs Tamro/Oriola stockist reconciliation; tender rebate leakage map; penalty mitigation model.</x:v>
      </x:c>
      <x:c r="G11" s="5" t="str">
        <x:v>Recovers 3% to 5% in uncollected gross-to-net tender margin.</x:v>
      </x:c>
      <x:c r="H11" s="5" t="str">
        <x:v>PROPOSED; benefits unverified</x:v>
      </x:c>
      <x:c r="J11" s="31" t="str">
        <x:v>D01, Markdown line 513; http://nas-1.tail55d152.ts.net:4100/static/2S_CONSULTING_NORDIC_OUTREACH_STRATEGY.html</x:v>
      </x:c>
    </x:row>
    <x:row r="12" ht="42" customHeight="1">
      <x:c r="A12" s="5" t="str">
        <x:v>Wedge 5: Clinical Burn &amp; NLP Screening</x:v>
      </x:c>
      <x:c r="B12" s="5" t="str">
        <x:v>CMO, VP Clinical</x:v>
      </x:c>
      <x:c r="C12" s="32" t="n">
        <x:v>35000</x:v>
      </x:c>
      <x:c r="D12" s="33" t="n">
        <x:v>400000</x:v>
      </x:c>
      <x:c r="E12" s="5" t="str">
        <x:v>14 Calendar Days</x:v>
      </x:c>
      <x:c r="F12" s="5" t="str">
        <x:v>Multilingual NLP screening report; Scandinavian university clinic cohort map; protocol bottleneck teardown.</x:v>
      </x:c>
      <x:c r="G12" s="5" t="str">
        <x:v>Shaves 2.5 months off trial recruitment, saving €1.8M in idle burn.</x:v>
      </x:c>
      <x:c r="H12" s="5" t="str">
        <x:v>PROPOSED; benefits unverified</x:v>
      </x:c>
      <x:c r="J12" s="31" t="str">
        <x:v>D01, Markdown line 514; http://nas-1.tail55d152.ts.net:4100/static/2S_CONSULTING_NORDIC_OUTREACH_STRATEGY.html</x:v>
      </x:c>
    </x:row>
    <x:row r="13" ht="42" customHeight="1">
      <x:c r="A13" s="5" t="str">
        <x:v>Wedge 6: Adversarial Audit Simulation</x:v>
      </x:c>
      <x:c r="B13" s="5" t="str">
        <x:v>VP Quality, COO</x:v>
      </x:c>
      <x:c r="C13" s="32" t="n">
        <x:v>35000</x:v>
      </x:c>
      <x:c r="D13" s="33" t="n">
        <x:v>400000</x:v>
      </x:c>
      <x:c r="E13" s="5" t="str">
        <x:v>10 Business Days</x:v>
      </x:c>
      <x:c r="F13" s="5" t="str">
        <x:v>Mock ISO 13485 / cGMP Annex 1 unannounced audit; 30-day corrective action plan (CAPA); executive briefing.</x:v>
      </x:c>
      <x:c r="G13" s="5" t="str">
        <x:v>Ensures zero major non-conformities during official regulatory audit.</x:v>
      </x:c>
      <x:c r="H13" s="5" t="str">
        <x:v>PROPOSED; benefits unverified</x:v>
      </x:c>
      <x:c r="J13" s="31" t="str">
        <x:v>D01, Markdown line 515; http://nas-1.tail55d152.ts.net:4100/static/2S_CONSULTING_NORDIC_OUTREACH_STRATEGY.html</x:v>
      </x:c>
    </x:row>
  </x:sheetData>
  <x:mergeCells>
    <x:mergeCell ref="A2:H2"/>
    <x:mergeCell ref="A3:H3"/>
    <x:mergeCell ref="A4:H4"/>
  </x:mergeCells>
  <x:pageMargins left="0.7" right="0.7" top="0.75" bottom="0.75" header="0.3" footer="0.3"/>
  <x:tableParts count="1">
    <x:tablePart xmlns:r="http://schemas.openxmlformats.org/officeDocument/2006/relationships" r:id="R9d496b85277e4da4"/>
  </x:tableParts>
</x:worksheet>
</file>

<file path=xl/worksheets/sheet10.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38" hidden="0" customWidth="1"/>
    <x:col min="2" max="2" width="30" hidden="0" customWidth="1"/>
    <x:col min="3" max="3" width="43" hidden="0" customWidth="1"/>
    <x:col min="4" max="4" width="40" hidden="0" customWidth="1"/>
    <x:col min="5" max="5" width="40" hidden="0" customWidth="1"/>
    <x:col min="6" max="6" width="60" hidden="0" customWidth="1"/>
    <x:col min="7" max="7" width="65" hidden="0" customWidth="1"/>
    <x:col min="8" max="8" width="65" hidden="0" customWidth="1"/>
    <x:col min="9" max="9" width="26" hidden="0" customWidth="1"/>
    <x:col min="10" max="10" width="3" hidden="0" customWidth="1"/>
    <x:col min="11" max="11" width="95" hidden="0" customWidth="1"/>
  </x:cols>
  <x:sheetData>
    <x:row r="1">
      <x:c r="A1" s="24"/>
      <x:c r="B1" s="24"/>
      <x:c r="C1" s="24"/>
      <x:c r="D1" s="24"/>
      <x:c r="E1" s="24"/>
      <x:c r="F1" s="24"/>
      <x:c r="G1" s="24"/>
      <x:c r="H1" s="24"/>
      <x:c r="I1" s="24"/>
    </x:row>
    <x:row r="2" ht="28" customHeight="1">
      <x:c r="A2" s="25" t="str">
        <x:v>40 pharmaceutical and chemical company profiles</x:v>
      </x:c>
      <x:c r="B2" s="24"/>
      <x:c r="C2" s="24"/>
      <x:c r="D2" s="24"/>
      <x:c r="E2" s="24"/>
      <x:c r="F2" s="24"/>
      <x:c r="G2" s="24"/>
      <x:c r="H2" s="24"/>
      <x:c r="I2" s="24"/>
    </x:row>
    <x:row r="3">
      <x:c r="A3" s="24" t="str">
        <x:v>v0003 · 2026-09-28T10:47:52Z (UTC)</x:v>
      </x:c>
      <x:c r="B3" s="24"/>
      <x:c r="C3" s="24"/>
      <x:c r="D3" s="24"/>
      <x:c r="E3" s="24"/>
      <x:c r="F3" s="24"/>
      <x:c r="G3" s="24"/>
      <x:c r="H3" s="24"/>
      <x:c r="I3" s="24"/>
    </x:row>
    <x:row r="4" ht="32" customHeight="1">
      <x:c r="A4" s="27" t="str">
        <x:v>Financial strings retain source currency, period and qualifiers. Do not aggregate or replace Review_Evidence.</x:v>
      </x:c>
      <x:c r="B4" s="24"/>
      <x:c r="C4" s="24"/>
      <x:c r="D4" s="24"/>
      <x:c r="E4" s="24"/>
      <x:c r="F4" s="24"/>
      <x:c r="G4" s="24"/>
      <x:c r="H4" s="24"/>
      <x:c r="I4" s="24"/>
    </x:row>
    <x:row r="5">
      <x:c r="A5" s="24"/>
      <x:c r="B5" s="24"/>
      <x:c r="C5" s="24"/>
      <x:c r="D5" s="24"/>
      <x:c r="E5" s="24"/>
      <x:c r="F5" s="24"/>
      <x:c r="G5" s="24"/>
      <x:c r="H5" s="24"/>
      <x:c r="I5" s="24"/>
    </x:row>
    <x:row r="6">
      <x:c r="A6" s="24"/>
      <x:c r="B6" s="24"/>
      <x:c r="C6" s="24"/>
      <x:c r="D6" s="24"/>
      <x:c r="E6" s="24"/>
      <x:c r="F6" s="24"/>
      <x:c r="G6" s="24"/>
      <x:c r="H6" s="24"/>
      <x:c r="I6" s="24"/>
    </x:row>
    <x:row r="7" ht="42" customHeight="1">
      <x:c r="A7" s="29" t="str">
        <x:v>Tier</x:v>
      </x:c>
      <x:c r="B7" s="29" t="str">
        <x:v>Company</x:v>
      </x:c>
      <x:c r="C7" s="29" t="str">
        <x:v>HQ / key sites claim</x:v>
      </x:c>
      <x:c r="D7" s="29" t="str">
        <x:v>Revenue claim</x:v>
      </x:c>
      <x:c r="E7" s="29" t="str">
        <x:v>R&amp;D claim</x:v>
      </x:c>
      <x:c r="F7" s="29" t="str">
        <x:v>Modality / focus claim</x:v>
      </x:c>
      <x:c r="G7" s="29" t="str">
        <x:v>Pain-point hypothesis</x:v>
      </x:c>
      <x:c r="H7" s="29" t="str">
        <x:v>Proposed service</x:v>
      </x:c>
      <x:c r="I7" s="29" t="str">
        <x:v>Status</x:v>
      </x:c>
      <x:c r="K7" s="31" t="str">
        <x:v>Document source and locator</x:v>
      </x:c>
    </x:row>
    <x:row r="8" ht="56" customHeight="1">
      <x:c r="A8" s="5" t="str">
        <x:v>5.1 Tier 1: Global &amp; Large-Cap Nordic Pharma</x:v>
      </x:c>
      <x:c r="B8" s="5" t="str">
        <x:v>Novo Nordisk A/S</x:v>
      </x:c>
      <x:c r="C8" s="5" t="str">
        <x:v>Bagsværd / Kalundborg, DK</x:v>
      </x:c>
      <x:c r="D8" s="5" t="str">
        <x:v>DKK 232.3B (~€31.1B)</x:v>
      </x:c>
      <x:c r="E8" s="5" t="str">
        <x:v>DKK 32.4B (~€4.3B)</x:v>
      </x:c>
      <x:c r="F8" s="5" t="str">
        <x:v>Recombinant peptides, GLP-1 analogues, diabetes, obesity, rare blood disorders.</x:v>
      </x:c>
      <x:c r="G8" s="5" t="str">
        <x:v>Massive manufacturing scale-up bottlenecks; global API supply chain strain; complex multi-site GxP data harmonization.</x:v>
      </x:c>
      <x:c r="H8" s="5" t="str">
        <x:v>Supply chain digital twin modeling; cleanroom changeover optimization; AI Act algorithmic governance for discovery pipelines.</x:v>
      </x:c>
      <x:c r="I8" s="5" t="str">
        <x:v>UNVERIFIED source claims</x:v>
      </x:c>
      <x:c r="K8" s="31" t="str">
        <x:v>D04, Markdown line 239; http://nas-1.tail55d152.ts.net:4100/static/2S_PHARMACEUTICALS_AND_CHEMICALS_SECTOR_DOSSIER.html</x:v>
      </x:c>
    </x:row>
    <x:row r="9" ht="56" customHeight="1">
      <x:c r="A9" s="5" t="str">
        <x:v>5.1 Tier 1: Global &amp; Large-Cap Nordic Pharma</x:v>
      </x:c>
      <x:c r="B9" s="5" t="str">
        <x:v>AstraZeneca AB</x:v>
      </x:c>
      <x:c r="C9" s="5" t="str">
        <x:v>Södertälje &amp; Gothenburg, SE</x:v>
      </x:c>
      <x:c r="D9" s="5" t="str">
        <x:v>$45.8B Global (SE site ~SEK 20B)</x:v>
      </x:c>
      <x:c r="E9" s="5" t="str">
        <x:v>$10.9B Global (SE R&amp;D ~SEK 4.5B)</x:v>
      </x:c>
      <x:c r="F9" s="5" t="str">
        <x:v>Small molecules, monoclonal antibodies, oncology, cardiovascular, respiratory, rare diseases.</x:v>
      </x:c>
      <x:c r="G9" s="5" t="str">
        <x:v>Södertälje packaging line changeovers; bridging discovery bioinformatics with GxP regulatory documentation; vendor software rationalization.</x:v>
      </x:c>
      <x:c r="H9" s="5" t="str">
        <x:v>ProcessPrints digital workflow tracing; automated LIMS-to-dossier transcription; vendor IT rationalization (Lean Digital Estate).</x:v>
      </x:c>
      <x:c r="I9" s="5" t="str">
        <x:v>UNVERIFIED source claims</x:v>
      </x:c>
      <x:c r="K9" s="31" t="str">
        <x:v>D04, Markdown line 240; http://nas-1.tail55d152.ts.net:4100/static/2S_PHARMACEUTICALS_AND_CHEMICALS_SECTOR_DOSSIER.html</x:v>
      </x:c>
    </x:row>
    <x:row r="10" ht="56" customHeight="1">
      <x:c r="A10" s="5" t="str">
        <x:v>5.1 Tier 1: Global &amp; Large-Cap Nordic Pharma</x:v>
      </x:c>
      <x:c r="B10" s="5" t="str">
        <x:v>Swedish Orphan Biovitrum (Sobi)</x:v>
      </x:c>
      <x:c r="C10" s="5" t="str">
        <x:v>Stockholm, SE</x:v>
      </x:c>
      <x:c r="D10" s="5" t="str">
        <x:v>SEK 26,000M (~€2.3B)</x:v>
      </x:c>
      <x:c r="E10" s="5" t="str">
        <x:v>SEK 3,650M (~€320M)</x:v>
      </x:c>
      <x:c r="F10" s="5" t="str">
        <x:v>Biologics, recombinant proteins, rare disease hematology and immunology.</x:v>
      </x:c>
      <x:c r="G10" s="5" t="str">
        <x:v>Complex European stockist and hospital tender rebate management; uncoordinated secondary sales tracking across 20+ countries.</x:v>
      </x:c>
      <x:c r="H10" s="5" t="str">
        <x:v>Merck-proven Commercial S&amp;OP Portal: Unifying primary ERP billing, secondary wholesaler data, and tender penalty alerting.</x:v>
      </x:c>
      <x:c r="I10" s="5" t="str">
        <x:v>UNVERIFIED source claims</x:v>
      </x:c>
      <x:c r="K10" s="31" t="str">
        <x:v>D04, Markdown line 241; http://nas-1.tail55d152.ts.net:4100/static/2S_PHARMACEUTICALS_AND_CHEMICALS_SECTOR_DOSSIER.html</x:v>
      </x:c>
    </x:row>
    <x:row r="11" ht="56" customHeight="1">
      <x:c r="A11" s="5" t="str">
        <x:v>5.1 Tier 1: Global &amp; Large-Cap Nordic Pharma</x:v>
      </x:c>
      <x:c r="B11" s="5" t="str">
        <x:v>H. Lundbeck A/S</x:v>
      </x:c>
      <x:c r="C11" s="5" t="str">
        <x:v>Valby / Copenhagen, DK</x:v>
      </x:c>
      <x:c r="D11" s="5" t="str">
        <x:v>DKK 19.9B (~€2.7B)</x:v>
      </x:c>
      <x:c r="E11" s="5" t="str">
        <x:v>DKK 4.1B (~€550M)</x:v>
      </x:c>
      <x:c r="F11" s="5" t="str">
        <x:v>Small molecules, mAbs, neuro-therapeutics, CNS, depression, schizophrenia, migraine.</x:v>
      </x:c>
      <x:c r="G11" s="5" t="str">
        <x:v>Clinical trial protocol complexity; high Phase III trial attrition; fragmented sales analytics across European affiliates.</x:v>
      </x:c>
      <x:c r="H11" s="5" t="str">
        <x:v>Clinical R&amp;D Productivity Monitoring (NCE milestone tracking); automated investigator grant accounting.</x:v>
      </x:c>
      <x:c r="I11" s="5" t="str">
        <x:v>UNVERIFIED source claims</x:v>
      </x:c>
      <x:c r="K11" s="31" t="str">
        <x:v>D04, Markdown line 242; http://nas-1.tail55d152.ts.net:4100/static/2S_PHARMACEUTICALS_AND_CHEMICALS_SECTOR_DOSSIER.html</x:v>
      </x:c>
    </x:row>
    <x:row r="12" ht="56" customHeight="1">
      <x:c r="A12" s="5" t="str">
        <x:v>5.1 Tier 1: Global &amp; Large-Cap Nordic Pharma</x:v>
      </x:c>
      <x:c r="B12" s="5" t="str">
        <x:v>Genmab A/S</x:v>
      </x:c>
      <x:c r="C12" s="5" t="str">
        <x:v>Copenhagen, DK</x:v>
      </x:c>
      <x:c r="D12" s="5" t="str">
        <x:v>DKK 16.5B (~€2.2B)</x:v>
      </x:c>
      <x:c r="E12" s="5" t="str">
        <x:v>DKK 4.7B (~€630M)</x:v>
      </x:c>
      <x:c r="F12" s="5" t="str">
        <x:v>Proprietary bispecific antibodies (DuoBody®, HexaBody®), oncology.</x:v>
      </x:c>
      <x:c r="G12" s="5" t="str">
        <x:v>Partner royalty accounting complexity; massive multi-partner clinical trial data tracking; external bio-CDMO visibility.</x:v>
      </x:c>
      <x:c r="H12" s="5" t="str">
        <x:v>Automated royalty audit reconciliation; cloud data governance on Numantra Sovereign Cloud; clinical trial burn cockpit.</x:v>
      </x:c>
      <x:c r="I12" s="5" t="str">
        <x:v>UNVERIFIED source claims</x:v>
      </x:c>
      <x:c r="K12" s="31" t="str">
        <x:v>D04, Markdown line 243; http://nas-1.tail55d152.ts.net:4100/static/2S_PHARMACEUTICALS_AND_CHEMICALS_SECTOR_DOSSIER.html</x:v>
      </x:c>
    </x:row>
    <x:row r="13" ht="56" customHeight="1">
      <x:c r="A13" s="5" t="str">
        <x:v>5.1 Tier 1: Global &amp; Large-Cap Nordic Pharma</x:v>
      </x:c>
      <x:c r="B13" s="5" t="str">
        <x:v>LEO Pharma A/S</x:v>
      </x:c>
      <x:c r="C13" s="5" t="str">
        <x:v>Ballerup, DK</x:v>
      </x:c>
      <x:c r="D13" s="5" t="str">
        <x:v>DKK 11.4B (~€1.5B)</x:v>
      </x:c>
      <x:c r="E13" s="5" t="str">
        <x:v>DKK 2.3B (~€310M)</x:v>
      </x:c>
      <x:c r="F13" s="5" t="str">
        <x:v>Topical formulations, biologic therapies, medical dermatology, eczema, psoriasis.</x:v>
      </x:c>
      <x:c r="G13" s="5" t="str">
        <x:v>Post-restructuring IT cost reduction; transition from mature topical products to high-cost biologics; regional hospital tender bidding.</x:v>
      </x:c>
      <x:c r="H13" s="5" t="str">
        <x:v>Lean Digital Estate (ERP and license rationalization); dynamic gross-to-net tender pricing simulator.</x:v>
      </x:c>
      <x:c r="I13" s="5" t="str">
        <x:v>UNVERIFIED source claims</x:v>
      </x:c>
      <x:c r="K13" s="31" t="str">
        <x:v>D04, Markdown line 244; http://nas-1.tail55d152.ts.net:4100/static/2S_PHARMACEUTICALS_AND_CHEMICALS_SECTOR_DOSSIER.html</x:v>
      </x:c>
    </x:row>
    <x:row r="14" ht="56" customHeight="1">
      <x:c r="A14" s="5" t="str">
        <x:v>5.1 Tier 1: Global &amp; Large-Cap Nordic Pharma</x:v>
      </x:c>
      <x:c r="B14" s="5" t="str">
        <x:v>Orion Corporation</x:v>
      </x:c>
      <x:c r="C14" s="5" t="str">
        <x:v>Espoo / Turku, FI</x:v>
      </x:c>
      <x:c r="D14" s="5" t="str">
        <x:v>€1,190M (~€1.2B)</x:v>
      </x:c>
      <x:c r="E14" s="5" t="str">
        <x:v>€135M (~€135M)</x:v>
      </x:c>
      <x:c r="F14" s="5" t="str">
        <x:v>Small molecules, NCEs, generic pharmaceuticals, neurology, oncology, respiratory.</x:v>
      </x:c>
      <x:c r="G14" s="5" t="str">
        <x:v>Low-margin generic price competition; API raw material inflation; multi-plant batch scheduling across Finland and Europe.</x:v>
      </x:c>
      <x:c r="H14" s="5" t="str">
        <x:v>API Margin Defense; Product/Customer Mix Optimization (pruning margin-dilutive generic SKUs).</x:v>
      </x:c>
      <x:c r="I14" s="5" t="str">
        <x:v>UNVERIFIED source claims</x:v>
      </x:c>
      <x:c r="K14" s="31" t="str">
        <x:v>D04, Markdown line 245; http://nas-1.tail55d152.ts.net:4100/static/2S_PHARMACEUTICALS_AND_CHEMICALS_SECTOR_DOSSIER.html</x:v>
      </x:c>
    </x:row>
    <x:row r="15" ht="56" customHeight="1">
      <x:c r="A15" s="5" t="str">
        <x:v>5.2 Tier 2: Mid-Cap Specialty Innovators &amp; Commercial Players</x:v>
      </x:c>
      <x:c r="B15" s="5" t="str">
        <x:v>Camurus AB</x:v>
      </x:c>
      <x:c r="C15" s="5" t="str">
        <x:v>Lund, SE</x:v>
      </x:c>
      <x:c r="D15" s="5" t="str">
        <x:v>SEK 1,868M (~€165M)</x:v>
      </x:c>
      <x:c r="E15" s="5" t="str">
        <x:v>SEK 485M (~€43M)</x:v>
      </x:c>
      <x:c r="F15" s="5" t="str">
        <x:v>FluidCrystal® lipid depot injection, buprenorphine (Buvidal), acromegaly, neuroendocrine.</x:v>
      </x:c>
      <x:c r="G15" s="5" t="str">
        <x:v>Disconnected 4-month Excel budgeting cycles; clinic-level uptake forecasting; managing expanding US/EU commercial rollout.</x:v>
      </x:c>
      <x:c r="H15" s="5" t="str">
        <x:v>Smart Financial Planning Suite: Replacing manual spreadsheets with machine learning-driven S&amp;OP clinic demand models.</x:v>
      </x:c>
      <x:c r="I15" s="5" t="str">
        <x:v>UNVERIFIED source claims</x:v>
      </x:c>
      <x:c r="K15" s="31" t="str">
        <x:v>D04, Markdown line 251; http://nas-1.tail55d152.ts.net:4100/static/2S_PHARMACEUTICALS_AND_CHEMICALS_SECTOR_DOSSIER.html</x:v>
      </x:c>
    </x:row>
    <x:row r="16" ht="56" customHeight="1">
      <x:c r="A16" s="5" t="str">
        <x:v>5.2 Tier 2: Mid-Cap Specialty Innovators &amp; Commercial Players</x:v>
      </x:c>
      <x:c r="B16" s="5" t="str">
        <x:v>BioArctic AB</x:v>
      </x:c>
      <x:c r="C16" s="5" t="str">
        <x:v>Stockholm, SE</x:v>
      </x:c>
      <x:c r="D16" s="5" t="str">
        <x:v>SEK 600M+ (~€53M)</x:v>
      </x:c>
      <x:c r="E16" s="5" t="str">
        <x:v>SEK 282M (~€25M)</x:v>
      </x:c>
      <x:c r="F16" s="5" t="str">
        <x:v>Monoclonal antibodies, brain transporter technology, Alzheimer's (Leqembi/lecanemab), Parkinson's.</x:v>
      </x:c>
      <x:c r="G16" s="5" t="str">
        <x:v>Managing global Eisai partnership data flows; clinical trial milestone accounting; transition from discovery boutique to commercial licensor.</x:v>
      </x:c>
      <x:c r="H16" s="5" t="str">
        <x:v>Clinical Knowledge Graph deployment; partner milestone governance cockpit; GxP audit trail readiness.</x:v>
      </x:c>
      <x:c r="I16" s="5" t="str">
        <x:v>UNVERIFIED source claims</x:v>
      </x:c>
      <x:c r="K16" s="31" t="str">
        <x:v>D04, Markdown line 252; http://nas-1.tail55d152.ts.net:4100/static/2S_PHARMACEUTICALS_AND_CHEMICALS_SECTOR_DOSSIER.html</x:v>
      </x:c>
    </x:row>
    <x:row r="17" ht="56" customHeight="1">
      <x:c r="A17" s="5" t="str">
        <x:v>5.2 Tier 2: Mid-Cap Specialty Innovators &amp; Commercial Players</x:v>
      </x:c>
      <x:c r="B17" s="5" t="str">
        <x:v>Calliditas Therapeutics</x:v>
      </x:c>
      <x:c r="C17" s="5" t="str">
        <x:v>Stockholm, SE</x:v>
      </x:c>
      <x:c r="D17" s="5" t="str">
        <x:v>SEK 1,180M (~€105M)</x:v>
      </x:c>
      <x:c r="E17" s="5" t="str">
        <x:v>SEK 320M (~€28M)</x:v>
      </x:c>
      <x:c r="F17" s="5" t="str">
        <x:v>Targeted release formulation (Nefecon/Tarpeyo), IgA nephropathy, rare kidney diseases.</x:v>
      </x:c>
      <x:c r="G17" s="5" t="str">
        <x:v>Post-acquisition (Asahi Kasei) IT integration; European tender pricing and distributor inventory visibility.</x:v>
      </x:c>
      <x:c r="H17" s="5" t="str">
        <x:v>Post-Merger ERP Harmonization; European wholesale stockist tracking portal.</x:v>
      </x:c>
      <x:c r="I17" s="5" t="str">
        <x:v>UNVERIFIED source claims</x:v>
      </x:c>
      <x:c r="K17" s="31" t="str">
        <x:v>D04, Markdown line 253; http://nas-1.tail55d152.ts.net:4100/static/2S_PHARMACEUTICALS_AND_CHEMICALS_SECTOR_DOSSIER.html</x:v>
      </x:c>
    </x:row>
    <x:row r="18" ht="56" customHeight="1">
      <x:c r="A18" s="5" t="str">
        <x:v>5.2 Tier 2: Mid-Cap Specialty Innovators &amp; Commercial Players</x:v>
      </x:c>
      <x:c r="B18" s="5" t="str">
        <x:v>Bavarian Nordic A/S</x:v>
      </x:c>
      <x:c r="C18" s="5" t="str">
        <x:v>Hellerup / Kvistgård, DK</x:v>
      </x:c>
      <x:c r="D18" s="5" t="str">
        <x:v>DKK 7,062M (~€945M)</x:v>
      </x:c>
      <x:c r="E18" s="5" t="str">
        <x:v>DKK 850M (~€114M)</x:v>
      </x:c>
      <x:c r="F18" s="5" t="str">
        <x:v>Viral vaccines, live attenuated vectors, smallpox/mpox, rabies, travel vaccines.</x:v>
      </x:c>
      <x:c r="G18" s="5" t="str">
        <x:v>High demand volatility driven by government stockpiling contracts; complex vaccine cold-chain distribution logistics.</x:v>
      </x:c>
      <x:c r="H18" s="5" t="str">
        <x:v>Government Contract Milestone Governance; cold-chain distribution risk simulation.</x:v>
      </x:c>
      <x:c r="I18" s="5" t="str">
        <x:v>UNVERIFIED source claims</x:v>
      </x:c>
      <x:c r="K18" s="31" t="str">
        <x:v>D04, Markdown line 254; http://nas-1.tail55d152.ts.net:4100/static/2S_PHARMACEUTICALS_AND_CHEMICALS_SECTOR_DOSSIER.html</x:v>
      </x:c>
    </x:row>
    <x:row r="19" ht="56" customHeight="1">
      <x:c r="A19" s="5" t="str">
        <x:v>5.2 Tier 2: Mid-Cap Specialty Innovators &amp; Commercial Players</x:v>
      </x:c>
      <x:c r="B19" s="5" t="str">
        <x:v>ALK-Abelló A/S</x:v>
      </x:c>
      <x:c r="C19" s="5" t="str">
        <x:v>Hørsholm, DK</x:v>
      </x:c>
      <x:c r="D19" s="5" t="str">
        <x:v>DKK 4,821M (~€645M)</x:v>
      </x:c>
      <x:c r="E19" s="5" t="str">
        <x:v>DKK 712M (~€95M)</x:v>
      </x:c>
      <x:c r="F19" s="5" t="str">
        <x:v>Allergy immunotherapy (SLIT tablets, SCIT injections), allergic rhinitis, asthma.</x:v>
      </x:c>
      <x:c r="G19" s="5" t="str">
        <x:v>Patient adherence drop-off; managing seasonal inventory swings across European pharmacy networks.</x:v>
      </x:c>
      <x:c r="H19" s="5" t="str">
        <x:v>Digital Patient Engagement &amp; Adherence Analytics (HCare360); seasonal S&amp;OP demand forecasting.</x:v>
      </x:c>
      <x:c r="I19" s="5" t="str">
        <x:v>UNVERIFIED source claims</x:v>
      </x:c>
      <x:c r="K19" s="31" t="str">
        <x:v>D04, Markdown line 255; http://nas-1.tail55d152.ts.net:4100/static/2S_PHARMACEUTICALS_AND_CHEMICALS_SECTOR_DOSSIER.html</x:v>
      </x:c>
    </x:row>
    <x:row r="20" ht="56" customHeight="1">
      <x:c r="A20" s="5" t="str">
        <x:v>5.2 Tier 2: Mid-Cap Specialty Innovators &amp; Commercial Players</x:v>
      </x:c>
      <x:c r="B20" s="5" t="str">
        <x:v>Egetis Therapeutics AB</x:v>
      </x:c>
      <x:c r="C20" s="5" t="str">
        <x:v>Stockholm, SE</x:v>
      </x:c>
      <x:c r="D20" s="5" t="str">
        <x:v>SEK 46.1M</x:v>
      </x:c>
      <x:c r="E20" s="5" t="str">
        <x:v>SEK 295.4M</x:v>
      </x:c>
      <x:c r="F20" s="5" t="str">
        <x:v>Small molecule thyroid hormone transporter agonist (Emcitate), rare pediatric MCT8 deficiency.</x:v>
      </x:c>
      <x:c r="G20" s="5" t="str">
        <x:v>High cash burn approaching FDA/EMA commercialization; establishing initial European market access and named-patient programs.</x:v>
      </x:c>
      <x:c r="H20" s="5" t="str">
        <x:v>Named-Patient Supply Tracking Portal; rapid HTA economic dossier modeling for Nordic TLVs.</x:v>
      </x:c>
      <x:c r="I20" s="5" t="str">
        <x:v>UNVERIFIED source claims</x:v>
      </x:c>
      <x:c r="K20" s="31" t="str">
        <x:v>D04, Markdown line 256; http://nas-1.tail55d152.ts.net:4100/static/2S_PHARMACEUTICALS_AND_CHEMICALS_SECTOR_DOSSIER.html</x:v>
      </x:c>
    </x:row>
    <x:row r="21" ht="56" customHeight="1">
      <x:c r="A21" s="5" t="str">
        <x:v>5.2 Tier 2: Mid-Cap Specialty Innovators &amp; Commercial Players</x:v>
      </x:c>
      <x:c r="B21" s="5" t="str">
        <x:v>EQL Pharma AB</x:v>
      </x:c>
      <x:c r="C21" s="5" t="str">
        <x:v>Lund, SE</x:v>
      </x:c>
      <x:c r="D21" s="5" t="str">
        <x:v>SEK 373.5M</x:v>
      </x:c>
      <x:c r="E21" s="5" t="str">
        <x:v>SEK 28.6M</x:v>
      </x:c>
      <x:c r="F21" s="5" t="str">
        <x:v>Niche specialty pharmaceuticals and generic hospital injectables/orals.</x:v>
      </x:c>
      <x:c r="G21" s="5" t="str">
        <x:v>Nordic tender price decay; regional stockout penalties; managing multi-country product licenses.</x:v>
      </x:c>
      <x:c r="H21" s="5" t="str">
        <x:v>Automated Tender Bidding &amp; Penalty Alerting Engine; supply chain safety-stock optimization.</x:v>
      </x:c>
      <x:c r="I21" s="5" t="str">
        <x:v>UNVERIFIED source claims</x:v>
      </x:c>
      <x:c r="K21" s="31" t="str">
        <x:v>D04, Markdown line 257; http://nas-1.tail55d152.ts.net:4100/static/2S_PHARMACEUTICALS_AND_CHEMICALS_SECTOR_DOSSIER.html</x:v>
      </x:c>
    </x:row>
    <x:row r="22" ht="56" customHeight="1">
      <x:c r="A22" s="5" t="str">
        <x:v>5.2 Tier 2: Mid-Cap Specialty Innovators &amp; Commercial Players</x:v>
      </x:c>
      <x:c r="B22" s="5" t="str">
        <x:v>Bluefish Pharmaceuticals</x:v>
      </x:c>
      <x:c r="C22" s="5" t="str">
        <x:v>Stockholm, SE</x:v>
      </x:c>
      <x:c r="D22" s="5" t="str">
        <x:v>SEK 484.8M</x:v>
      </x:c>
      <x:c r="E22" s="5" t="str">
        <x:v>SEK 38.5M</x:v>
      </x:c>
      <x:c r="F22" s="5" t="str">
        <x:v>Generic pharmaceuticals, solid dose formulations, wide European distribution.</x:v>
      </x:c>
      <x:c r="G22" s="5" t="str">
        <x:v>Extreme margin compression from Asian generic manufacturers; complex inventory carrying costs across 15+ European markets.</x:v>
      </x:c>
      <x:c r="H22" s="5" t="str">
        <x:v>Product/Customer Mix Rationalization: Eliminating negative-contribution SKUs and distributor rebate leakage.</x:v>
      </x:c>
      <x:c r="I22" s="5" t="str">
        <x:v>UNVERIFIED source claims</x:v>
      </x:c>
      <x:c r="K22" s="31" t="str">
        <x:v>D04, Markdown line 258; http://nas-1.tail55d152.ts.net:4100/static/2S_PHARMACEUTICALS_AND_CHEMICALS_SECTOR_DOSSIER.html</x:v>
      </x:c>
    </x:row>
    <x:row r="23" ht="56" customHeight="1">
      <x:c r="A23" s="5" t="str">
        <x:v>5.2 Tier 2: Mid-Cap Specialty Innovators &amp; Commercial Players</x:v>
      </x:c>
      <x:c r="B23" s="5" t="str">
        <x:v>Avia Pharma AB</x:v>
      </x:c>
      <x:c r="C23" s="5" t="str">
        <x:v>Stockholm, SE</x:v>
      </x:c>
      <x:c r="D23" s="5" t="str">
        <x:v>SEK 320M est.</x:v>
      </x:c>
      <x:c r="E23" s="5" t="str">
        <x:v>SEK 15M est.</x:v>
      </x:c>
      <x:c r="F23" s="5" t="str">
        <x:v>Commercial distributor of prescription, OTC, and specialty pharmaceuticals in the Nordics.</x:v>
      </x:c>
      <x:c r="G23" s="5" t="str">
        <x:v>Manual sales aggregation across multiple pharmacy chains; wholesaler credit reconciliation.</x:v>
      </x:c>
      <x:c r="H23" s="5" t="str">
        <x:v>Wholesaler &amp; Pharmacy POS Data Integration Console.</x:v>
      </x:c>
      <x:c r="I23" s="5" t="str">
        <x:v>UNVERIFIED source claims</x:v>
      </x:c>
      <x:c r="K23" s="31" t="str">
        <x:v>D04, Markdown line 259; http://nas-1.tail55d152.ts.net:4100/static/2S_PHARMACEUTICALS_AND_CHEMICALS_SECTOR_DOSSIER.html</x:v>
      </x:c>
    </x:row>
    <x:row r="24" ht="56" customHeight="1">
      <x:c r="A24" s="5" t="str">
        <x:v>5.3 Tier 3: Chemical Synthesis, API &amp; CDMO Powerhouses</x:v>
      </x:c>
      <x:c r="B24" s="5" t="str">
        <x:v>Cambrex Karlskoga AB</x:v>
      </x:c>
      <x:c r="C24" s="5" t="str">
        <x:v>Karlskoga, SE</x:v>
      </x:c>
      <x:c r="D24" s="5" t="str">
        <x:v>~SEK 1,250M ($700M Global)</x:v>
      </x:c>
      <x:c r="E24" s="5" t="str">
        <x:v>~SEK 65M ($50M Global)</x:v>
      </x:c>
      <x:c r="F24" s="5" t="str">
        <x:v>Small molecule chemical synthesis, energetic chemistry (nitration), HPAPIs, continuous flow.</x:v>
      </x:c>
      <x:c r="G24" s="5" t="str">
        <x:v>Escalating solvent and energy costs; batch scheduling friction in multi-purpose synthesis reactors; client yield audits.</x:v>
      </x:c>
      <x:c r="H24" s="5" t="str">
        <x:v>API Margin Defense Suite: Synthesis yield optimization; multi-reactor batch leveling; continuous flow economic ROI modeling.</x:v>
      </x:c>
      <x:c r="I24" s="5" t="str">
        <x:v>UNVERIFIED source claims</x:v>
      </x:c>
      <x:c r="K24" s="31" t="str">
        <x:v>D04, Markdown line 265; http://nas-1.tail55d152.ts.net:4100/static/2S_PHARMACEUTICALS_AND_CHEMICALS_SECTOR_DOSSIER.html</x:v>
      </x:c>
    </x:row>
    <x:row r="25" ht="56" customHeight="1">
      <x:c r="A25" s="5" t="str">
        <x:v>5.3 Tier 3: Chemical Synthesis, API &amp; CDMO Powerhouses</x:v>
      </x:c>
      <x:c r="B25" s="5" t="str">
        <x:v>PolyPeptide Group</x:v>
      </x:c>
      <x:c r="C25" s="5" t="str">
        <x:v>Malmö, SE site (HQ Zug, CH)</x:v>
      </x:c>
      <x:c r="D25" s="5" t="str">
        <x:v>€336.8M (~SEK 3.82B)</x:v>
      </x:c>
      <x:c r="E25" s="5" t="str">
        <x:v>€1.1M expensed (+ major CAPEX)</x:v>
      </x:c>
      <x:c r="F25" s="5" t="str">
        <x:v>Solid-phase &amp; liquid-phase peptide synthesis (SPPS/LPPS), oligonucleotides, GLP-1 peptide backbones.</x:v>
      </x:c>
      <x:c r="G25" s="5" t="str">
        <x:v>Multi-kilogram peptide batch failure risk; high crude yield variance; amino acid raw material supply chain disruptions.</x:v>
      </x:c>
      <x:c r="H25" s="5" t="str">
        <x:v>Batch Synthesis Failure Predictive Analytics; automated raw material price variance tracking; LIMS quality automation.</x:v>
      </x:c>
      <x:c r="I25" s="5" t="str">
        <x:v>UNVERIFIED source claims</x:v>
      </x:c>
      <x:c r="K25" s="31" t="str">
        <x:v>D04, Markdown line 266; http://nas-1.tail55d152.ts.net:4100/static/2S_PHARMACEUTICALS_AND_CHEMICALS_SECTOR_DOSSIER.html</x:v>
      </x:c>
    </x:row>
    <x:row r="26" ht="56" customHeight="1">
      <x:c r="A26" s="5" t="str">
        <x:v>5.3 Tier 3: Chemical Synthesis, API &amp; CDMO Powerhouses</x:v>
      </x:c>
      <x:c r="B26" s="5" t="str">
        <x:v>Recipharm AB</x:v>
      </x:c>
      <x:c r="C26" s="5" t="str">
        <x:v>Stockholm, Uppsala, Karlskoga, SE</x:v>
      </x:c>
      <x:c r="D26" s="5" t="str">
        <x:v>~SEK 12,400M (~€1.1B)</x:v>
      </x:c>
      <x:c r="E26" s="5" t="str">
        <x:v>~SEK 380M est.</x:v>
      </x:c>
      <x:c r="F26" s="5" t="str">
        <x:v>Global top-5 CDMO; sterile injectables, lyophilization, solid oral dose, inhalation, Advanced Therapy Medicinal Products (ATMPs).</x:v>
      </x:c>
      <x:c r="G26" s="5" t="str">
        <x:v>Cleanroom batch changeover downtime (sterilization cycles); low-margin legacy client contracts; plant OEE variability across European sites.</x:v>
      </x:c>
      <x:c r="H26" s="5" t="str">
        <x:v>Plant Batch Cycle Compression: Unimark/Matix chemical plant turnaround playbook; cleanroom sterilization scheduling; contract profitability pruning.</x:v>
      </x:c>
      <x:c r="I26" s="5" t="str">
        <x:v>UNVERIFIED source claims</x:v>
      </x:c>
      <x:c r="K26" s="31" t="str">
        <x:v>D04, Markdown line 267; http://nas-1.tail55d152.ts.net:4100/static/2S_PHARMACEUTICALS_AND_CHEMICALS_SECTOR_DOSSIER.html</x:v>
      </x:c>
    </x:row>
    <x:row r="27" ht="56" customHeight="1">
      <x:c r="A27" s="5" t="str">
        <x:v>5.3 Tier 3: Chemical Synthesis, API &amp; CDMO Powerhouses</x:v>
      </x:c>
      <x:c r="B27" s="5" t="str">
        <x:v>Fresenius Kabi Sweden</x:v>
      </x:c>
      <x:c r="C27" s="5" t="str">
        <x:v>Uppsala &amp; Brunna, SE</x:v>
      </x:c>
      <x:c r="D27" s="5" t="str">
        <x:v>~SEK 4,500M est. (SE operations)</x:v>
      </x:c>
      <x:c r="E27" s="5" t="str">
        <x:v>~SEK 150M est.</x:v>
      </x:c>
      <x:c r="F27" s="5" t="str">
        <x:v>Intravenous nutrition, lipid emulsions, parenteral nutrition bags, sterile compounding.</x:v>
      </x:c>
      <x:c r="G27" s="5" t="str">
        <x:v>Complex aseptic cleanroom maintenance; glass vial shortage risks; high energy consumption in thermal sterilization.</x:v>
      </x:c>
      <x:c r="H27" s="5" t="str">
        <x:v>Energy &amp; Consumables Cost Accounting; predictive maintenance scheduling for high-speed filling lines.</x:v>
      </x:c>
      <x:c r="I27" s="5" t="str">
        <x:v>UNVERIFIED source claims</x:v>
      </x:c>
      <x:c r="K27" s="31" t="str">
        <x:v>D04, Markdown line 268; http://nas-1.tail55d152.ts.net:4100/static/2S_PHARMACEUTICALS_AND_CHEMICALS_SECTOR_DOSSIER.html</x:v>
      </x:c>
    </x:row>
    <x:row r="28" ht="56" customHeight="1">
      <x:c r="A28" s="5" t="str">
        <x:v>5.3 Tier 3: Chemical Synthesis, API &amp; CDMO Powerhouses</x:v>
      </x:c>
      <x:c r="B28" s="5" t="str">
        <x:v>Magle Chemoswed AB</x:v>
      </x:c>
      <x:c r="C28" s="5" t="str">
        <x:v>Malmö, SE</x:v>
      </x:c>
      <x:c r="D28" s="5" t="str">
        <x:v>SEK 21.0M (Chemoswed unit)</x:v>
      </x:c>
      <x:c r="E28" s="5" t="str">
        <x:v>SEK 12.0M</x:v>
      </x:c>
      <x:c r="F28" s="5" t="str">
        <x:v>Custom chemical synthesis, small molecule APIs, degradable starch micro-spheres (DSM).</x:v>
      </x:c>
      <x:c r="G28" s="5" t="str">
        <x:v>High fixed plant overhead; customer concentration risks; slow analytical method validation for novel chemical entities.</x:v>
      </x:c>
      <x:c r="H28" s="5" t="str">
        <x:v>Fixed Overhead Absorption Modeling; rapid analytical method workflow digitization.</x:v>
      </x:c>
      <x:c r="I28" s="5" t="str">
        <x:v>UNVERIFIED source claims</x:v>
      </x:c>
      <x:c r="K28" s="31" t="str">
        <x:v>D04, Markdown line 269; http://nas-1.tail55d152.ts.net:4100/static/2S_PHARMACEUTICALS_AND_CHEMICALS_SECTOR_DOSSIER.html</x:v>
      </x:c>
    </x:row>
    <x:row r="29" ht="42" customHeight="1">
      <x:c r="A29" s="5" t="str">
        <x:v>5.3 Tier 3: Chemical Synthesis, API &amp; CDMO Powerhouses</x:v>
      </x:c>
      <x:c r="B29" s="5" t="str">
        <x:v>Syntagon AB / Ardena</x:v>
      </x:c>
      <x:c r="C29" s="5" t="str">
        <x:v>Södertälje, SE</x:v>
      </x:c>
      <x:c r="D29" s="5" t="str">
        <x:v>~SEK 95M est.</x:v>
      </x:c>
      <x:c r="E29" s="5" t="str">
        <x:v>~SEK 8M est.</x:v>
      </x:c>
      <x:c r="F29" s="5" t="str">
        <x:v>Early-phase small molecule synthesis, medicinal chemistry scale-up, radiolabeling.</x:v>
      </x:c>
      <x:c r="G29" s="5" t="str">
        <x:v>Frequent campaign changeovers for small gram-scale batches; client milestone billing delays.</x:v>
      </x:c>
      <x:c r="H29" s="5" t="str">
        <x:v>Small-Batch Campaign Job Costing &amp; Milestone Billing Automation.</x:v>
      </x:c>
      <x:c r="I29" s="5" t="str">
        <x:v>UNVERIFIED source claims</x:v>
      </x:c>
      <x:c r="K29" s="31" t="str">
        <x:v>D04, Markdown line 270; http://nas-1.tail55d152.ts.net:4100/static/2S_PHARMACEUTICALS_AND_CHEMICALS_SECTOR_DOSSIER.html</x:v>
      </x:c>
    </x:row>
    <x:row r="30" ht="56" customHeight="1">
      <x:c r="A30" s="5" t="str">
        <x:v>5.3 Tier 3: Chemical Synthesis, API &amp; CDMO Powerhouses</x:v>
      </x:c>
      <x:c r="B30" s="5" t="str">
        <x:v>Octapharma AB</x:v>
      </x:c>
      <x:c r="C30" s="5" t="str">
        <x:v>Stockholm, SE</x:v>
      </x:c>
      <x:c r="D30" s="5" t="str">
        <x:v>~SEK 3,200M est. (SE site)</x:v>
      </x:c>
      <x:c r="E30" s="5" t="str">
        <x:v>~SEK 180M est.</x:v>
      </x:c>
      <x:c r="F30" s="5" t="str">
        <x:v>Human plasma fractionation, immunoglobulins, coagulation factors, human albumin.</x:v>
      </x:c>
      <x:c r="G30" s="5" t="str">
        <x:v>Plasma donor collection cost volatility; multi-week protein purification and viral inactivation cycles; stringent regulatory lot release.</x:v>
      </x:c>
      <x:c r="H30" s="5" t="str">
        <x:v>Plasma Yield Maximization Analytics; automated lot release documentation (21 CFR Part 11).</x:v>
      </x:c>
      <x:c r="I30" s="5" t="str">
        <x:v>UNVERIFIED source claims</x:v>
      </x:c>
      <x:c r="K30" s="31" t="str">
        <x:v>D04, Markdown line 271; http://nas-1.tail55d152.ts.net:4100/static/2S_PHARMACEUTICALS_AND_CHEMICALS_SECTOR_DOSSIER.html</x:v>
      </x:c>
    </x:row>
    <x:row r="31" ht="56" customHeight="1">
      <x:c r="A31" s="5" t="str">
        <x:v>5.3 Tier 3: Chemical Synthesis, API &amp; CDMO Powerhouses</x:v>
      </x:c>
      <x:c r="B31" s="5" t="str">
        <x:v>APL (Apotek Produktion &amp; Lab)</x:v>
      </x:c>
      <x:c r="C31" s="5" t="str">
        <x:v>Stockholm, Umeå, Malmö, SE</x:v>
      </x:c>
      <x:c r="D31" s="5" t="str">
        <x:v>SEK 1,480M (~€130M)</x:v>
      </x:c>
      <x:c r="E31" s="5" t="str">
        <x:v>SEK 35M est.</x:v>
      </x:c>
      <x:c r="F31" s="5" t="str">
        <x:v>Extemporaneous medicines, individualized patient dosing, hospital radiopharmaceuticals, CDMO.</x:v>
      </x:c>
      <x:c r="G31" s="5" t="str">
        <x:v>Highly fragmented small-batch production; manual pharmacy order entry; complex national public health service mandates.</x:v>
      </x:c>
      <x:c r="H31" s="5" t="str">
        <x:v>Order-to-Manufacture Workflow Automation; radiopharmaceutical just-in-time logistics scheduling.</x:v>
      </x:c>
      <x:c r="I31" s="5" t="str">
        <x:v>UNVERIFIED source claims</x:v>
      </x:c>
      <x:c r="K31" s="31" t="str">
        <x:v>D04, Markdown line 272; http://nas-1.tail55d152.ts.net:4100/static/2S_PHARMACEUTICALS_AND_CHEMICALS_SECTOR_DOSSIER.html</x:v>
      </x:c>
    </x:row>
    <x:row r="32" ht="56" customHeight="1">
      <x:c r="A32" s="5" t="str">
        <x:v>5.4 Tier 4: Clinical-Stage Biopharma &amp; Innovators</x:v>
      </x:c>
      <x:c r="B32" s="5" t="str">
        <x:v>BioInvent International AB</x:v>
      </x:c>
      <x:c r="C32" s="5" t="str">
        <x:v>Lund, SE</x:v>
      </x:c>
      <x:c r="D32" s="5" t="str">
        <x:v>SEK 148.5M</x:v>
      </x:c>
      <x:c r="E32" s="5" t="str">
        <x:v>SEK 342.6M</x:v>
      </x:c>
      <x:c r="F32" s="5" t="str">
        <x:v>Novel immuno-oncology antibodies (n-CoDeR® / F.I.R.S.T™ platforms), FcγRIIB-targeting.</x:v>
      </x:c>
      <x:c r="G32" s="5" t="str">
        <x:v>Managing multiple concurrent Phase I/II clinical trials; clinical cash burn vs milestone revenue timing; antibody yield optimization.</x:v>
      </x:c>
      <x:c r="H32" s="5" t="str">
        <x:v>Clinical R&amp;D Milestone Governance: Real-time cash burn cockpits; investigator grant tracking; biomanufacturing yield tracking.</x:v>
      </x:c>
      <x:c r="I32" s="5" t="str">
        <x:v>UNVERIFIED source claims</x:v>
      </x:c>
      <x:c r="K32" s="31" t="str">
        <x:v>D04, Markdown line 278; http://nas-1.tail55d152.ts.net:4100/static/2S_PHARMACEUTICALS_AND_CHEMICALS_SECTOR_DOSSIER.html</x:v>
      </x:c>
    </x:row>
    <x:row r="33" ht="56" customHeight="1">
      <x:c r="A33" s="5" t="str">
        <x:v>5.4 Tier 4: Clinical-Stage Biopharma &amp; Innovators</x:v>
      </x:c>
      <x:c r="B33" s="5" t="str">
        <x:v>Alligator Bioscience AB</x:v>
      </x:c>
      <x:c r="C33" s="5" t="str">
        <x:v>Lund, SE</x:v>
      </x:c>
      <x:c r="D33" s="5" t="str">
        <x:v>SEK 58.1M</x:v>
      </x:c>
      <x:c r="E33" s="5" t="str">
        <x:v>SEK 168.5M</x:v>
      </x:c>
      <x:c r="F33" s="5" t="str">
        <x:v>Tumor-directed immuno-oncology antibodies, CD40 agonists (Mitazalimab), 4-1BB bispecifics.</x:v>
      </x:c>
      <x:c r="G33" s="5" t="str">
        <x:v>Urgent cash runway constraints; patient recruitment speed in Phase II pancreatic cancer trials; partner co-development data sharing.</x:v>
      </x:c>
      <x:c r="H33" s="5" t="str">
        <x:v>HCare360 NLP Patient Screening: Accelerating clinical site screening; trial burn prediction to secure partnership deals.</x:v>
      </x:c>
      <x:c r="I33" s="5" t="str">
        <x:v>UNVERIFIED source claims</x:v>
      </x:c>
      <x:c r="K33" s="31" t="str">
        <x:v>D04, Markdown line 279; http://nas-1.tail55d152.ts.net:4100/static/2S_PHARMACEUTICALS_AND_CHEMICALS_SECTOR_DOSSIER.html</x:v>
      </x:c>
    </x:row>
    <x:row r="34" ht="42" customHeight="1">
      <x:c r="A34" s="5" t="str">
        <x:v>5.4 Tier 4: Clinical-Stage Biopharma &amp; Innovators</x:v>
      </x:c>
      <x:c r="B34" s="5" t="str">
        <x:v>Active Biotech AB</x:v>
      </x:c>
      <x:c r="C34" s="5" t="str">
        <x:v>Lund, SE</x:v>
      </x:c>
      <x:c r="D34" s="5" t="str">
        <x:v>SEK 12.4M</x:v>
      </x:c>
      <x:c r="E34" s="5" t="str">
        <x:v>SEK 45.2M</x:v>
      </x:c>
      <x:c r="F34" s="5" t="str">
        <x:v>Small molecule immunomodulators, tasquinimod (myelofibrosis), laquinimod (eye diseases).</x:v>
      </x:c>
      <x:c r="G34" s="5" t="str">
        <x:v>Limited internal IT staff; reliance on external CRO data feeds; tight operational budget.</x:v>
      </x:c>
      <x:c r="H34" s="5" t="str">
        <x:v>Fixed-Price GxP Trial Governance Sprint; outsourced clinical data pipeline maintenance.</x:v>
      </x:c>
      <x:c r="I34" s="5" t="str">
        <x:v>UNVERIFIED source claims</x:v>
      </x:c>
      <x:c r="K34" s="31" t="str">
        <x:v>D04, Markdown line 280; http://nas-1.tail55d152.ts.net:4100/static/2S_PHARMACEUTICALS_AND_CHEMICALS_SECTOR_DOSSIER.html</x:v>
      </x:c>
    </x:row>
    <x:row r="35" ht="42" customHeight="1">
      <x:c r="A35" s="5" t="str">
        <x:v>5.4 Tier 4: Clinical-Stage Biopharma &amp; Innovators</x:v>
      </x:c>
      <x:c r="B35" s="5" t="str">
        <x:v>AlzeCure Pharma AB</x:v>
      </x:c>
      <x:c r="C35" s="5" t="str">
        <x:v>Huddinge / Stockholm, SE</x:v>
      </x:c>
      <x:c r="D35" s="5" t="str">
        <x:v>Pre-revenue (SEK 0M)</x:v>
      </x:c>
      <x:c r="E35" s="5" t="str">
        <x:v>SEK 54.3M</x:v>
      </x:c>
      <x:c r="F35" s="5" t="str">
        <x:v>Small molecule neuro-therapeutics, Alzheimer's (Alzstatin), neuropathic pain (TrkA/VR1).</x:v>
      </x:c>
      <x:c r="G35" s="5" t="str">
        <x:v>Preclinical-to-clinical transition hurdles; managing multiple CRO partner contracts simultaneously.</x:v>
      </x:c>
      <x:c r="H35" s="5" t="str">
        <x:v>CRO Contract Performance &amp; Milestone Verification Dashboard.</x:v>
      </x:c>
      <x:c r="I35" s="5" t="str">
        <x:v>UNVERIFIED source claims</x:v>
      </x:c>
      <x:c r="K35" s="31" t="str">
        <x:v>D04, Markdown line 281; http://nas-1.tail55d152.ts.net:4100/static/2S_PHARMACEUTICALS_AND_CHEMICALS_SECTOR_DOSSIER.html</x:v>
      </x:c>
    </x:row>
    <x:row r="36" ht="42" customHeight="1">
      <x:c r="A36" s="5" t="str">
        <x:v>5.4 Tier 4: Clinical-Stage Biopharma &amp; Innovators</x:v>
      </x:c>
      <x:c r="B36" s="5" t="str">
        <x:v>Alzinova AB</x:v>
      </x:c>
      <x:c r="C36" s="5" t="str">
        <x:v>Gothenburg, SE</x:v>
      </x:c>
      <x:c r="D36" s="5" t="str">
        <x:v>Pre-revenue (SEK 0.3M)</x:v>
      </x:c>
      <x:c r="E36" s="5" t="str">
        <x:v>SEK 28.5M</x:v>
      </x:c>
      <x:c r="F36" s="5" t="str">
        <x:v>Peptide-based oligomer-specific active immunotherapy for Alzheimer's disease (ALZ-101).</x:v>
      </x:c>
      <x:c r="G36" s="5" t="str">
        <x:v>High cost of specialized peptide antigens; Phase II clinical trial preparatory costs.</x:v>
      </x:c>
      <x:c r="H36" s="5" t="str">
        <x:v>Peptide Antigen Sourcing Cost Analytics; clinical trial site budget optimization.</x:v>
      </x:c>
      <x:c r="I36" s="5" t="str">
        <x:v>UNVERIFIED source claims</x:v>
      </x:c>
      <x:c r="K36" s="31" t="str">
        <x:v>D04, Markdown line 282; http://nas-1.tail55d152.ts.net:4100/static/2S_PHARMACEUTICALS_AND_CHEMICALS_SECTOR_DOSSIER.html</x:v>
      </x:c>
    </x:row>
    <x:row r="37" ht="42" customHeight="1">
      <x:c r="A37" s="5" t="str">
        <x:v>5.4 Tier 4: Clinical-Stage Biopharma &amp; Innovators</x:v>
      </x:c>
      <x:c r="B37" s="5" t="str">
        <x:v>Ascelia Pharma AB</x:v>
      </x:c>
      <x:c r="C37" s="5" t="str">
        <x:v>Malmö, SE</x:v>
      </x:c>
      <x:c r="D37" s="5" t="str">
        <x:v>Pre-revenue (SEK 0M)</x:v>
      </x:c>
      <x:c r="E37" s="5" t="str">
        <x:v>SEK 82.1M</x:v>
      </x:c>
      <x:c r="F37" s="5" t="str">
        <x:v>Manganese-based liver imaging contrast agent (Mangoral), kidney impairment imaging.</x:v>
      </x:c>
      <x:c r="G37" s="5" t="str">
        <x:v>Re-evaluation of Phase III clinical trial imaging reads; regulatory dossier resubmission burn.</x:v>
      </x:c>
      <x:c r="H37" s="5" t="str">
        <x:v>Image Reading Workflow Audit; FDA/EMA regulatory dossier traceability.</x:v>
      </x:c>
      <x:c r="I37" s="5" t="str">
        <x:v>UNVERIFIED source claims</x:v>
      </x:c>
      <x:c r="K37" s="31" t="str">
        <x:v>D04, Markdown line 283; http://nas-1.tail55d152.ts.net:4100/static/2S_PHARMACEUTICALS_AND_CHEMICALS_SECTOR_DOSSIER.html</x:v>
      </x:c>
    </x:row>
    <x:row r="38" ht="42" customHeight="1">
      <x:c r="A38" s="5" t="str">
        <x:v>5.4 Tier 4: Clinical-Stage Biopharma &amp; Innovators</x:v>
      </x:c>
      <x:c r="B38" s="5" t="str">
        <x:v>Cereno Scientific AB</x:v>
      </x:c>
      <x:c r="C38" s="5" t="str">
        <x:v>Gothenburg, SE</x:v>
      </x:c>
      <x:c r="D38" s="5" t="str">
        <x:v>Pre-revenue (SEK 0M)</x:v>
      </x:c>
      <x:c r="E38" s="5" t="str">
        <x:v>SEK 78.4M</x:v>
      </x:c>
      <x:c r="F38" s="5" t="str">
        <x:v>Epigenetic modulation (HDAC inhibitors), pulmonary arterial hypertension (CS1).</x:v>
      </x:c>
      <x:c r="G38" s="5" t="str">
        <x:v>High trial complexity integrating continuous pulmonary pressure monitoring; clinical burn rate.</x:v>
      </x:c>
      <x:c r="H38" s="5" t="str">
        <x:v>IoT Clinical Telemetry Integration; patient hemodynamic trend analytics.</x:v>
      </x:c>
      <x:c r="I38" s="5" t="str">
        <x:v>UNVERIFIED source claims</x:v>
      </x:c>
      <x:c r="K38" s="31" t="str">
        <x:v>D04, Markdown line 284; http://nas-1.tail55d152.ts.net:4100/static/2S_PHARMACEUTICALS_AND_CHEMICALS_SECTOR_DOSSIER.html</x:v>
      </x:c>
    </x:row>
    <x:row r="39" ht="42" customHeight="1">
      <x:c r="A39" s="5" t="str">
        <x:v>5.4 Tier 4: Clinical-Stage Biopharma &amp; Innovators</x:v>
      </x:c>
      <x:c r="B39" s="5" t="str">
        <x:v>Cinclus Pharma AB</x:v>
      </x:c>
      <x:c r="C39" s="5" t="str">
        <x:v>Stockholm, SE</x:v>
      </x:c>
      <x:c r="D39" s="5" t="str">
        <x:v>Pre-revenue (SEK 6.0M)</x:v>
      </x:c>
      <x:c r="E39" s="5" t="str">
        <x:v>SEK 145.2M</x:v>
      </x:c>
      <x:c r="F39" s="5" t="str">
        <x:v>Potassium-competitive acid blocker (P-CAB, linaprazan glurate), severe GERD.</x:v>
      </x:c>
      <x:c r="G39" s="5" t="str">
        <x:v>Phase III trial capital expenditure; managing massive global clinical investigator networks.</x:v>
      </x:c>
      <x:c r="H39" s="5" t="str">
        <x:v>Investigator Grant Touchless Reconciliation; global site budget monitoring.</x:v>
      </x:c>
      <x:c r="I39" s="5" t="str">
        <x:v>UNVERIFIED source claims</x:v>
      </x:c>
      <x:c r="K39" s="31" t="str">
        <x:v>D04, Markdown line 285; http://nas-1.tail55d152.ts.net:4100/static/2S_PHARMACEUTICALS_AND_CHEMICALS_SECTOR_DOSSIER.html</x:v>
      </x:c>
    </x:row>
    <x:row r="40" ht="42" customHeight="1">
      <x:c r="A40" s="5" t="str">
        <x:v>5.4 Tier 4: Clinical-Stage Biopharma &amp; Innovators</x:v>
      </x:c>
      <x:c r="B40" s="5" t="str">
        <x:v>Oncopeptides AB</x:v>
      </x:c>
      <x:c r="C40" s="5" t="str">
        <x:v>Stockholm, SE</x:v>
      </x:c>
      <x:c r="D40" s="5" t="str">
        <x:v>SEK 31.65M</x:v>
      </x:c>
      <x:c r="E40" s="5" t="str">
        <x:v>SEK 184.2M</x:v>
      </x:c>
      <x:c r="F40" s="5" t="str">
        <x:v>Peptide-drug conjugates (PDC), melflufen (Pepaxti), relapsed multiple myeloma.</x:v>
      </x:c>
      <x:c r="G40" s="5" t="str">
        <x:v>Re-establishing commercial traction across Europe post-US withdrawal; hospital tender access.</x:v>
      </x:c>
      <x:c r="H40" s="5" t="str">
        <x:v>European Named-Patient &amp; Commercial Tender Management; hospital budget impact modeling.</x:v>
      </x:c>
      <x:c r="I40" s="5" t="str">
        <x:v>UNVERIFIED source claims</x:v>
      </x:c>
      <x:c r="K40" s="31" t="str">
        <x:v>D04, Markdown line 286; http://nas-1.tail55d152.ts.net:4100/static/2S_PHARMACEUTICALS_AND_CHEMICALS_SECTOR_DOSSIER.html</x:v>
      </x:c>
    </x:row>
    <x:row r="41" ht="56" customHeight="1">
      <x:c r="A41" s="5" t="str">
        <x:v>5.4 Tier 4: Clinical-Stage Biopharma &amp; Innovators</x:v>
      </x:c>
      <x:c r="B41" s="5" t="str">
        <x:v>Xbrane Biopharma AB</x:v>
      </x:c>
      <x:c r="C41" s="5" t="str">
        <x:v>Solna, SE</x:v>
      </x:c>
      <x:c r="D41" s="5" t="str">
        <x:v>SEK 245.0M</x:v>
      </x:c>
      <x:c r="E41" s="5" t="str">
        <x:v>SEK 195.0M</x:v>
      </x:c>
      <x:c r="F41" s="5" t="str">
        <x:v>Biosimilars, high-yield protein expression platforms, ranibizumab (Xlucane).</x:v>
      </x:c>
      <x:c r="G41" s="5" t="str">
        <x:v>Extreme manufacturing cost sensitivity in biosimilars; patent litigation monitoring; commercial partner supply coordination.</x:v>
      </x:c>
      <x:c r="H41" s="5" t="str">
        <x:v>Biosimilar Cost-of-Goods-Sold (COGS) Simulation; manufacturing batch yield optimization.</x:v>
      </x:c>
      <x:c r="I41" s="5" t="str">
        <x:v>UNVERIFIED source claims</x:v>
      </x:c>
      <x:c r="K41" s="31" t="str">
        <x:v>D04, Markdown line 287; http://nas-1.tail55d152.ts.net:4100/static/2S_PHARMACEUTICALS_AND_CHEMICALS_SECTOR_DOSSIER.html</x:v>
      </x:c>
    </x:row>
    <x:row r="42" ht="56" customHeight="1">
      <x:c r="A42" s="5" t="str">
        <x:v>5.4 Tier 4: Clinical-Stage Biopharma &amp; Innovators</x:v>
      </x:c>
      <x:c r="B42" s="5" t="str">
        <x:v>Hansa Biopharma AB</x:v>
      </x:c>
      <x:c r="C42" s="5" t="str">
        <x:v>Lund, SE</x:v>
      </x:c>
      <x:c r="D42" s="5" t="str">
        <x:v>SEK 171.3M</x:v>
      </x:c>
      <x:c r="E42" s="5" t="str">
        <x:v>SEK 398.5M</x:v>
      </x:c>
      <x:c r="F42" s="5" t="str">
        <x:v>Immunomodulatory enzyme technology, imlifidase (Idefirix), kidney transplantation desensitization.</x:v>
      </x:c>
      <x:c r="G42" s="5" t="str">
        <x:v>Rare disease patient identification; complex hospital reimbursement negotiations across individual European transplant centers.</x:v>
      </x:c>
      <x:c r="H42" s="5" t="str">
        <x:v>HCare360 NLP Patient Screening in Transplant Centers; Hospital CFO Reimbursement Calculators.</x:v>
      </x:c>
      <x:c r="I42" s="5" t="str">
        <x:v>UNVERIFIED source claims</x:v>
      </x:c>
      <x:c r="K42" s="31" t="str">
        <x:v>D04, Markdown line 288; http://nas-1.tail55d152.ts.net:4100/static/2S_PHARMACEUTICALS_AND_CHEMICALS_SECTOR_DOSSIER.html</x:v>
      </x:c>
    </x:row>
    <x:row r="43" ht="56" customHeight="1">
      <x:c r="A43" s="5" t="str">
        <x:v>5.5 Tier 5: Synthesis Enablers, Life Science Tools &amp; Reagents</x:v>
      </x:c>
      <x:c r="B43" s="5" t="str">
        <x:v>Biotage AB</x:v>
      </x:c>
      <x:c r="C43" s="5" t="str">
        <x:v>Uppsala, SE</x:v>
      </x:c>
      <x:c r="D43" s="5" t="str">
        <x:v>SEK 2,056M (~€180M)</x:v>
      </x:c>
      <x:c r="E43" s="5" t="str">
        <x:v>SEK 180M (~€16M)</x:v>
      </x:c>
      <x:c r="F43" s="5" t="str">
        <x:v>Automated chemical synthesis, flash chromatography, peptide synthesizers, sample prep.</x:v>
      </x:c>
      <x:c r="G43" s="5" t="str">
        <x:v>Transitioning hardware sales to recurring consumables; global customer service dispatch; software integration with customer LIMS.</x:v>
      </x:c>
      <x:c r="H43" s="5" t="str">
        <x:v>Device-as-a-Service (DaaS) Consumables Telemetry; LIMS connectivity architecture; service contract profitability modeling.</x:v>
      </x:c>
      <x:c r="I43" s="5" t="str">
        <x:v>UNVERIFIED source claims</x:v>
      </x:c>
      <x:c r="K43" s="31" t="str">
        <x:v>D04, Markdown line 294; http://nas-1.tail55d152.ts.net:4100/static/2S_PHARMACEUTICALS_AND_CHEMICALS_SECTOR_DOSSIER.html</x:v>
      </x:c>
    </x:row>
    <x:row r="44" ht="56" customHeight="1">
      <x:c r="A44" s="5" t="str">
        <x:v>5.5 Tier 5: Synthesis Enablers, Life Science Tools &amp; Reagents</x:v>
      </x:c>
      <x:c r="B44" s="5" t="str">
        <x:v>Bio-Works Technologies AB</x:v>
      </x:c>
      <x:c r="C44" s="5" t="str">
        <x:v>Uppsala, SE</x:v>
      </x:c>
      <x:c r="D44" s="5" t="str">
        <x:v>SEK 35.2M</x:v>
      </x:c>
      <x:c r="E44" s="5" t="str">
        <x:v>SEK 18.5M</x:v>
      </x:c>
      <x:c r="F44" s="5" t="str">
        <x:v>Agarose-based chromatography purification resins (WorkBeads) for biologics and peptides.</x:v>
      </x:c>
      <x:c r="G44" s="5" t="str">
        <x:v>Competing against Cytiva (Danaher); scaling manufacturing capacity; customer evaluation lead times.</x:v>
      </x:c>
      <x:c r="H44" s="5" t="str">
        <x:v>Resin Performance Cost-Benefit Calculators; sales pipeline conversion tracking.</x:v>
      </x:c>
      <x:c r="I44" s="5" t="str">
        <x:v>UNVERIFIED source claims</x:v>
      </x:c>
      <x:c r="K44" s="31" t="str">
        <x:v>D04, Markdown line 295; http://nas-1.tail55d152.ts.net:4100/static/2S_PHARMACEUTICALS_AND_CHEMICALS_SECTOR_DOSSIER.html</x:v>
      </x:c>
    </x:row>
    <x:row r="45" ht="56" customHeight="1">
      <x:c r="A45" s="5" t="str">
        <x:v>5.5 Tier 5: Synthesis Enablers, Life Science Tools &amp; Reagents</x:v>
      </x:c>
      <x:c r="B45" s="5" t="str">
        <x:v>BioLamina AB</x:v>
      </x:c>
      <x:c r="C45" s="5" t="str">
        <x:v>Sundbyberg, SE</x:v>
      </x:c>
      <x:c r="D45" s="5" t="str">
        <x:v>SEK 95.0M est.</x:v>
      </x:c>
      <x:c r="E45" s="5" t="str">
        <x:v>SEK 15.0M est.</x:v>
      </x:c>
      <x:c r="F45" s="5" t="str">
        <x:v>Recombinant human laminins for stem cell culture, cell therapy, and regenerative medicine.</x:v>
      </x:c>
      <x:c r="G45" s="5" t="str">
        <x:v>High bioproduction cleanroom costs; cold-chain distribution logistics; global distributor margin tracking.</x:v>
      </x:c>
      <x:c r="H45" s="5" t="str">
        <x:v>Global Wholesaler &amp; Distributor Margin Tracking; cleanroom batch yield modeling.</x:v>
      </x:c>
      <x:c r="I45" s="5" t="str">
        <x:v>UNVERIFIED source claims</x:v>
      </x:c>
      <x:c r="K45" s="31" t="str">
        <x:v>D04, Markdown line 296; http://nas-1.tail55d152.ts.net:4100/static/2S_PHARMACEUTICALS_AND_CHEMICALS_SECTOR_DOSSIER.html</x:v>
      </x:c>
    </x:row>
    <x:row r="46" ht="56" customHeight="1">
      <x:c r="A46" s="5" t="str">
        <x:v>5.5 Tier 5: Synthesis Enablers, Life Science Tools &amp; Reagents</x:v>
      </x:c>
      <x:c r="B46" s="5" t="str">
        <x:v>ANYO Labs AB</x:v>
      </x:c>
      <x:c r="C46" s="5" t="str">
        <x:v>Gothenburg, SE</x:v>
      </x:c>
      <x:c r="D46" s="5" t="str">
        <x:v>Early stage</x:v>
      </x:c>
      <x:c r="E46" s="5" t="str">
        <x:v>Proprietary R&amp;D</x:v>
      </x:c>
      <x:c r="F46" s="5" t="str">
        <x:v>AI-driven computational drug discovery, quantum mechanical docking, generative chemistry.</x:v>
      </x:c>
      <x:c r="G46" s="5" t="str">
        <x:v>Proving model generalizability to pharmaceutical partners; ensuring European data sovereignty and IP protection.</x:v>
      </x:c>
      <x:c r="H46" s="5" t="str">
        <x:v>Sovereign Cloud Deployment (Numantra Finland ISO Cloud); EU AI Act Conformity Documentation.</x:v>
      </x:c>
      <x:c r="I46" s="5" t="str">
        <x:v>UNVERIFIED source claims</x:v>
      </x:c>
      <x:c r="K46" s="31" t="str">
        <x:v>D04, Markdown line 297; http://nas-1.tail55d152.ts.net:4100/static/2S_PHARMACEUTICALS_AND_CHEMICALS_SECTOR_DOSSIER.html</x:v>
      </x:c>
    </x:row>
    <x:row r="47" ht="56" customHeight="1">
      <x:c r="A47" s="5" t="str">
        <x:v>5.5 Tier 5: Synthesis Enablers, Life Science Tools &amp; Reagents</x:v>
      </x:c>
      <x:c r="B47" s="5" t="str">
        <x:v>Agrisera AB</x:v>
      </x:c>
      <x:c r="C47" s="5" t="str">
        <x:v>Vännäs / Umeå, SE</x:v>
      </x:c>
      <x:c r="D47" s="5" t="str">
        <x:v>SEK 48.0M est.</x:v>
      </x:c>
      <x:c r="E47" s="5" t="str">
        <x:v>SEK 5.0M est.</x:v>
      </x:c>
      <x:c r="F47" s="5" t="str">
        <x:v>Polyclonal and monoclonal antibody production, plant science, molecular biology reagents.</x:v>
      </x:c>
      <x:c r="G47" s="5" t="str">
        <x:v>High SKU count with low individual volume; catalog inventory holding costs; e-commerce ERP integration.</x:v>
      </x:c>
      <x:c r="H47" s="5" t="str">
        <x:v>SKU Assortment &amp; Inventory Yield Optimization (Ready-to-go Retail / Distribution Engine).</x:v>
      </x:c>
      <x:c r="I47" s="5" t="str">
        <x:v>UNVERIFIED source claims</x:v>
      </x:c>
      <x:c r="K47" s="31" t="str">
        <x:v>D04, Markdown line 298; http://nas-1.tail55d152.ts.net:4100/static/2S_PHARMACEUTICALS_AND_CHEMICALS_SECTOR_DOSSIER.html</x:v>
      </x:c>
    </x:row>
  </x:sheetData>
  <x:mergeCells>
    <x:mergeCell ref="A2:I2"/>
    <x:mergeCell ref="A3:I3"/>
    <x:mergeCell ref="A4:I4"/>
  </x:mergeCells>
  <x:pageMargins left="0.7" right="0.7" top="0.75" bottom="0.75" header="0.3" footer="0.3"/>
  <x:tableParts count="1">
    <x:tablePart xmlns:r="http://schemas.openxmlformats.org/officeDocument/2006/relationships" r:id="Ra542a312a47c497b"/>
  </x:tableParts>
</x:worksheet>
</file>

<file path=xl/worksheets/sheet11.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12" hidden="0" customWidth="1"/>
    <x:col min="2" max="2" width="32" hidden="0" customWidth="1"/>
    <x:col min="3" max="3" width="28" hidden="0" customWidth="1"/>
    <x:col min="4" max="4" width="43" hidden="0" customWidth="1"/>
    <x:col min="5" max="5" width="48" hidden="0" customWidth="1"/>
    <x:col min="6" max="6" width="45" hidden="0" customWidth="1"/>
    <x:col min="7" max="7" width="13" hidden="0" customWidth="1"/>
    <x:col min="8" max="8" width="20" hidden="0" customWidth="1"/>
    <x:col min="9" max="9" width="100" hidden="0" customWidth="1"/>
    <x:col min="10" max="10" width="28" hidden="0" customWidth="1"/>
    <x:col min="11" max="11" width="3" hidden="0" customWidth="1"/>
    <x:col min="12" max="12" width="95" hidden="0" customWidth="1"/>
  </x:cols>
  <x:sheetData>
    <x:row r="1">
      <x:c r="A1" s="24"/>
      <x:c r="B1" s="24"/>
      <x:c r="C1" s="24"/>
      <x:c r="D1" s="24"/>
      <x:c r="E1" s="24"/>
      <x:c r="F1" s="24"/>
      <x:c r="G1" s="24"/>
      <x:c r="H1" s="24"/>
      <x:c r="I1" s="24"/>
      <x:c r="J1" s="24"/>
    </x:row>
    <x:row r="2" ht="28" customHeight="1">
      <x:c r="A2" s="25" t="str">
        <x:v>Financial dossier source records</x:v>
      </x:c>
      <x:c r="B2" s="24"/>
      <x:c r="C2" s="24"/>
      <x:c r="D2" s="24"/>
      <x:c r="E2" s="24"/>
      <x:c r="F2" s="24"/>
      <x:c r="G2" s="24"/>
      <x:c r="H2" s="24"/>
      <x:c r="I2" s="24"/>
      <x:c r="J2" s="24"/>
    </x:row>
    <x:row r="3">
      <x:c r="A3" s="24" t="str">
        <x:v>v0003 · 2026-09-28T10:47:52Z (UTC)</x:v>
      </x:c>
      <x:c r="B3" s="24"/>
      <x:c r="C3" s="24"/>
      <x:c r="D3" s="24"/>
      <x:c r="E3" s="24"/>
      <x:c r="F3" s="24"/>
      <x:c r="G3" s="24"/>
      <x:c r="H3" s="24"/>
      <x:c r="I3" s="24"/>
      <x:c r="J3" s="24"/>
    </x:row>
    <x:row r="4" ht="32" customHeight="1">
      <x:c r="A4" s="27" t="str">
        <x:v>Historical dossier transcription. Directory and Review_Evidence retain corrections and checked values. No entity merge or financial aggregation.</x:v>
      </x:c>
      <x:c r="B4" s="24"/>
      <x:c r="C4" s="24"/>
      <x:c r="D4" s="24"/>
      <x:c r="E4" s="24"/>
      <x:c r="F4" s="24"/>
      <x:c r="G4" s="24"/>
      <x:c r="H4" s="24"/>
      <x:c r="I4" s="24"/>
      <x:c r="J4" s="24"/>
    </x:row>
    <x:row r="5">
      <x:c r="A5" s="24"/>
      <x:c r="B5" s="24"/>
      <x:c r="C5" s="24"/>
      <x:c r="D5" s="24"/>
      <x:c r="E5" s="24"/>
      <x:c r="F5" s="24"/>
      <x:c r="G5" s="24"/>
      <x:c r="H5" s="24"/>
      <x:c r="I5" s="24"/>
      <x:c r="J5" s="24"/>
    </x:row>
    <x:row r="6">
      <x:c r="A6" s="24"/>
      <x:c r="B6" s="24"/>
      <x:c r="C6" s="24"/>
      <x:c r="D6" s="24"/>
      <x:c r="E6" s="24"/>
      <x:c r="F6" s="24"/>
      <x:c r="G6" s="24"/>
      <x:c r="H6" s="24"/>
      <x:c r="I6" s="24"/>
      <x:c r="J6" s="24"/>
    </x:row>
    <x:row r="7" ht="42" customHeight="1">
      <x:c r="A7" s="29" t="str">
        <x:v>Source no.</x:v>
      </x:c>
      <x:c r="B7" s="29" t="str">
        <x:v>Company</x:v>
      </x:c>
      <x:c r="C7" s="29" t="str">
        <x:v>Location</x:v>
      </x:c>
      <x:c r="D7" s="29" t="str">
        <x:v>Focus Area</x:v>
      </x:c>
      <x:c r="E7" s="29" t="str">
        <x:v>Revenue / Net Sales</x:v>
      </x:c>
      <x:c r="F7" s="29" t="str">
        <x:v>R&amp;D Spend</x:v>
      </x:c>
      <x:c r="G7" s="29" t="str">
        <x:v>Currency</x:v>
      </x:c>
      <x:c r="H7" s="29" t="str">
        <x:v>Fiscal Year</x:v>
      </x:c>
      <x:c r="I7" s="29" t="str">
        <x:v>Status / Ownership / Strategic Service Alignment</x:v>
      </x:c>
      <x:c r="J7" s="29" t="str">
        <x:v>Status</x:v>
      </x:c>
      <x:c r="L7" s="31" t="str">
        <x:v>Document source and locator</x:v>
      </x:c>
    </x:row>
    <x:row r="8" ht="42" customHeight="1">
      <x:c r="A8" s="5" t="n">
        <x:v>1</x:v>
      </x:c>
      <x:c r="B8" s="5" t="str">
        <x:v>HemoCue</x:v>
      </x:c>
      <x:c r="C8" s="5" t="str">
        <x:v>Ängelholm, Sweden</x:v>
      </x:c>
      <x:c r="D8" s="5" t="str">
        <x:v>Point-of-Care Diagnostics</x:v>
      </x:c>
      <x:c r="E8" s="5" t="str">
        <x:v>SEK 1,720.0M est. (Danaher Diagnostics $9.5B)</x:v>
      </x:c>
      <x:c r="F8" s="5" t="str">
        <x:v>SEK 135.0M est.</x:v>
      </x:c>
      <x:c r="G8" s="5" t="str">
        <x:v>SEK</x:v>
      </x:c>
      <x:c r="H8" s="5" t="str">
        <x:v>FY2023/24</x:v>
      </x:c>
      <x:c r="I8" s="5" t="str">
        <x:v>Danaher (NYSE: DHR) subsidiary; Package A (HEOR POC calculators for clinic workflow)</x:v>
      </x:c>
      <x:c r="J8" s="5" t="str">
        <x:v>UNVERIFIED historical claim</x:v>
      </x:c>
      <x:c r="L8" s="31" t="str">
        <x:v>D06, Markdown line 182; http://nas-1.tail55d152.ts.net:4100/static/MEDICAL_NORDICS_FINANCIALS_DOSSIER.html</x:v>
      </x:c>
    </x:row>
    <x:row r="9" ht="42" customHeight="1">
      <x:c r="A9" s="5" t="n">
        <x:v>2</x:v>
      </x:c>
      <x:c r="B9" s="5" t="str">
        <x:v>Devyser</x:v>
      </x:c>
      <x:c r="C9" s="5" t="str">
        <x:v>Årsta, Sweden</x:v>
      </x:c>
      <x:c r="D9" s="5" t="str">
        <x:v>Genetic Diagnostics, NGS Analysis</x:v>
      </x:c>
      <x:c r="E9" s="5" t="str">
        <x:v>SEK 216.9M (SEK 169.3M FY23)</x:v>
      </x:c>
      <x:c r="F9" s="5" t="str">
        <x:v>SEK 44.8M</x:v>
      </x:c>
      <x:c r="G9" s="5" t="str">
        <x:v>SEK</x:v>
      </x:c>
      <x:c r="H9" s="5" t="str">
        <x:v>FY2024</x:v>
      </x:c>
      <x:c r="I9" s="5" t="str">
        <x:v>Listed (Nasdaq: DVYSR); Package A &amp; E (Lab technician labor reduction &amp; CE-IVDR)</x:v>
      </x:c>
      <x:c r="J9" s="5" t="str">
        <x:v>UNVERIFIED historical claim</x:v>
      </x:c>
      <x:c r="L9" s="31" t="str">
        <x:v>D06, Markdown line 183; http://nas-1.tail55d152.ts.net:4100/static/MEDICAL_NORDICS_FINANCIALS_DOSSIER.html</x:v>
      </x:c>
    </x:row>
    <x:row r="10" ht="42" customHeight="1">
      <x:c r="A10" s="5" t="n">
        <x:v>3</x:v>
      </x:c>
      <x:c r="B10" s="5" t="str">
        <x:v>AOP Orphan Diseases</x:v>
      </x:c>
      <x:c r="C10" s="5" t="str">
        <x:v>Bromma, Sweden</x:v>
      </x:c>
      <x:c r="D10" s="5" t="str">
        <x:v>Orphan Disease Treatments</x:v>
      </x:c>
      <x:c r="E10" s="5" t="str">
        <x:v>EUR 450.0M</x:v>
      </x:c>
      <x:c r="F10" s="5" t="str">
        <x:v>EUR 85.0M (~19% sales)</x:v>
      </x:c>
      <x:c r="G10" s="5" t="str">
        <x:v>EUR</x:v>
      </x:c>
      <x:c r="H10" s="5" t="str">
        <x:v>FY2024/25</x:v>
      </x:c>
      <x:c r="I10" s="5" t="str">
        <x:v>AOP Health Group; Package C (Rare disease tender and commercial stockist portal)</x:v>
      </x:c>
      <x:c r="J10" s="5" t="str">
        <x:v>UNVERIFIED historical claim</x:v>
      </x:c>
      <x:c r="L10" s="31" t="str">
        <x:v>D06, Markdown line 184; http://nas-1.tail55d152.ts.net:4100/static/MEDICAL_NORDICS_FINANCIALS_DOSSIER.html</x:v>
      </x:c>
    </x:row>
    <x:row r="11" ht="42" customHeight="1">
      <x:c r="A11" s="5" t="n">
        <x:v>4</x:v>
      </x:c>
      <x:c r="B11" s="5" t="str">
        <x:v>Fresenius Kabi</x:v>
      </x:c>
      <x:c r="C11" s="5" t="str">
        <x:v>Brunna, Sweden</x:v>
      </x:c>
      <x:c r="D11" s="5" t="str">
        <x:v>Sterile Parenterals &amp; CDMO</x:v>
      </x:c>
      <x:c r="E11" s="5" t="str">
        <x:v>EUR 8,414.0M (Sweden ~SEK 4.8B)</x:v>
      </x:c>
      <x:c r="F11" s="5" t="str">
        <x:v>EUR 636.0M (~SEK 7.2B group)</x:v>
      </x:c>
      <x:c r="G11" s="5" t="str">
        <x:v>EUR</x:v>
      </x:c>
      <x:c r="H11" s="5" t="str">
        <x:v>FY2024</x:v>
      </x:c>
      <x:c r="I11" s="5" t="str">
        <x:v>Fresenius SE (DAX: FRE); Package D (Aseptic batch scheduling &amp; changeover speedup)</x:v>
      </x:c>
      <x:c r="J11" s="5" t="str">
        <x:v>UNVERIFIED historical claim</x:v>
      </x:c>
      <x:c r="L11" s="31" t="str">
        <x:v>D06, Markdown line 185; http://nas-1.tail55d152.ts.net:4100/static/MEDICAL_NORDICS_FINANCIALS_DOSSIER.html</x:v>
      </x:c>
    </x:row>
    <x:row r="12" ht="42" customHeight="1">
      <x:c r="A12" s="5" t="n">
        <x:v>5</x:v>
      </x:c>
      <x:c r="B12" s="5" t="str">
        <x:v>Getinge</x:v>
      </x:c>
      <x:c r="C12" s="5" t="str">
        <x:v>Getinge, Sweden</x:v>
      </x:c>
      <x:c r="D12" s="5" t="str">
        <x:v>Intensive Care &amp; MedTech</x:v>
      </x:c>
      <x:c r="E12" s="5" t="str">
        <x:v>SEK 34,759.0M (SEK 34.76B)</x:v>
      </x:c>
      <x:c r="F12" s="5" t="str">
        <x:v>SEK 1,745.0M (~5.0% sales)</x:v>
      </x:c>
      <x:c r="G12" s="5" t="str">
        <x:v>SEK</x:v>
      </x:c>
      <x:c r="H12" s="5" t="str">
        <x:v>FY2024</x:v>
      </x:c>
      <x:c r="I12" s="5" t="str">
        <x:v>Listed (Nasdaq: GETI B); Package A (CathLab/OR DaaS managed care financial models)</x:v>
      </x:c>
      <x:c r="J12" s="5" t="str">
        <x:v>UNVERIFIED historical claim</x:v>
      </x:c>
      <x:c r="L12" s="31" t="str">
        <x:v>D06, Markdown line 186; http://nas-1.tail55d152.ts.net:4100/static/MEDICAL_NORDICS_FINANCIALS_DOSSIER.html</x:v>
      </x:c>
    </x:row>
    <x:row r="13" ht="42" customHeight="1">
      <x:c r="A13" s="5" t="n">
        <x:v>6</x:v>
      </x:c>
      <x:c r="B13" s="5" t="str">
        <x:v>Simsen Diagnostics</x:v>
      </x:c>
      <x:c r="C13" s="5" t="str">
        <x:v>Göteborg, Sweden</x:v>
      </x:c>
      <x:c r="D13" s="5" t="str">
        <x:v>Ultra-sensitive ctDNA Biopsy</x:v>
      </x:c>
      <x:c r="E13" s="5" t="str">
        <x:v>SEK 4.5M</x:v>
      </x:c>
      <x:c r="F13" s="5" t="str">
        <x:v>SEK 15.5M</x:v>
      </x:c>
      <x:c r="G13" s="5" t="str">
        <x:v>SEK</x:v>
      </x:c>
      <x:c r="H13" s="5" t="str">
        <x:v>FY2024</x:v>
      </x:c>
      <x:c r="I13" s="5" t="str">
        <x:v>Private liquid biopsy; Package E (Bioinformatics pipeline validation &amp; ISO 27001)</x:v>
      </x:c>
      <x:c r="J13" s="5" t="str">
        <x:v>UNVERIFIED historical claim</x:v>
      </x:c>
      <x:c r="L13" s="31" t="str">
        <x:v>D06, Markdown line 187; http://nas-1.tail55d152.ts.net:4100/static/MEDICAL_NORDICS_FINANCIALS_DOSSIER.html</x:v>
      </x:c>
    </x:row>
    <x:row r="14" ht="42" customHeight="1">
      <x:c r="A14" s="5" t="n">
        <x:v>7</x:v>
      </x:c>
      <x:c r="B14" s="5" t="str">
        <x:v>ANYO Labs</x:v>
      </x:c>
      <x:c r="C14" s="5" t="str">
        <x:v>Gothenburg, Sweden</x:v>
      </x:c>
      <x:c r="D14" s="5" t="str">
        <x:v>AI Small Molecule Discovery</x:v>
      </x:c>
      <x:c r="E14" s="5" t="str">
        <x:v>SEK 2.0M est.</x:v>
      </x:c>
      <x:c r="F14" s="5" t="str">
        <x:v>SEK 5.2M</x:v>
      </x:c>
      <x:c r="G14" s="5" t="str">
        <x:v>SEK</x:v>
      </x:c>
      <x:c r="H14" s="5" t="str">
        <x:v>FY2023/24</x:v>
      </x:c>
      <x:c r="I14" s="5" t="str">
        <x:v>Private AI discovery; Package E (Explainable AI audit &amp; pharma out-licensing models)</x:v>
      </x:c>
      <x:c r="J14" s="5" t="str">
        <x:v>UNVERIFIED historical claim</x:v>
      </x:c>
      <x:c r="L14" s="31" t="str">
        <x:v>D06, Markdown line 188; http://nas-1.tail55d152.ts.net:4100/static/MEDICAL_NORDICS_FINANCIALS_DOSSIER.html</x:v>
      </x:c>
    </x:row>
    <x:row r="15" ht="42" customHeight="1">
      <x:c r="A15" s="5" t="n">
        <x:v>8</x:v>
      </x:c>
      <x:c r="B15" s="5" t="str">
        <x:v>AstraZeneca</x:v>
      </x:c>
      <x:c r="C15" s="5" t="str">
        <x:v>Gothenburg, Sweden</x:v>
      </x:c>
      <x:c r="D15" s="5" t="str">
        <x:v>Biologics &amp; Vaccines Flagship</x:v>
      </x:c>
      <x:c r="E15" s="5" t="str">
        <x:v>USD 54,100.0M ($54.1B)</x:v>
      </x:c>
      <x:c r="F15" s="5" t="str">
        <x:v>USD 13,600.0M ($13.6B)</x:v>
      </x:c>
      <x:c r="G15" s="5" t="str">
        <x:v>USD</x:v>
      </x:c>
      <x:c r="H15" s="5" t="str">
        <x:v>FY2024</x:v>
      </x:c>
      <x:c r="I15" s="5" t="str">
        <x:v>Listed (AZN); Package B &amp; D (Clinical NLP screening &amp; Södertälje plant yield defense)</x:v>
      </x:c>
      <x:c r="J15" s="5" t="str">
        <x:v>UNVERIFIED historical claim</x:v>
      </x:c>
      <x:c r="L15" s="31" t="str">
        <x:v>D06, Markdown line 189; http://nas-1.tail55d152.ts.net:4100/static/MEDICAL_NORDICS_FINANCIALS_DOSSIER.html</x:v>
      </x:c>
    </x:row>
    <x:row r="16" ht="42" customHeight="1">
      <x:c r="A16" s="5" t="n">
        <x:v>9</x:v>
      </x:c>
      <x:c r="B16" s="5" t="str">
        <x:v>Cellenion</x:v>
      </x:c>
      <x:c r="C16" s="5" t="str">
        <x:v>Gothenburg, Sweden</x:v>
      </x:c>
      <x:c r="D16" s="5" t="str">
        <x:v>Single Cell Isolation &amp; Picoliter</x:v>
      </x:c>
      <x:c r="E16" s="5" t="str">
        <x:v>EUR 18.0M est. (~SEK 205M)</x:v>
      </x:c>
      <x:c r="F16" s="5" t="str">
        <x:v>EUR 4.2M (~SEK 48M)</x:v>
      </x:c>
      <x:c r="G16" s="5" t="str">
        <x:v>EUR</x:v>
      </x:c>
      <x:c r="H16" s="5" t="str">
        <x:v>FY2023/24</x:v>
      </x:c>
      <x:c r="I16" s="5" t="str">
        <x:v>BICO Group division; Package A (Precision dispenser hardware-to-cloud DaaS)</x:v>
      </x:c>
      <x:c r="J16" s="5" t="str">
        <x:v>UNVERIFIED historical claim</x:v>
      </x:c>
      <x:c r="L16" s="31" t="str">
        <x:v>D06, Markdown line 190; http://nas-1.tail55d152.ts.net:4100/static/MEDICAL_NORDICS_FINANCIALS_DOSSIER.html</x:v>
      </x:c>
    </x:row>
    <x:row r="17" ht="42" customHeight="1">
      <x:c r="A17" s="5" t="n">
        <x:v>10</x:v>
      </x:c>
      <x:c r="B17" s="5" t="str">
        <x:v>Cellink</x:v>
      </x:c>
      <x:c r="C17" s="5" t="str">
        <x:v>Gothenburg, Sweden</x:v>
      </x:c>
      <x:c r="D17" s="5" t="str">
        <x:v>3D Bioprinting Systems</x:v>
      </x:c>
      <x:c r="E17" s="5" t="str">
        <x:v>SEK 2,240.0M (BICO Group; Cellink ~600M)</x:v>
      </x:c>
      <x:c r="F17" s="5" t="str">
        <x:v>SEK 215.0M (BICO Group R&amp;D)</x:v>
      </x:c>
      <x:c r="G17" s="5" t="str">
        <x:v>SEK</x:v>
      </x:c>
      <x:c r="H17" s="5" t="str">
        <x:v>FY2023/24</x:v>
      </x:c>
      <x:c r="I17" s="5" t="str">
        <x:v>BICO Group (Nasdaq: BICO); Package A (Bio-ink consumable subscription portal)</x:v>
      </x:c>
      <x:c r="J17" s="5" t="str">
        <x:v>UNVERIFIED historical claim</x:v>
      </x:c>
      <x:c r="L17" s="31" t="str">
        <x:v>D06, Markdown line 191; http://nas-1.tail55d152.ts.net:4100/static/MEDICAL_NORDICS_FINANCIALS_DOSSIER.html</x:v>
      </x:c>
    </x:row>
    <x:row r="18" ht="42" customHeight="1">
      <x:c r="A18" s="5" t="n">
        <x:v>11</x:v>
      </x:c>
      <x:c r="B18" s="5" t="str">
        <x:v>Getinge</x:v>
      </x:c>
      <x:c r="C18" s="5" t="str">
        <x:v>Gothenburg, Sweden</x:v>
      </x:c>
      <x:c r="D18" s="5" t="str">
        <x:v>Cardiopulmonary Systems</x:v>
      </x:c>
      <x:c r="E18" s="5" t="str">
        <x:v>SEK 34,759.0M (SEK 34.76B)</x:v>
      </x:c>
      <x:c r="F18" s="5" t="str">
        <x:v>SEK 1,745.0M (~5.0% sales)</x:v>
      </x:c>
      <x:c r="G18" s="5" t="str">
        <x:v>SEK</x:v>
      </x:c>
      <x:c r="H18" s="5" t="str">
        <x:v>FY2024</x:v>
      </x:c>
      <x:c r="I18" s="5" t="str">
        <x:v>Listed (Nasdaq: GETI B); Package A (ECMO &amp; perfusion equipment hospital NPV models)</x:v>
      </x:c>
      <x:c r="J18" s="5" t="str">
        <x:v>UNVERIFIED historical claim</x:v>
      </x:c>
      <x:c r="L18" s="31" t="str">
        <x:v>D06, Markdown line 192; http://nas-1.tail55d152.ts.net:4100/static/MEDICAL_NORDICS_FINANCIALS_DOSSIER.html</x:v>
      </x:c>
    </x:row>
    <x:row r="19" ht="42" customHeight="1">
      <x:c r="A19" s="5" t="n">
        <x:v>12</x:v>
      </x:c>
      <x:c r="B19" s="5" t="str">
        <x:v>Isofol Medical</x:v>
      </x:c>
      <x:c r="C19" s="5" t="str">
        <x:v>Gothenburg, Sweden</x:v>
      </x:c>
      <x:c r="D19" s="5" t="str">
        <x:v>Arfolitixorin Folate Therapy</x:v>
      </x:c>
      <x:c r="E19" s="5" t="str">
        <x:v>SEK 0M (Clinical stage)</x:v>
      </x:c>
      <x:c r="F19" s="5" t="str">
        <x:v>SEK 32.1M</x:v>
      </x:c>
      <x:c r="G19" s="5" t="str">
        <x:v>SEK</x:v>
      </x:c>
      <x:c r="H19" s="5" t="str">
        <x:v>FY2023/24</x:v>
      </x:c>
      <x:c r="I19" s="5" t="str">
        <x:v>Listed (Nasdaq: ISOFOL); Package B (Colorectal cancer Phase II/III protocol analytics)</x:v>
      </x:c>
      <x:c r="J19" s="5" t="str">
        <x:v>UNVERIFIED historical claim</x:v>
      </x:c>
      <x:c r="L19" s="31" t="str">
        <x:v>D06, Markdown line 193; http://nas-1.tail55d152.ts.net:4100/static/MEDICAL_NORDICS_FINANCIALS_DOSSIER.html</x:v>
      </x:c>
    </x:row>
    <x:row r="20" ht="42" customHeight="1">
      <x:c r="A20" s="5" t="n">
        <x:v>13</x:v>
      </x:c>
      <x:c r="B20" s="5" t="str">
        <x:v>Mentice</x:v>
      </x:c>
      <x:c r="C20" s="5" t="str">
        <x:v>Gothenburg, Sweden</x:v>
      </x:c>
      <x:c r="D20" s="5" t="str">
        <x:v>Endovascular Virtual Simulators</x:v>
      </x:c>
      <x:c r="E20" s="5" t="str">
        <x:v>SEK 290.3M (SEK 265.4M FY23)</x:v>
      </x:c>
      <x:c r="F20" s="5" t="str">
        <x:v>SEK 42.1M</x:v>
      </x:c>
      <x:c r="G20" s="5" t="str">
        <x:v>SEK</x:v>
      </x:c>
      <x:c r="H20" s="5" t="str">
        <x:v>FY2024</x:v>
      </x:c>
      <x:c r="I20" s="5" t="str">
        <x:v>Listed (First North: MNTC); Package A (Hospital simulation DaaS training ROI proof)</x:v>
      </x:c>
      <x:c r="J20" s="5" t="str">
        <x:v>UNVERIFIED historical claim</x:v>
      </x:c>
      <x:c r="L20" s="31" t="str">
        <x:v>D06, Markdown line 194; http://nas-1.tail55d152.ts.net:4100/static/MEDICAL_NORDICS_FINANCIALS_DOSSIER.html</x:v>
      </x:c>
    </x:row>
    <x:row r="21" ht="42" customHeight="1">
      <x:c r="A21" s="5" t="n">
        <x:v>14</x:v>
      </x:c>
      <x:c r="B21" s="5" t="str">
        <x:v>VERIGRAFT</x:v>
      </x:c>
      <x:c r="C21" s="5" t="str">
        <x:v>Gothenburg, Sweden</x:v>
      </x:c>
      <x:c r="D21" s="5" t="str">
        <x:v>Personalized Tissue Transplants</x:v>
      </x:c>
      <x:c r="E21" s="5" t="str">
        <x:v>SEK 0M (Clinical stage)</x:v>
      </x:c>
      <x:c r="F21" s="5" t="str">
        <x:v>SEK 42.0M</x:v>
      </x:c>
      <x:c r="G21" s="5" t="str">
        <x:v>SEK</x:v>
      </x:c>
      <x:c r="H21" s="5" t="str">
        <x:v>FY2024</x:v>
      </x:c>
      <x:c r="I21" s="5" t="str">
        <x:v>Private regenerative autologous blood vessels; Package B &amp; E (EU ATMP regulatory file)</x:v>
      </x:c>
      <x:c r="J21" s="5" t="str">
        <x:v>UNVERIFIED historical claim</x:v>
      </x:c>
      <x:c r="L21" s="31" t="str">
        <x:v>D06, Markdown line 195; http://nas-1.tail55d152.ts.net:4100/static/MEDICAL_NORDICS_FINANCIALS_DOSSIER.html</x:v>
      </x:c>
    </x:row>
    <x:row r="22" ht="42" customHeight="1">
      <x:c r="A22" s="5" t="n">
        <x:v>15</x:v>
      </x:c>
      <x:c r="B22" s="5" t="str">
        <x:v>Meribel Pharma Group</x:v>
      </x:c>
      <x:c r="C22" s="5" t="str">
        <x:v>Hoganas, Sweden</x:v>
      </x:c>
      <x:c r="D22" s="5" t="str">
        <x:v>Contract Pharmaceutical Packaging</x:v>
      </x:c>
      <x:c r="E22" s="5" t="str">
        <x:v>SEK 55.0M est.</x:v>
      </x:c>
      <x:c r="F22" s="5" t="str">
        <x:v>SEK 5.5M</x:v>
      </x:c>
      <x:c r="G22" s="5" t="str">
        <x:v>SEK</x:v>
      </x:c>
      <x:c r="H22" s="5" t="str">
        <x:v>FY2023</x:v>
      </x:c>
      <x:c r="I22" s="5" t="str">
        <x:v>Private CDMO; Package D (Packaging line overall equipment effectiveness / OEE)</x:v>
      </x:c>
      <x:c r="J22" s="5" t="str">
        <x:v>UNVERIFIED historical claim</x:v>
      </x:c>
      <x:c r="L22" s="31" t="str">
        <x:v>D06, Markdown line 196; http://nas-1.tail55d152.ts.net:4100/static/MEDICAL_NORDICS_FINANCIALS_DOSSIER.html</x:v>
      </x:c>
    </x:row>
    <x:row r="23" ht="42" customHeight="1">
      <x:c r="A23" s="5" t="n">
        <x:v>16</x:v>
      </x:c>
      <x:c r="B23" s="5" t="str">
        <x:v>AlzeCure Pharma</x:v>
      </x:c>
      <x:c r="C23" s="5" t="str">
        <x:v>Huddinge, Sweden</x:v>
      </x:c>
      <x:c r="D23" s="5" t="str">
        <x:v>Alzheimer's &amp; Pain Therapies</x:v>
      </x:c>
      <x:c r="E23" s="5" t="str">
        <x:v>SEK 0M (Clinical stage)</x:v>
      </x:c>
      <x:c r="F23" s="5" t="str">
        <x:v>SEK 54.3M</x:v>
      </x:c>
      <x:c r="G23" s="5" t="str">
        <x:v>SEK</x:v>
      </x:c>
      <x:c r="H23" s="5" t="str">
        <x:v>FY2023/24</x:v>
      </x:c>
      <x:c r="I23" s="5" t="str">
        <x:v>Listed (First North: ALZCUR); Package B (NeuroRestore clinical milestone governance)</x:v>
      </x:c>
      <x:c r="J23" s="5" t="str">
        <x:v>UNVERIFIED historical claim</x:v>
      </x:c>
      <x:c r="L23" s="31" t="str">
        <x:v>D06, Markdown line 197; http://nas-1.tail55d152.ts.net:4100/static/MEDICAL_NORDICS_FINANCIALS_DOSSIER.html</x:v>
      </x:c>
    </x:row>
    <x:row r="24" ht="42" customHeight="1">
      <x:c r="A24" s="5" t="n">
        <x:v>17</x:v>
      </x:c>
      <x:c r="B24" s="5" t="str">
        <x:v>Sprint Bioscience</x:v>
      </x:c>
      <x:c r="C24" s="5" t="str">
        <x:v>Huddinge, Sweden</x:v>
      </x:c>
      <x:c r="D24" s="5" t="str">
        <x:v>Preclinical Oncology Discovery</x:v>
      </x:c>
      <x:c r="E24" s="5" t="str">
        <x:v>SEK 65.6M</x:v>
      </x:c>
      <x:c r="F24" s="5" t="str">
        <x:v>SEK 52.8M</x:v>
      </x:c>
      <x:c r="G24" s="5" t="str">
        <x:v>SEK</x:v>
      </x:c>
      <x:c r="H24" s="5" t="str">
        <x:v>FY2024</x:v>
      </x:c>
      <x:c r="I24" s="5" t="str">
        <x:v>Listed (First North: SPRINT); Package B (Early pipeline out-licensing data rooms)</x:v>
      </x:c>
      <x:c r="J24" s="5" t="str">
        <x:v>UNVERIFIED historical claim</x:v>
      </x:c>
      <x:c r="L24" s="31" t="str">
        <x:v>D06, Markdown line 198; http://nas-1.tail55d152.ts.net:4100/static/MEDICAL_NORDICS_FINANCIALS_DOSSIER.html</x:v>
      </x:c>
    </x:row>
    <x:row r="25" ht="42" customHeight="1">
      <x:c r="A25" s="5" t="n">
        <x:v>18</x:v>
      </x:c>
      <x:c r="B25" s="5" t="str">
        <x:v>Cambrex</x:v>
      </x:c>
      <x:c r="C25" s="5" t="str">
        <x:v>Karlskoga, Sweden</x:v>
      </x:c>
      <x:c r="D25" s="5" t="str">
        <x:v>API Synthesis &amp; High-Hazard CDMO</x:v>
      </x:c>
      <x:c r="E25" s="5" t="str">
        <x:v>USD 700.0M est. (Karlskoga ~1.25B)</x:v>
      </x:c>
      <x:c r="F25" s="5" t="str">
        <x:v>USD 50.0M (~SEK 65M Karlskoga)</x:v>
      </x:c>
      <x:c r="G25" s="5" t="str">
        <x:v>USD</x:v>
      </x:c>
      <x:c r="H25" s="5" t="str">
        <x:v>FY2023/24</x:v>
      </x:c>
      <x:c r="I25" s="5" t="str">
        <x:v>Permira PE owned; Package D (Continuous flow API batch yield &amp; margin defense)</x:v>
      </x:c>
      <x:c r="J25" s="5" t="str">
        <x:v>UNVERIFIED historical claim</x:v>
      </x:c>
      <x:c r="L25" s="31" t="str">
        <x:v>D06, Markdown line 199; http://nas-1.tail55d152.ts.net:4100/static/MEDICAL_NORDICS_FINANCIALS_DOSSIER.html</x:v>
      </x:c>
    </x:row>
    <x:row r="26" ht="42" customHeight="1">
      <x:c r="A26" s="5" t="n">
        <x:v>19</x:v>
      </x:c>
      <x:c r="B26" s="5" t="str">
        <x:v>Meribel Pharma Group</x:v>
      </x:c>
      <x:c r="C26" s="5" t="str">
        <x:v>Karlskoga, Sweden</x:v>
      </x:c>
      <x:c r="D26" s="5" t="str">
        <x:v>Solid Dose Contract Manufacturing</x:v>
      </x:c>
      <x:c r="E26" s="5" t="str">
        <x:v>SEK 55.0M est.</x:v>
      </x:c>
      <x:c r="F26" s="5" t="str">
        <x:v>SEK 5.5M</x:v>
      </x:c>
      <x:c r="G26" s="5" t="str">
        <x:v>SEK</x:v>
      </x:c>
      <x:c r="H26" s="5" t="str">
        <x:v>FY2023</x:v>
      </x:c>
      <x:c r="I26" s="5" t="str">
        <x:v>Private CDMO; Package D (Cleanroom changeover time compression)</x:v>
      </x:c>
      <x:c r="J26" s="5" t="str">
        <x:v>UNVERIFIED historical claim</x:v>
      </x:c>
      <x:c r="L26" s="31" t="str">
        <x:v>D06, Markdown line 200; http://nas-1.tail55d152.ts.net:4100/static/MEDICAL_NORDICS_FINANCIALS_DOSSIER.html</x:v>
      </x:c>
    </x:row>
    <x:row r="27" ht="42" customHeight="1">
      <x:c r="A27" s="5" t="n">
        <x:v>20</x:v>
      </x:c>
      <x:c r="B27" s="5" t="str">
        <x:v>Genovis</x:v>
      </x:c>
      <x:c r="C27" s="5" t="str">
        <x:v>Kävlinge, Sweden</x:v>
      </x:c>
      <x:c r="D27" s="5" t="str">
        <x:v>SmartEnzymes for Biopharma Analytics</x:v>
      </x:c>
      <x:c r="E27" s="5" t="str">
        <x:v>SEK 130.4M (SEK 158.2M FY23)</x:v>
      </x:c>
      <x:c r="F27" s="5" t="str">
        <x:v>SEK 22.8M</x:v>
      </x:c>
      <x:c r="G27" s="5" t="str">
        <x:v>SEK</x:v>
      </x:c>
      <x:c r="H27" s="5" t="str">
        <x:v>FY2024</x:v>
      </x:c>
      <x:c r="I27" s="5" t="str">
        <x:v>Listed (First North: GENO); Package A &amp; C (Biopharma characterization sales analytics)</x:v>
      </x:c>
      <x:c r="J27" s="5" t="str">
        <x:v>UNVERIFIED historical claim</x:v>
      </x:c>
      <x:c r="L27" s="31" t="str">
        <x:v>D06, Markdown line 201; http://nas-1.tail55d152.ts.net:4100/static/MEDICAL_NORDICS_FINANCIALS_DOSSIER.html</x:v>
      </x:c>
    </x:row>
    <x:row r="28" ht="42" customHeight="1">
      <x:c r="A28" s="5" t="n">
        <x:v>21</x:v>
      </x:c>
      <x:c r="B28" s="5" t="str">
        <x:v>PolyPeptide Group</x:v>
      </x:c>
      <x:c r="C28" s="5" t="str">
        <x:v>Limhamn, Sweden</x:v>
      </x:c>
      <x:c r="D28" s="5" t="str">
        <x:v>Peptide &amp; Oligonucleotide CDMO</x:v>
      </x:c>
      <x:c r="E28" s="5" t="str">
        <x:v>EUR 336.8M (~SEK 3.82B)</x:v>
      </x:c>
      <x:c r="F28" s="5" t="str">
        <x:v>EUR 1.1M (+ major CAPEX)</x:v>
      </x:c>
      <x:c r="G28" s="5" t="str">
        <x:v>EUR</x:v>
      </x:c>
      <x:c r="H28" s="5" t="str">
        <x:v>FY2024</x:v>
      </x:c>
      <x:c r="I28" s="5" t="str">
        <x:v>Listed (SIX: PPGN); Package D (Peptide synthesis raw material buffer &amp; yield optimization)</x:v>
      </x:c>
      <x:c r="J28" s="5" t="str">
        <x:v>UNVERIFIED historical claim</x:v>
      </x:c>
      <x:c r="L28" s="31" t="str">
        <x:v>D06, Markdown line 202; http://nas-1.tail55d152.ts.net:4100/static/MEDICAL_NORDICS_FINANCIALS_DOSSIER.html</x:v>
      </x:c>
    </x:row>
    <x:row r="29" ht="42" customHeight="1">
      <x:c r="A29" s="5" t="n">
        <x:v>22</x:v>
      </x:c>
      <x:c r="B29" s="5" t="str">
        <x:v>AMRA Medical</x:v>
      </x:c>
      <x:c r="C29" s="5" t="str">
        <x:v>Linköping, Sweden</x:v>
      </x:c>
      <x:c r="D29" s="5" t="str">
        <x:v>MRI Body-Composition Informatics</x:v>
      </x:c>
      <x:c r="E29" s="5" t="str">
        <x:v>SEK 75.0M est. ($7M)</x:v>
      </x:c>
      <x:c r="F29" s="5" t="str">
        <x:v>SEK 28.0M</x:v>
      </x:c>
      <x:c r="G29" s="5" t="str">
        <x:v>SEK</x:v>
      </x:c>
      <x:c r="H29" s="5" t="str">
        <x:v>FY2023/24</x:v>
      </x:c>
      <x:c r="I29" s="5" t="str">
        <x:v>HealthCap backed; Package E (EU AI Act Annex III high-risk compliance &amp; PACS workflow)</x:v>
      </x:c>
      <x:c r="J29" s="5" t="str">
        <x:v>UNVERIFIED historical claim</x:v>
      </x:c>
      <x:c r="L29" s="31" t="str">
        <x:v>D06, Markdown line 203; http://nas-1.tail55d152.ts.net:4100/static/MEDICAL_NORDICS_FINANCIALS_DOSSIER.html</x:v>
      </x:c>
    </x:row>
    <x:row r="30" ht="42" customHeight="1">
      <x:c r="A30" s="5" t="n">
        <x:v>23</x:v>
      </x:c>
      <x:c r="B30" s="5" t="str">
        <x:v>ArgusEye</x:v>
      </x:c>
      <x:c r="C30" s="5" t="str">
        <x:v>Linköping, Sweden</x:v>
      </x:c>
      <x:c r="D30" s="5" t="str">
        <x:v>Real-time Bioprocess Biosensors</x:v>
      </x:c>
      <x:c r="E30" s="5" t="str">
        <x:v>SEK 3.0M est.</x:v>
      </x:c>
      <x:c r="F30" s="5" t="str">
        <x:v>SEK 18.0M</x:v>
      </x:c>
      <x:c r="G30" s="5" t="str">
        <x:v>SEK</x:v>
      </x:c>
      <x:c r="H30" s="5" t="str">
        <x:v>FY2023/24</x:v>
      </x:c>
      <x:c r="I30" s="5" t="str">
        <x:v>Private bioprocess sensors; Package D &amp; E (PAT biomanufacturing sensor integration)</x:v>
      </x:c>
      <x:c r="J30" s="5" t="str">
        <x:v>UNVERIFIED historical claim</x:v>
      </x:c>
      <x:c r="L30" s="31" t="str">
        <x:v>D06, Markdown line 204; http://nas-1.tail55d152.ts.net:4100/static/MEDICAL_NORDICS_FINANCIALS_DOSSIER.html</x:v>
      </x:c>
    </x:row>
    <x:row r="31" ht="42" customHeight="1">
      <x:c r="A31" s="5" t="n">
        <x:v>24</x:v>
      </x:c>
      <x:c r="B31" s="5" t="str">
        <x:v>BioReperia</x:v>
      </x:c>
      <x:c r="C31" s="5" t="str">
        <x:v>Linköping, Sweden</x:v>
      </x:c>
      <x:c r="D31" s="5" t="str">
        <x:v>Zebrafish Tumor Xenograft Models</x:v>
      </x:c>
      <x:c r="E31" s="5" t="str">
        <x:v>SEK 20.0M est. ($4.3M gross)</x:v>
      </x:c>
      <x:c r="F31" s="5" t="str">
        <x:v>SEK 7.5M</x:v>
      </x:c>
      <x:c r="G31" s="5" t="str">
        <x:v>SEK</x:v>
      </x:c>
      <x:c r="H31" s="5" t="str">
        <x:v>FY2023/24</x:v>
      </x:c>
      <x:c r="I31" s="5" t="str">
        <x:v>Private oncology CRO; Package B (Rapid preclinical screen data acceleration)</x:v>
      </x:c>
      <x:c r="J31" s="5" t="str">
        <x:v>UNVERIFIED historical claim</x:v>
      </x:c>
      <x:c r="L31" s="31" t="str">
        <x:v>D06, Markdown line 205; http://nas-1.tail55d152.ts.net:4100/static/MEDICAL_NORDICS_FINANCIALS_DOSSIER.html</x:v>
      </x:c>
    </x:row>
    <x:row r="32" ht="42" customHeight="1">
      <x:c r="A32" s="5" t="n">
        <x:v>25</x:v>
      </x:c>
      <x:c r="B32" s="5" t="str">
        <x:v>Acrivon Therapeutics</x:v>
      </x:c>
      <x:c r="C32" s="5" t="str">
        <x:v>Lund, Sweden</x:v>
      </x:c>
      <x:c r="D32" s="5" t="str">
        <x:v>Precision Checkpoint Inhibitor</x:v>
      </x:c>
      <x:c r="E32" s="5" t="str">
        <x:v>USD 0M (Clinical stage)</x:v>
      </x:c>
      <x:c r="F32" s="5" t="str">
        <x:v>USD 64.0M</x:v>
      </x:c>
      <x:c r="G32" s="5" t="str">
        <x:v>USD</x:v>
      </x:c>
      <x:c r="H32" s="5" t="str">
        <x:v>FY2024</x:v>
      </x:c>
      <x:c r="I32" s="5" t="str">
        <x:v>Listed (Nasdaq US: ACRV); Package B (APM platform patient biomarker stratification)</x:v>
      </x:c>
      <x:c r="J32" s="5" t="str">
        <x:v>UNVERIFIED historical claim</x:v>
      </x:c>
      <x:c r="L32" s="31" t="str">
        <x:v>D06, Markdown line 206; http://nas-1.tail55d152.ts.net:4100/static/MEDICAL_NORDICS_FINANCIALS_DOSSIER.html</x:v>
      </x:c>
    </x:row>
    <x:row r="33" ht="42" customHeight="1">
      <x:c r="A33" s="5" t="n">
        <x:v>26</x:v>
      </x:c>
      <x:c r="B33" s="5" t="str">
        <x:v>Active Biotech</x:v>
      </x:c>
      <x:c r="C33" s="5" t="str">
        <x:v>Lund, Sweden</x:v>
      </x:c>
      <x:c r="D33" s="5" t="str">
        <x:v>Immunomodulatory Small Molecules</x:v>
      </x:c>
      <x:c r="E33" s="5" t="str">
        <x:v>SEK 0.6M</x:v>
      </x:c>
      <x:c r="F33" s="5" t="str">
        <x:v>SEK 38.2M</x:v>
      </x:c>
      <x:c r="G33" s="5" t="str">
        <x:v>SEK</x:v>
      </x:c>
      <x:c r="H33" s="5" t="str">
        <x:v>FY2023/24</x:v>
      </x:c>
      <x:c r="I33" s="5" t="str">
        <x:v>Listed (Nasdaq: ACTI); Package B (Tasquinimod clinical cash burn management)</x:v>
      </x:c>
      <x:c r="J33" s="5" t="str">
        <x:v>UNVERIFIED historical claim</x:v>
      </x:c>
      <x:c r="L33" s="31" t="str">
        <x:v>D06, Markdown line 207; http://nas-1.tail55d152.ts.net:4100/static/MEDICAL_NORDICS_FINANCIALS_DOSSIER.html</x:v>
      </x:c>
    </x:row>
    <x:row r="34" ht="42" customHeight="1">
      <x:c r="A34" s="5" t="n">
        <x:v>27</x:v>
      </x:c>
      <x:c r="B34" s="5" t="str">
        <x:v>Alligator Bioscience</x:v>
      </x:c>
      <x:c r="C34" s="5" t="str">
        <x:v>Lund, Sweden</x:v>
      </x:c>
      <x:c r="D34" s="5" t="str">
        <x:v>Tumor-Directed Antibodies</x:v>
      </x:c>
      <x:c r="E34" s="5" t="str">
        <x:v>SEK 58.1M</x:v>
      </x:c>
      <x:c r="F34" s="5" t="str">
        <x:v>SEK 168.5M</x:v>
      </x:c>
      <x:c r="G34" s="5" t="str">
        <x:v>SEK</x:v>
      </x:c>
      <x:c r="H34" s="5" t="str">
        <x:v>FY2023/24</x:v>
      </x:c>
      <x:c r="I34" s="5" t="str">
        <x:v>Listed (Nasdaq: ATORX); Package B (Mitazalimab Phase II/III trial site accrual)</x:v>
      </x:c>
      <x:c r="J34" s="5" t="str">
        <x:v>UNVERIFIED historical claim</x:v>
      </x:c>
      <x:c r="L34" s="31" t="str">
        <x:v>D06, Markdown line 208; http://nas-1.tail55d152.ts.net:4100/static/MEDICAL_NORDICS_FINANCIALS_DOSSIER.html</x:v>
      </x:c>
    </x:row>
    <x:row r="35" ht="42" customHeight="1">
      <x:c r="A35" s="5" t="n">
        <x:v>28</x:v>
      </x:c>
      <x:c r="B35" s="5" t="str">
        <x:v>Asgard Therapeutics</x:v>
      </x:c>
      <x:c r="C35" s="5" t="str">
        <x:v>Lund, Sweden</x:v>
      </x:c>
      <x:c r="D35" s="5" t="str">
        <x:v>Direct Cell Reprogramming Oncology</x:v>
      </x:c>
      <x:c r="E35" s="5" t="str">
        <x:v>SEK 0M (Pre-clinical)</x:v>
      </x:c>
      <x:c r="F35" s="5" t="str">
        <x:v>EUR 5.5M (~SEK 62M)</x:v>
      </x:c>
      <x:c r="G35" s="5" t="str">
        <x:v>EUR</x:v>
      </x:c>
      <x:c r="H35" s="5" t="str">
        <x:v>FY2024</x:v>
      </x:c>
      <x:c r="I35" s="5" t="str">
        <x:v>Series A (€30M); Package B &amp; E (Cell therapy viral vector process documentation)</x:v>
      </x:c>
      <x:c r="J35" s="5" t="str">
        <x:v>UNVERIFIED historical claim</x:v>
      </x:c>
      <x:c r="L35" s="31" t="str">
        <x:v>D06, Markdown line 209; http://nas-1.tail55d152.ts.net:4100/static/MEDICAL_NORDICS_FINANCIALS_DOSSIER.html</x:v>
      </x:c>
    </x:row>
    <x:row r="36" ht="42" customHeight="1">
      <x:c r="A36" s="5" t="n">
        <x:v>29</x:v>
      </x:c>
      <x:c r="B36" s="5" t="str">
        <x:v>BioInvent International</x:v>
      </x:c>
      <x:c r="C36" s="5" t="str">
        <x:v>Lund, Sweden</x:v>
      </x:c>
      <x:c r="D36" s="5" t="str">
        <x:v>Immuno-Oncology Antibody Platforms</x:v>
      </x:c>
      <x:c r="E36" s="5" t="str">
        <x:v>SEK 148.5M ($23.1M)</x:v>
      </x:c>
      <x:c r="F36" s="5" t="str">
        <x:v>SEK 342.6M</x:v>
      </x:c>
      <x:c r="G36" s="5" t="str">
        <x:v>SEK</x:v>
      </x:c>
      <x:c r="H36" s="5" t="str">
        <x:v>FY2023/24</x:v>
      </x:c>
      <x:c r="I36" s="5" t="str">
        <x:v>Listed (Nasdaq: BINV); Package B (High-burn clinical enrollment acceleration)</x:v>
      </x:c>
      <x:c r="J36" s="5" t="str">
        <x:v>UNVERIFIED historical claim</x:v>
      </x:c>
      <x:c r="L36" s="31" t="str">
        <x:v>D06, Markdown line 210; http://nas-1.tail55d152.ts.net:4100/static/MEDICAL_NORDICS_FINANCIALS_DOSSIER.html</x:v>
      </x:c>
    </x:row>
    <x:row r="37" ht="42" customHeight="1">
      <x:c r="A37" s="5" t="n">
        <x:v>30</x:v>
      </x:c>
      <x:c r="B37" s="5" t="str">
        <x:v>Bionamic</x:v>
      </x:c>
      <x:c r="C37" s="5" t="str">
        <x:v>Lund, Sweden</x:v>
      </x:c>
      <x:c r="D37" s="5" t="str">
        <x:v>Antibody Drug Workflow Software</x:v>
      </x:c>
      <x:c r="E37" s="5" t="str">
        <x:v>SEK 11.5M est.</x:v>
      </x:c>
      <x:c r="F37" s="5" t="str">
        <x:v>SEK 8.0M</x:v>
      </x:c>
      <x:c r="G37" s="5" t="str">
        <x:v>SEK</x:v>
      </x:c>
      <x:c r="H37" s="5" t="str">
        <x:v>FY2023/24</x:v>
      </x:c>
      <x:c r="I37" s="5" t="str">
        <x:v>Private SaaS; Package C &amp; E (Cloud biopharma integration &amp; enterprise sales scaling)</x:v>
      </x:c>
      <x:c r="J37" s="5" t="str">
        <x:v>UNVERIFIED historical claim</x:v>
      </x:c>
      <x:c r="L37" s="31" t="str">
        <x:v>D06, Markdown line 211; http://nas-1.tail55d152.ts.net:4100/static/MEDICAL_NORDICS_FINANCIALS_DOSSIER.html</x:v>
      </x:c>
    </x:row>
    <x:row r="38" ht="42" customHeight="1">
      <x:c r="A38" s="5" t="n">
        <x:v>31</x:v>
      </x:c>
      <x:c r="B38" s="5" t="str">
        <x:v>Camurus</x:v>
      </x:c>
      <x:c r="C38" s="5" t="str">
        <x:v>Lund, Sweden</x:v>
      </x:c>
      <x:c r="D38" s="5" t="str">
        <x:v>FluidCrystal Specialty Medicines</x:v>
      </x:c>
      <x:c r="E38" s="5" t="str">
        <x:v>SEK 1,868.0M</x:v>
      </x:c>
      <x:c r="F38" s="5" t="str">
        <x:v>SEK 485.0M</x:v>
      </x:c>
      <x:c r="G38" s="5" t="str">
        <x:v>SEK</x:v>
      </x:c>
      <x:c r="H38" s="5" t="str">
        <x:v>FY2024</x:v>
      </x:c>
      <x:c r="I38" s="5" t="str">
        <x:v>Listed (Nasdaq: CAMX); Package C (Smart S&amp;OP replacing 4-month Excel cycles)</x:v>
      </x:c>
      <x:c r="J38" s="5" t="str">
        <x:v>UNVERIFIED historical claim</x:v>
      </x:c>
      <x:c r="L38" s="31" t="str">
        <x:v>D06, Markdown line 212; http://nas-1.tail55d152.ts.net:4100/static/MEDICAL_NORDICS_FINANCIALS_DOSSIER.html</x:v>
      </x:c>
    </x:row>
    <x:row r="39" ht="42" customHeight="1">
      <x:c r="A39" s="5" t="n">
        <x:v>32</x:v>
      </x:c>
      <x:c r="B39" s="5" t="str">
        <x:v>Cantargia</x:v>
      </x:c>
      <x:c r="C39" s="5" t="str">
        <x:v>Lund, Sweden</x:v>
      </x:c>
      <x:c r="D39" s="5" t="str">
        <x:v>IL1RAP Targeted Oncology Antibodies</x:v>
      </x:c>
      <x:c r="E39" s="5" t="str">
        <x:v>SEK 0M (Clinical stage)</x:v>
      </x:c>
      <x:c r="F39" s="5" t="str">
        <x:v>SEK 178.5M</x:v>
      </x:c>
      <x:c r="G39" s="5" t="str">
        <x:v>SEK</x:v>
      </x:c>
      <x:c r="H39" s="5" t="str">
        <x:v>FY2024</x:v>
      </x:c>
      <x:c r="I39" s="5" t="str">
        <x:v>Listed (Nasdaq: CANTA); Package B (Nadunolimab clinical site milestone governance)</x:v>
      </x:c>
      <x:c r="J39" s="5" t="str">
        <x:v>UNVERIFIED historical claim</x:v>
      </x:c>
      <x:c r="L39" s="31" t="str">
        <x:v>D06, Markdown line 213; http://nas-1.tail55d152.ts.net:4100/static/MEDICAL_NORDICS_FINANCIALS_DOSSIER.html</x:v>
      </x:c>
    </x:row>
    <x:row r="40" ht="42" customHeight="1">
      <x:c r="A40" s="5" t="n">
        <x:v>33</x:v>
      </x:c>
      <x:c r="B40" s="5" t="str">
        <x:v>Carbiotix</x:v>
      </x:c>
      <x:c r="C40" s="5" t="str">
        <x:v>Lund, Sweden</x:v>
      </x:c>
      <x:c r="D40" s="5" t="str">
        <x:v>Prebiotic Fibers &amp; Microbiome Testing</x:v>
      </x:c>
      <x:c r="E40" s="5" t="str">
        <x:v>SEK 1.8M</x:v>
      </x:c>
      <x:c r="F40" s="5" t="str">
        <x:v>SEK 9.2M</x:v>
      </x:c>
      <x:c r="G40" s="5" t="str">
        <x:v>SEK</x:v>
      </x:c>
      <x:c r="H40" s="5" t="str">
        <x:v>FY2023/24</x:v>
      </x:c>
      <x:c r="I40" s="5" t="str">
        <x:v>Listed (Spotlight: CRBX); Package C (DTC microbiome test commercial logistics)</x:v>
      </x:c>
      <x:c r="J40" s="5" t="str">
        <x:v>UNVERIFIED historical claim</x:v>
      </x:c>
      <x:c r="L40" s="31" t="str">
        <x:v>D06, Markdown line 214; http://nas-1.tail55d152.ts.net:4100/static/MEDICAL_NORDICS_FINANCIALS_DOSSIER.html</x:v>
      </x:c>
    </x:row>
    <x:row r="41" ht="42" customHeight="1">
      <x:c r="A41" s="5" t="n">
        <x:v>34</x:v>
      </x:c>
      <x:c r="B41" s="5" t="str">
        <x:v>Cellevate</x:v>
      </x:c>
      <x:c r="C41" s="5" t="str">
        <x:v>Lund, Sweden</x:v>
      </x:c>
      <x:c r="D41" s="5" t="str">
        <x:v>Nanofiber Biomanufacturing Carriers</x:v>
      </x:c>
      <x:c r="E41" s="5" t="str">
        <x:v>SEK 4.5M est.</x:v>
      </x:c>
      <x:c r="F41" s="5" t="str">
        <x:v>SEK 18.2M</x:v>
      </x:c>
      <x:c r="G41" s="5" t="str">
        <x:v>SEK</x:v>
      </x:c>
      <x:c r="H41" s="5" t="str">
        <x:v>FY2023/24</x:v>
      </x:c>
      <x:c r="I41" s="5" t="str">
        <x:v>Private nanotech; Package D (Upstream bioprocess yield benchmarking)</x:v>
      </x:c>
      <x:c r="J41" s="5" t="str">
        <x:v>UNVERIFIED historical claim</x:v>
      </x:c>
      <x:c r="L41" s="31" t="str">
        <x:v>D06, Markdown line 215; http://nas-1.tail55d152.ts.net:4100/static/MEDICAL_NORDICS_FINANCIALS_DOSSIER.html</x:v>
      </x:c>
    </x:row>
    <x:row r="42" ht="42" customHeight="1">
      <x:c r="A42" s="5" t="n">
        <x:v>35</x:v>
      </x:c>
      <x:c r="B42" s="5" t="str">
        <x:v>Cytely</x:v>
      </x:c>
      <x:c r="C42" s="5" t="str">
        <x:v>Lund, Sweden</x:v>
      </x:c>
      <x:c r="D42" s="5" t="str">
        <x:v>AI Smart Microscopy Automation</x:v>
      </x:c>
      <x:c r="E42" s="5" t="str">
        <x:v>EUR 0.1M est.</x:v>
      </x:c>
      <x:c r="F42" s="5" t="str">
        <x:v>EUR 2.5M (~SEK 28M)</x:v>
      </x:c>
      <x:c r="G42" s="5" t="str">
        <x:v>EUR</x:v>
      </x:c>
      <x:c r="H42" s="5" t="str">
        <x:v>FY2024</x:v>
      </x:c>
      <x:c r="I42" s="5" t="str">
        <x:v>Private AI imaging; Package E (EU AI Act diagnostic software conformity audit)</x:v>
      </x:c>
      <x:c r="J42" s="5" t="str">
        <x:v>UNVERIFIED historical claim</x:v>
      </x:c>
      <x:c r="L42" s="31" t="str">
        <x:v>D06, Markdown line 216; http://nas-1.tail55d152.ts.net:4100/static/MEDICAL_NORDICS_FINANCIALS_DOSSIER.html</x:v>
      </x:c>
    </x:row>
    <x:row r="43" ht="42" customHeight="1">
      <x:c r="A43" s="5" t="n">
        <x:v>36</x:v>
      </x:c>
      <x:c r="B43" s="5" t="str">
        <x:v>Diagonal Bio</x:v>
      </x:c>
      <x:c r="C43" s="5" t="str">
        <x:v>Lund, Sweden</x:v>
      </x:c>
      <x:c r="D43" s="5" t="str">
        <x:v>Rapid Molecular Pathogen Testing</x:v>
      </x:c>
      <x:c r="E43" s="5" t="str">
        <x:v>SEK 2.7M</x:v>
      </x:c>
      <x:c r="F43" s="5" t="str">
        <x:v>SEK 14.2M</x:v>
      </x:c>
      <x:c r="G43" s="5" t="str">
        <x:v>SEK</x:v>
      </x:c>
      <x:c r="H43" s="5" t="str">
        <x:v>FY2023/24</x:v>
      </x:c>
      <x:c r="I43" s="5" t="str">
        <x:v>Listed (First North: DIA BIO); Package A (LAMPlify POC hospital emergency ROI models)</x:v>
      </x:c>
      <x:c r="J43" s="5" t="str">
        <x:v>UNVERIFIED historical claim</x:v>
      </x:c>
      <x:c r="L43" s="31" t="str">
        <x:v>D06, Markdown line 217; http://nas-1.tail55d152.ts.net:4100/static/MEDICAL_NORDICS_FINANCIALS_DOSSIER.html</x:v>
      </x:c>
    </x:row>
    <x:row r="44" ht="42" customHeight="1">
      <x:c r="A44" s="5" t="n">
        <x:v>37</x:v>
      </x:c>
      <x:c r="B44" s="5" t="str">
        <x:v>DIGNITANA</x:v>
      </x:c>
      <x:c r="C44" s="5" t="str">
        <x:v>Lund, Sweden</x:v>
      </x:c>
      <x:c r="D44" s="5" t="str">
        <x:v>DigniCap Scalp Cooling Systems</x:v>
      </x:c>
      <x:c r="E44" s="5" t="str">
        <x:v>SEK 91.8M (FY23; ~88M FY24)</x:v>
      </x:c>
      <x:c r="F44" s="5" t="str">
        <x:v>SEK 16.5M</x:v>
      </x:c>
      <x:c r="G44" s="5" t="str">
        <x:v>SEK</x:v>
      </x:c>
      <x:c r="H44" s="5" t="str">
        <x:v>FY2023/24</x:v>
      </x:c>
      <x:c r="I44" s="5" t="str">
        <x:v>Listed (First North: DIGN); Package A (Hospital oncology infusion center DaaS)</x:v>
      </x:c>
      <x:c r="J44" s="5" t="str">
        <x:v>UNVERIFIED historical claim</x:v>
      </x:c>
      <x:c r="L44" s="31" t="str">
        <x:v>D06, Markdown line 218; http://nas-1.tail55d152.ts.net:4100/static/MEDICAL_NORDICS_FINANCIALS_DOSSIER.html</x:v>
      </x:c>
    </x:row>
    <x:row r="45" ht="42" customHeight="1">
      <x:c r="A45" s="5" t="n">
        <x:v>38</x:v>
      </x:c>
      <x:c r="B45" s="5" t="str">
        <x:v>EQL Pharma</x:v>
      </x:c>
      <x:c r="C45" s="5" t="str">
        <x:v>Lund, Sweden</x:v>
      </x:c>
      <x:c r="D45" s="5" t="str">
        <x:v>Specialty &amp; Niche Generics</x:v>
      </x:c>
      <x:c r="E45" s="5" t="str">
        <x:v>SEK 373.5M (SEK 302M FY23)</x:v>
      </x:c>
      <x:c r="F45" s="5" t="str">
        <x:v>SEK 28.6M</x:v>
      </x:c>
      <x:c r="G45" s="5" t="str">
        <x:v>SEK</x:v>
      </x:c>
      <x:c r="H45" s="5" t="str">
        <x:v>FY2024/25</x:v>
      </x:c>
      <x:c r="I45" s="5" t="str">
        <x:v>Listed (Nasdaq: EQL); Package C (Tender pricing analytics &amp; stockist sales tracking)</x:v>
      </x:c>
      <x:c r="J45" s="5" t="str">
        <x:v>UNVERIFIED historical claim</x:v>
      </x:c>
      <x:c r="L45" s="31" t="str">
        <x:v>D06, Markdown line 219; http://nas-1.tail55d152.ts.net:4100/static/MEDICAL_NORDICS_FINANCIALS_DOSSIER.html</x:v>
      </x:c>
    </x:row>
    <x:row r="46" ht="42" customHeight="1">
      <x:c r="A46" s="5" t="n">
        <x:v>39</x:v>
      </x:c>
      <x:c r="B46" s="5" t="str">
        <x:v>EXINI Diagnostics</x:v>
      </x:c>
      <x:c r="C46" s="5" t="str">
        <x:v>Lund, Sweden</x:v>
      </x:c>
      <x:c r="D46" s="5" t="str">
        <x:v>AI Medical Image Analysis (PSMA PET)</x:v>
      </x:c>
      <x:c r="E46" s="5" t="str">
        <x:v>SEK 30.0M est.</x:v>
      </x:c>
      <x:c r="F46" s="5" t="str">
        <x:v>SEK 18.0M</x:v>
      </x:c>
      <x:c r="G46" s="5" t="str">
        <x:v>SEK</x:v>
      </x:c>
      <x:c r="H46" s="5" t="str">
        <x:v>FY2023/24</x:v>
      </x:c>
      <x:c r="I46" s="5" t="str">
        <x:v>Lantheus (Nasdaq: LNTH) unit; Package E (AI imaging clinical verification &amp; CE-MDR)</x:v>
      </x:c>
      <x:c r="J46" s="5" t="str">
        <x:v>UNVERIFIED historical claim</x:v>
      </x:c>
      <x:c r="L46" s="31" t="str">
        <x:v>D06, Markdown line 220; http://nas-1.tail55d152.ts.net:4100/static/MEDICAL_NORDICS_FINANCIALS_DOSSIER.html</x:v>
      </x:c>
    </x:row>
    <x:row r="47" ht="42" customHeight="1">
      <x:c r="A47" s="5" t="n">
        <x:v>40</x:v>
      </x:c>
      <x:c r="B47" s="5" t="str">
        <x:v>Hansa Biopharma</x:v>
      </x:c>
      <x:c r="C47" s="5" t="str">
        <x:v>Lund, Sweden</x:v>
      </x:c>
      <x:c r="D47" s="5" t="str">
        <x:v>Idefirix Desensitization Enzymes</x:v>
      </x:c>
      <x:c r="E47" s="5" t="str">
        <x:v>SEK 171.3M</x:v>
      </x:c>
      <x:c r="F47" s="5" t="str">
        <x:v>SEK 398.5M</x:v>
      </x:c>
      <x:c r="G47" s="5" t="str">
        <x:v>SEK</x:v>
      </x:c>
      <x:c r="H47" s="5" t="str">
        <x:v>FY2024</x:v>
      </x:c>
      <x:c r="I47" s="5" t="str">
        <x:v>Listed (Nasdaq: HNSA); Package B (NLP EHR screening for HLA-sensitized kidney patients)</x:v>
      </x:c>
      <x:c r="J47" s="5" t="str">
        <x:v>UNVERIFIED historical claim</x:v>
      </x:c>
      <x:c r="L47" s="31" t="str">
        <x:v>D06, Markdown line 221; http://nas-1.tail55d152.ts.net:4100/static/MEDICAL_NORDICS_FINANCIALS_DOSSIER.html</x:v>
      </x:c>
    </x:row>
    <x:row r="48" ht="42" customHeight="1">
      <x:c r="A48" s="5" t="n">
        <x:v>41</x:v>
      </x:c>
      <x:c r="B48" s="5" t="str">
        <x:v>Iconovo</x:v>
      </x:c>
      <x:c r="C48" s="5" t="str">
        <x:v>Lund, Sweden</x:v>
      </x:c>
      <x:c r="D48" s="5" t="str">
        <x:v>Dry Powder Inhalation Devices</x:v>
      </x:c>
      <x:c r="E48" s="5" t="str">
        <x:v>SEK 16.8M</x:v>
      </x:c>
      <x:c r="F48" s="5" t="str">
        <x:v>SEK 38.4M</x:v>
      </x:c>
      <x:c r="G48" s="5" t="str">
        <x:v>SEK</x:v>
      </x:c>
      <x:c r="H48" s="5" t="str">
        <x:v>FY2023/24</x:v>
      </x:c>
      <x:c r="I48" s="5" t="str">
        <x:v>Listed (First North: ICO); Package A &amp; D (Device licensing &amp; manufacturing scale-up)</x:v>
      </x:c>
      <x:c r="J48" s="5" t="str">
        <x:v>UNVERIFIED historical claim</x:v>
      </x:c>
      <x:c r="L48" s="31" t="str">
        <x:v>D06, Markdown line 222; http://nas-1.tail55d152.ts.net:4100/static/MEDICAL_NORDICS_FINANCIALS_DOSSIER.html</x:v>
      </x:c>
    </x:row>
    <x:row r="49" ht="42" customHeight="1">
      <x:c r="A49" s="5" t="n">
        <x:v>42</x:v>
      </x:c>
      <x:c r="B49" s="5" t="str">
        <x:v>Innovagen</x:v>
      </x:c>
      <x:c r="C49" s="5" t="str">
        <x:v>Lund, Sweden</x:v>
      </x:c>
      <x:c r="D49" s="5" t="str">
        <x:v>Custom Antibodies &amp; Peptide Synthesis</x:v>
      </x:c>
      <x:c r="E49" s="5" t="str">
        <x:v>SEK 22.4M</x:v>
      </x:c>
      <x:c r="F49" s="5" t="str">
        <x:v>SEK 4.2M</x:v>
      </x:c>
      <x:c r="G49" s="5" t="str">
        <x:v>SEK</x:v>
      </x:c>
      <x:c r="H49" s="5" t="str">
        <x:v>FY2023</x:v>
      </x:c>
      <x:c r="I49" s="5" t="str">
        <x:v>Private CRO; Package D (Custom synthesis batch profitability modeling)</x:v>
      </x:c>
      <x:c r="J49" s="5" t="str">
        <x:v>UNVERIFIED historical claim</x:v>
      </x:c>
      <x:c r="L49" s="31" t="str">
        <x:v>D06, Markdown line 223; http://nas-1.tail55d152.ts.net:4100/static/MEDICAL_NORDICS_FINANCIALS_DOSSIER.html</x:v>
      </x:c>
    </x:row>
    <x:row r="50" ht="42" customHeight="1">
      <x:c r="A50" s="5" t="n">
        <x:v>43</x:v>
      </x:c>
      <x:c r="B50" s="5" t="str">
        <x:v>Magle Biopharma</x:v>
      </x:c>
      <x:c r="C50" s="5" t="str">
        <x:v>Lund, Sweden</x:v>
      </x:c>
      <x:c r="D50" s="5" t="str">
        <x:v>Starch Microspheres &amp; Stem Cell CDMO</x:v>
      </x:c>
      <x:c r="E50" s="5" t="str">
        <x:v>SEK 185.0M (Group post-merger)</x:v>
      </x:c>
      <x:c r="F50" s="5" t="str">
        <x:v>SEK 34.5M</x:v>
      </x:c>
      <x:c r="G50" s="5" t="str">
        <x:v>SEK</x:v>
      </x:c>
      <x:c r="H50" s="5" t="str">
        <x:v>FY2024</x:v>
      </x:c>
      <x:c r="I50" s="5" t="str">
        <x:v>Listed (First North: MAGLE); Package D (Cleanroom operations &amp; CDMO pipeline tracking)</x:v>
      </x:c>
      <x:c r="J50" s="5" t="str">
        <x:v>UNVERIFIED historical claim</x:v>
      </x:c>
      <x:c r="L50" s="31" t="str">
        <x:v>D06, Markdown line 224; http://nas-1.tail55d152.ts.net:4100/static/MEDICAL_NORDICS_FINANCIALS_DOSSIER.html</x:v>
      </x:c>
    </x:row>
    <x:row r="51" ht="42" customHeight="1">
      <x:c r="A51" s="5" t="n">
        <x:v>44</x:v>
      </x:c>
      <x:c r="B51" s="5" t="str">
        <x:v>Newbury Pharmaceuticals</x:v>
      </x:c>
      <x:c r="C51" s="5" t="str">
        <x:v>Lund, Sweden</x:v>
      </x:c>
      <x:c r="D51" s="5" t="str">
        <x:v>Specialty Rx In-licensing</x:v>
      </x:c>
      <x:c r="E51" s="5" t="str">
        <x:v>SEK 18.5M (SEK 10.3M FY23)</x:v>
      </x:c>
      <x:c r="F51" s="5" t="str">
        <x:v>SEK 9.4M</x:v>
      </x:c>
      <x:c r="G51" s="5" t="str">
        <x:v>SEK</x:v>
      </x:c>
      <x:c r="H51" s="5" t="str">
        <x:v>FY2023/24</x:v>
      </x:c>
      <x:c r="I51" s="5" t="str">
        <x:v>Listed (First North: NEWBRY); Package C (Nordic commercial launch S&amp;OP portal)</x:v>
      </x:c>
      <x:c r="J51" s="5" t="str">
        <x:v>UNVERIFIED historical claim</x:v>
      </x:c>
      <x:c r="L51" s="31" t="str">
        <x:v>D06, Markdown line 225; http://nas-1.tail55d152.ts.net:4100/static/MEDICAL_NORDICS_FINANCIALS_DOSSIER.html</x:v>
      </x:c>
    </x:row>
    <x:row r="52" ht="42" customHeight="1">
      <x:c r="A52" s="5" t="n">
        <x:v>45</x:v>
      </x:c>
      <x:c r="B52" s="5" t="str">
        <x:v>Qlucore</x:v>
      </x:c>
      <x:c r="C52" s="5" t="str">
        <x:v>Lund, Sweden</x:v>
      </x:c>
      <x:c r="D52" s="5" t="str">
        <x:v>Precision Cancer Diagnostic Software</x:v>
      </x:c>
      <x:c r="E52" s="5" t="str">
        <x:v>SEK 14.37M</x:v>
      </x:c>
      <x:c r="F52" s="5" t="str">
        <x:v>SEK 22.8M</x:v>
      </x:c>
      <x:c r="G52" s="5" t="str">
        <x:v>SEK</x:v>
      </x:c>
      <x:c r="H52" s="5" t="str">
        <x:v>FY2023/24</x:v>
      </x:c>
      <x:c r="I52" s="5" t="str">
        <x:v>Listed (First North: QLUC); Package E (IVDR clinical software validation &amp; ISO cloud)</x:v>
      </x:c>
      <x:c r="J52" s="5" t="str">
        <x:v>UNVERIFIED historical claim</x:v>
      </x:c>
      <x:c r="L52" s="31" t="str">
        <x:v>D06, Markdown line 226; http://nas-1.tail55d152.ts.net:4100/static/MEDICAL_NORDICS_FINANCIALS_DOSSIER.html</x:v>
      </x:c>
    </x:row>
    <x:row r="53" ht="42" customHeight="1">
      <x:c r="A53" s="5" t="n">
        <x:v>46</x:v>
      </x:c>
      <x:c r="B53" s="5" t="str">
        <x:v>Red Glead Discovery</x:v>
      </x:c>
      <x:c r="C53" s="5" t="str">
        <x:v>Lund, Sweden</x:v>
      </x:c>
      <x:c r="D53" s="5" t="str">
        <x:v>Preclinical Medicinal Chemistry CRO</x:v>
      </x:c>
      <x:c r="E53" s="5" t="str">
        <x:v>SEK 48.0M</x:v>
      </x:c>
      <x:c r="F53" s="5" t="str">
        <x:v>SEK 6.8M</x:v>
      </x:c>
      <x:c r="G53" s="5" t="str">
        <x:v>SEK</x:v>
      </x:c>
      <x:c r="H53" s="5" t="str">
        <x:v>FY2023/24</x:v>
      </x:c>
      <x:c r="I53" s="5" t="str">
        <x:v>Pelago Bioscience unit; Package B (Preclinical chemistry milestone tracking)</x:v>
      </x:c>
      <x:c r="J53" s="5" t="str">
        <x:v>UNVERIFIED historical claim</x:v>
      </x:c>
      <x:c r="L53" s="31" t="str">
        <x:v>D06, Markdown line 227; http://nas-1.tail55d152.ts.net:4100/static/MEDICAL_NORDICS_FINANCIALS_DOSSIER.html</x:v>
      </x:c>
    </x:row>
    <x:row r="54" ht="42" customHeight="1">
      <x:c r="A54" s="5" t="n">
        <x:v>47</x:v>
      </x:c>
      <x:c r="B54" s="5" t="str">
        <x:v>Redoxis</x:v>
      </x:c>
      <x:c r="C54" s="5" t="str">
        <x:v>Lund, Sweden</x:v>
      </x:c>
      <x:c r="D54" s="5" t="str">
        <x:v>Preclinical Autoimmune CRO</x:v>
      </x:c>
      <x:c r="E54" s="5" t="str">
        <x:v>SEK 18.5M</x:v>
      </x:c>
      <x:c r="F54" s="5" t="str">
        <x:v>SEK 3.8M</x:v>
      </x:c>
      <x:c r="G54" s="5" t="str">
        <x:v>SEK</x:v>
      </x:c>
      <x:c r="H54" s="5" t="str">
        <x:v>FY2023</x:v>
      </x:c>
      <x:c r="I54" s="5" t="str">
        <x:v>Private CRO; Package B (In vivo trial reporting &amp; client portal software)</x:v>
      </x:c>
      <x:c r="J54" s="5" t="str">
        <x:v>UNVERIFIED historical claim</x:v>
      </x:c>
      <x:c r="L54" s="31" t="str">
        <x:v>D06, Markdown line 228; http://nas-1.tail55d152.ts.net:4100/static/MEDICAL_NORDICS_FINANCIALS_DOSSIER.html</x:v>
      </x:c>
    </x:row>
    <x:row r="55" ht="42" customHeight="1">
      <x:c r="A55" s="5" t="n">
        <x:v>48</x:v>
      </x:c>
      <x:c r="B55" s="5" t="str">
        <x:v>SARomics Biostructures</x:v>
      </x:c>
      <x:c r="C55" s="5" t="str">
        <x:v>Lund, Sweden</x:v>
      </x:c>
      <x:c r="D55" s="5" t="str">
        <x:v>X-Ray &amp; Cryo-EM Drug Discovery</x:v>
      </x:c>
      <x:c r="E55" s="5" t="str">
        <x:v>SEK 21.8M</x:v>
      </x:c>
      <x:c r="F55" s="5" t="str">
        <x:v>SEK 4.8M</x:v>
      </x:c>
      <x:c r="G55" s="5" t="str">
        <x:v>SEK</x:v>
      </x:c>
      <x:c r="H55" s="5" t="str">
        <x:v>FY2023</x:v>
      </x:c>
      <x:c r="I55" s="5" t="str">
        <x:v>Private structural biology; Package B (Contract screening project milestone tracking)</x:v>
      </x:c>
      <x:c r="J55" s="5" t="str">
        <x:v>UNVERIFIED historical claim</x:v>
      </x:c>
      <x:c r="L55" s="31" t="str">
        <x:v>D06, Markdown line 229; http://nas-1.tail55d152.ts.net:4100/static/MEDICAL_NORDICS_FINANCIALS_DOSSIER.html</x:v>
      </x:c>
    </x:row>
    <x:row r="56" ht="42" customHeight="1">
      <x:c r="A56" s="5" t="n">
        <x:v>49</x:v>
      </x:c>
      <x:c r="B56" s="5" t="str">
        <x:v>SenzaGen</x:v>
      </x:c>
      <x:c r="C56" s="5" t="str">
        <x:v>Lund, Sweden</x:v>
      </x:c>
      <x:c r="D56" s="5" t="str">
        <x:v>Non-Animal GARD Toxicological Assays</x:v>
      </x:c>
      <x:c r="E56" s="5" t="str">
        <x:v>SEK 57.7M (SEK 49.9M FY23)</x:v>
      </x:c>
      <x:c r="F56" s="5" t="str">
        <x:v>SEK 14.8M</x:v>
      </x:c>
      <x:c r="G56" s="5" t="str">
        <x:v>SEK</x:v>
      </x:c>
      <x:c r="H56" s="5" t="str">
        <x:v>FY2024</x:v>
      </x:c>
      <x:c r="I56" s="5" t="str">
        <x:v>Listed (First North: SENZA); Package A &amp; C (Laboratory test commercial onboarding)</x:v>
      </x:c>
      <x:c r="J56" s="5" t="str">
        <x:v>UNVERIFIED historical claim</x:v>
      </x:c>
      <x:c r="L56" s="31" t="str">
        <x:v>D06, Markdown line 230; http://nas-1.tail55d152.ts.net:4100/static/MEDICAL_NORDICS_FINANCIALS_DOSSIER.html</x:v>
      </x:c>
    </x:row>
    <x:row r="57" ht="42" customHeight="1">
      <x:c r="A57" s="5" t="n">
        <x:v>50</x:v>
      </x:c>
      <x:c r="B57" s="5" t="str">
        <x:v>Spago Nanomedical</x:v>
      </x:c>
      <x:c r="C57" s="5" t="str">
        <x:v>Lund, Sweden</x:v>
      </x:c>
      <x:c r="D57" s="5" t="str">
        <x:v>Tumor-Selective Nanomedicine</x:v>
      </x:c>
      <x:c r="E57" s="5" t="str">
        <x:v>SEK 1.91M</x:v>
      </x:c>
      <x:c r="F57" s="5" t="str">
        <x:v>SEK 36.5M</x:v>
      </x:c>
      <x:c r="G57" s="5" t="str">
        <x:v>SEK</x:v>
      </x:c>
      <x:c r="H57" s="5" t="str">
        <x:v>FY2024</x:v>
      </x:c>
      <x:c r="I57" s="5" t="str">
        <x:v>Listed (Spotlight: SPAG); Package B (SpagoPix MRI clinical trial milestone monitoring)</x:v>
      </x:c>
      <x:c r="J57" s="5" t="str">
        <x:v>UNVERIFIED historical claim</x:v>
      </x:c>
      <x:c r="L57" s="31" t="str">
        <x:v>D06, Markdown line 231; http://nas-1.tail55d152.ts.net:4100/static/MEDICAL_NORDICS_FINANCIALS_DOSSIER.html</x:v>
      </x:c>
    </x:row>
    <x:row r="58" ht="42" customHeight="1">
      <x:c r="A58" s="5" t="n">
        <x:v>51</x:v>
      </x:c>
      <x:c r="B58" s="5" t="str">
        <x:v>TFS HealthScience</x:v>
      </x:c>
      <x:c r="C58" s="5" t="str">
        <x:v>Lund, Sweden</x:v>
      </x:c>
      <x:c r="D58" s="5" t="str">
        <x:v>International Mid-Sized CRO</x:v>
      </x:c>
      <x:c r="E58" s="5" t="str">
        <x:v>SEK 1,220.0M (Ratos sales)</x:v>
      </x:c>
      <x:c r="F58" s="5" t="str">
        <x:v>SEK 42.0M</x:v>
      </x:c>
      <x:c r="G58" s="5" t="str">
        <x:v>SEK</x:v>
      </x:c>
      <x:c r="H58" s="5" t="str">
        <x:v>FY2023</x:v>
      </x:c>
      <x:c r="I58" s="5" t="str">
        <x:v>Ratos AB (Nasdaq: RATO B); Package B (ML site accrual prediction &amp; automated grant payments)</x:v>
      </x:c>
      <x:c r="J58" s="5" t="str">
        <x:v>UNVERIFIED historical claim</x:v>
      </x:c>
      <x:c r="L58" s="31" t="str">
        <x:v>D06, Markdown line 232; http://nas-1.tail55d152.ts.net:4100/static/MEDICAL_NORDICS_FINANCIALS_DOSSIER.html</x:v>
      </x:c>
    </x:row>
    <x:row r="59" ht="42" customHeight="1">
      <x:c r="A59" s="5" t="n">
        <x:v>52</x:v>
      </x:c>
      <x:c r="B59" s="5" t="str">
        <x:v>Xintela</x:v>
      </x:c>
      <x:c r="C59" s="5" t="str">
        <x:v>Lund, Sweden</x:v>
      </x:c>
      <x:c r="D59" s="5" t="str">
        <x:v>Stem Cell &amp; Antibody Therapeutics</x:v>
      </x:c>
      <x:c r="E59" s="5" t="str">
        <x:v>SEK 3.8M</x:v>
      </x:c>
      <x:c r="F59" s="5" t="str">
        <x:v>SEK 31.4M</x:v>
      </x:c>
      <x:c r="G59" s="5" t="str">
        <x:v>SEK</x:v>
      </x:c>
      <x:c r="H59" s="5" t="str">
        <x:v>FY2024</x:v>
      </x:c>
      <x:c r="I59" s="5" t="str">
        <x:v>Listed (First North: XINT); Package B (ATMP clinical manufacturing quality documentation)</x:v>
      </x:c>
      <x:c r="J59" s="5" t="str">
        <x:v>UNVERIFIED historical claim</x:v>
      </x:c>
      <x:c r="L59" s="31" t="str">
        <x:v>D06, Markdown line 233; http://nas-1.tail55d152.ts.net:4100/static/MEDICAL_NORDICS_FINANCIALS_DOSSIER.html</x:v>
      </x:c>
    </x:row>
    <x:row r="60" ht="42" customHeight="1">
      <x:c r="A60" s="5" t="n">
        <x:v>53</x:v>
      </x:c>
      <x:c r="B60" s="5" t="str">
        <x:v>Acarix</x:v>
      </x:c>
      <x:c r="C60" s="5" t="str">
        <x:v>Malmö, Sweden</x:v>
      </x:c>
      <x:c r="D60" s="5" t="str">
        <x:v>CADScor Acoustic Cardiac Diagnostics</x:v>
      </x:c>
      <x:c r="E60" s="5" t="str">
        <x:v>SEK 7.5M</x:v>
      </x:c>
      <x:c r="F60" s="5" t="str">
        <x:v>SEK 32.4M</x:v>
      </x:c>
      <x:c r="G60" s="5" t="str">
        <x:v>SEK</x:v>
      </x:c>
      <x:c r="H60" s="5" t="str">
        <x:v>FY2024</x:v>
      </x:c>
      <x:c r="I60" s="5" t="str">
        <x:v>Listed (First North: ACARIX); Package A (Primary care triage HEOR reimbursement proof)</x:v>
      </x:c>
      <x:c r="J60" s="5" t="str">
        <x:v>UNVERIFIED historical claim</x:v>
      </x:c>
      <x:c r="L60" s="31" t="str">
        <x:v>D06, Markdown line 234; http://nas-1.tail55d152.ts.net:4100/static/MEDICAL_NORDICS_FINANCIALS_DOSSIER.html</x:v>
      </x:c>
    </x:row>
    <x:row r="61" ht="42" customHeight="1">
      <x:c r="A61" s="5" t="n">
        <x:v>54</x:v>
      </x:c>
      <x:c r="B61" s="5" t="str">
        <x:v>Ascelia Pharma</x:v>
      </x:c>
      <x:c r="C61" s="5" t="str">
        <x:v>Malmö, Sweden</x:v>
      </x:c>
      <x:c r="D61" s="5" t="str">
        <x:v>Orviglance Liver MRI Imaging Agent</x:v>
      </x:c>
      <x:c r="E61" s="5" t="str">
        <x:v>SEK 0M (Clinical stage)</x:v>
      </x:c>
      <x:c r="F61" s="5" t="str">
        <x:v>SEK 74.2M</x:v>
      </x:c>
      <x:c r="G61" s="5" t="str">
        <x:v>SEK</x:v>
      </x:c>
      <x:c r="H61" s="5" t="str">
        <x:v>FY2023/24</x:v>
      </x:c>
      <x:c r="I61" s="5" t="str">
        <x:v>Listed (Nasdaq: ACE); Package B &amp; C (SPARKLE study readout &amp; launch pricing simulation)</x:v>
      </x:c>
      <x:c r="J61" s="5" t="str">
        <x:v>UNVERIFIED historical claim</x:v>
      </x:c>
      <x:c r="L61" s="31" t="str">
        <x:v>D06, Markdown line 235; http://nas-1.tail55d152.ts.net:4100/static/MEDICAL_NORDICS_FINANCIALS_DOSSIER.html</x:v>
      </x:c>
    </x:row>
    <x:row r="62" ht="42" customHeight="1">
      <x:c r="A62" s="5" t="n">
        <x:v>55</x:v>
      </x:c>
      <x:c r="B62" s="5" t="str">
        <x:v>Flow Neuroscience</x:v>
      </x:c>
      <x:c r="C62" s="5" t="str">
        <x:v>Malmö, Sweden</x:v>
      </x:c>
      <x:c r="D62" s="5" t="str">
        <x:v>Brain Stimulation Headset for Depression</x:v>
      </x:c>
      <x:c r="E62" s="5" t="str">
        <x:v>EUR 2.2M est. (~SEK 25M)</x:v>
      </x:c>
      <x:c r="F62" s="5" t="str">
        <x:v>EUR 5.8M (~SEK 65M)</x:v>
      </x:c>
      <x:c r="G62" s="5" t="str">
        <x:v>EUR</x:v>
      </x:c>
      <x:c r="H62" s="5" t="str">
        <x:v>FY2023/24</x:v>
      </x:c>
      <x:c r="I62" s="5" t="str">
        <x:v>Private tDCS headset; Package A &amp; E (Clinic DaaS subscription &amp; MDR software file)</x:v>
      </x:c>
      <x:c r="J62" s="5" t="str">
        <x:v>UNVERIFIED historical claim</x:v>
      </x:c>
      <x:c r="L62" s="31" t="str">
        <x:v>D06, Markdown line 236; http://nas-1.tail55d152.ts.net:4100/static/MEDICAL_NORDICS_FINANCIALS_DOSSIER.html</x:v>
      </x:c>
    </x:row>
    <x:row r="63" ht="42" customHeight="1">
      <x:c r="A63" s="5" t="n">
        <x:v>56</x:v>
      </x:c>
      <x:c r="B63" s="5" t="str">
        <x:v>Laboratorio Reig Jofre</x:v>
      </x:c>
      <x:c r="C63" s="5" t="str">
        <x:v>Malmö, Sweden</x:v>
      </x:c>
      <x:c r="D63" s="5" t="str">
        <x:v>Aseptic Injectables &amp; Antibiotic Plant</x:v>
      </x:c>
      <x:c r="E63" s="5" t="str">
        <x:v>EUR 339.0M (~SEK 3.85B)</x:v>
      </x:c>
      <x:c r="F63" s="5" t="str">
        <x:v>EUR 17.0M (~5% sales)</x:v>
      </x:c>
      <x:c r="G63" s="5" t="str">
        <x:v>EUR</x:v>
      </x:c>
      <x:c r="H63" s="5" t="str">
        <x:v>FY2024</x:v>
      </x:c>
      <x:c r="I63" s="5" t="str">
        <x:v>Listed (BME: RJF); Package D (Sterile injectable fill-finish yield optimization)</x:v>
      </x:c>
      <x:c r="J63" s="5" t="str">
        <x:v>UNVERIFIED historical claim</x:v>
      </x:c>
      <x:c r="L63" s="31" t="str">
        <x:v>D06, Markdown line 237; http://nas-1.tail55d152.ts.net:4100/static/MEDICAL_NORDICS_FINANCIALS_DOSSIER.html</x:v>
      </x:c>
    </x:row>
    <x:row r="64" ht="42" customHeight="1">
      <x:c r="A64" s="5" t="n">
        <x:v>57</x:v>
      </x:c>
      <x:c r="B64" s="5" t="str">
        <x:v>Magle Chemoswed</x:v>
      </x:c>
      <x:c r="C64" s="5" t="str">
        <x:v>Malmö, Sweden</x:v>
      </x:c>
      <x:c r="D64" s="5" t="str">
        <x:v>API Synthesis &amp; Chemical Development</x:v>
      </x:c>
      <x:c r="E64" s="5" t="str">
        <x:v>SEK 21.0M (Chemoswed unit)</x:v>
      </x:c>
      <x:c r="F64" s="5" t="str">
        <x:v>SEK 12.0M</x:v>
      </x:c>
      <x:c r="G64" s="5" t="str">
        <x:v>SEK</x:v>
      </x:c>
      <x:c r="H64" s="5" t="str">
        <x:v>FY2024</x:v>
      </x:c>
      <x:c r="I64" s="5" t="str">
        <x:v>Magle Group; Package D (Small molecule API batch turnaround defense)</x:v>
      </x:c>
      <x:c r="J64" s="5" t="str">
        <x:v>UNVERIFIED historical claim</x:v>
      </x:c>
      <x:c r="L64" s="31" t="str">
        <x:v>D06, Markdown line 238; http://nas-1.tail55d152.ts.net:4100/static/MEDICAL_NORDICS_FINANCIALS_DOSSIER.html</x:v>
      </x:c>
    </x:row>
    <x:row r="65" ht="42" customHeight="1">
      <x:c r="A65" s="5" t="n">
        <x:v>58</x:v>
      </x:c>
      <x:c r="B65" s="5" t="str">
        <x:v>Svar Life Science</x:v>
      </x:c>
      <x:c r="C65" s="5" t="str">
        <x:v>Malmö, Sweden</x:v>
      </x:c>
      <x:c r="D65" s="5" t="str">
        <x:v>Functional Assays &amp; Wieslab Testing</x:v>
      </x:c>
      <x:c r="E65" s="5" t="str">
        <x:v>SEK 235.0M est.</x:v>
      </x:c>
      <x:c r="F65" s="5" t="str">
        <x:v>SEK 28.0M</x:v>
      </x:c>
      <x:c r="G65" s="5" t="str">
        <x:v>SEK</x:v>
      </x:c>
      <x:c r="H65" s="5" t="str">
        <x:v>FY2023/24</x:v>
      </x:c>
      <x:c r="I65" s="5" t="str">
        <x:v>Private diagnostics; Package C (Custom diagnostic assay supply chain S&amp;OP)</x:v>
      </x:c>
      <x:c r="J65" s="5" t="str">
        <x:v>UNVERIFIED historical claim</x:v>
      </x:c>
      <x:c r="L65" s="31" t="str">
        <x:v>D06, Markdown line 239; http://nas-1.tail55d152.ts.net:4100/static/MEDICAL_NORDICS_FINANCIALS_DOSSIER.html</x:v>
      </x:c>
    </x:row>
    <x:row r="66" ht="42" customHeight="1">
      <x:c r="A66" s="5" t="n">
        <x:v>59</x:v>
      </x:c>
      <x:c r="B66" s="5" t="str">
        <x:v>Alzinova</x:v>
      </x:c>
      <x:c r="C66" s="5" t="str">
        <x:v>Mölndal, Sweden</x:v>
      </x:c>
      <x:c r="D66" s="5" t="str">
        <x:v>ALZ-101 Alzheimer's Vaccine</x:v>
      </x:c>
      <x:c r="E66" s="5" t="str">
        <x:v>SEK 0.3M</x:v>
      </x:c>
      <x:c r="F66" s="5" t="str">
        <x:v>SEK 36.4M</x:v>
      </x:c>
      <x:c r="G66" s="5" t="str">
        <x:v>SEK</x:v>
      </x:c>
      <x:c r="H66" s="5" t="str">
        <x:v>FY2023</x:v>
      </x:c>
      <x:c r="I66" s="5" t="str">
        <x:v>Listed (First North: ALZ); Package B (Phase II trial protocol enrollment analytics)</x:v>
      </x:c>
      <x:c r="J66" s="5" t="str">
        <x:v>UNVERIFIED historical claim</x:v>
      </x:c>
      <x:c r="L66" s="31" t="str">
        <x:v>D06, Markdown line 240; http://nas-1.tail55d152.ts.net:4100/static/MEDICAL_NORDICS_FINANCIALS_DOSSIER.html</x:v>
      </x:c>
    </x:row>
    <x:row r="67" ht="42" customHeight="1">
      <x:c r="A67" s="5" t="n">
        <x:v>60</x:v>
      </x:c>
      <x:c r="B67" s="5" t="str">
        <x:v>Amferia</x:v>
      </x:c>
      <x:c r="C67" s="5" t="str">
        <x:v>Mölndal, Sweden</x:v>
      </x:c>
      <x:c r="D67" s="5" t="str">
        <x:v>Antimicrobial Peptide Wound Hydrogels</x:v>
      </x:c>
      <x:c r="E67" s="5" t="str">
        <x:v>SEK 3.5M est.</x:v>
      </x:c>
      <x:c r="F67" s="5" t="str">
        <x:v>SEK 15.0M</x:v>
      </x:c>
      <x:c r="G67" s="5" t="str">
        <x:v>SEK</x:v>
      </x:c>
      <x:c r="H67" s="5" t="str">
        <x:v>FY2023/24</x:v>
      </x:c>
      <x:c r="I67" s="5" t="str">
        <x:v>Private Chalmers spinout; Package A (Hospital surgical wound infection reduction proof)</x:v>
      </x:c>
      <x:c r="J67" s="5" t="str">
        <x:v>UNVERIFIED historical claim</x:v>
      </x:c>
      <x:c r="L67" s="31" t="str">
        <x:v>D06, Markdown line 241; http://nas-1.tail55d152.ts.net:4100/static/MEDICAL_NORDICS_FINANCIALS_DOSSIER.html</x:v>
      </x:c>
    </x:row>
    <x:row r="68" ht="42" customHeight="1">
      <x:c r="A68" s="5" t="n">
        <x:v>61</x:v>
      </x:c>
      <x:c r="B68" s="5" t="str">
        <x:v>Cereno Scientific</x:v>
      </x:c>
      <x:c r="C68" s="5" t="str">
        <x:v>Mölndal, Sweden</x:v>
      </x:c>
      <x:c r="D68" s="5" t="str">
        <x:v>Epigenetic Small Molecules for PAH</x:v>
      </x:c>
      <x:c r="E68" s="5" t="str">
        <x:v>SEK 0M (Clinical stage)</x:v>
      </x:c>
      <x:c r="F68" s="5" t="str">
        <x:v>SEK 78.4M</x:v>
      </x:c>
      <x:c r="G68" s="5" t="str">
        <x:v>SEK</x:v>
      </x:c>
      <x:c r="H68" s="5" t="str">
        <x:v>FY2024</x:v>
      </x:c>
      <x:c r="I68" s="5" t="str">
        <x:v>Listed (First North: CRNO B); Package B (CS1 pulmonary trial milestone burn control)</x:v>
      </x:c>
      <x:c r="J68" s="5" t="str">
        <x:v>UNVERIFIED historical claim</x:v>
      </x:c>
      <x:c r="L68" s="31" t="str">
        <x:v>D06, Markdown line 242; http://nas-1.tail55d152.ts.net:4100/static/MEDICAL_NORDICS_FINANCIALS_DOSSIER.html</x:v>
      </x:c>
    </x:row>
    <x:row r="69" ht="42" customHeight="1">
      <x:c r="A69" s="5" t="n">
        <x:v>62</x:v>
      </x:c>
      <x:c r="B69" s="5" t="str">
        <x:v>Fluicell</x:v>
      </x:c>
      <x:c r="C69" s="5" t="str">
        <x:v>Mölndal, Sweden</x:v>
      </x:c>
      <x:c r="D69" s="5" t="str">
        <x:v>Single-Cell Biopixlar Bioprinting</x:v>
      </x:c>
      <x:c r="E69" s="5" t="str">
        <x:v>SEK 4.8M</x:v>
      </x:c>
      <x:c r="F69" s="5" t="str">
        <x:v>SEK 15.6M</x:v>
      </x:c>
      <x:c r="G69" s="5" t="str">
        <x:v>SEK</x:v>
      </x:c>
      <x:c r="H69" s="5" t="str">
        <x:v>FY2023/24</x:v>
      </x:c>
      <x:c r="I69" s="5" t="str">
        <x:v>Listed (First North: FLUI); Package A (Microfluidic hardware leasing &amp; lab subscription)</x:v>
      </x:c>
      <x:c r="J69" s="5" t="str">
        <x:v>UNVERIFIED historical claim</x:v>
      </x:c>
      <x:c r="L69" s="31" t="str">
        <x:v>D06, Markdown line 243; http://nas-1.tail55d152.ts.net:4100/static/MEDICAL_NORDICS_FINANCIALS_DOSSIER.html</x:v>
      </x:c>
    </x:row>
    <x:row r="70" ht="42" customHeight="1">
      <x:c r="A70" s="5" t="n">
        <x:v>63</x:v>
      </x:c>
      <x:c r="B70" s="5" t="str">
        <x:v>Ribocure Pharmaceuticals</x:v>
      </x:c>
      <x:c r="C70" s="5" t="str">
        <x:v>Mölndal, Sweden</x:v>
      </x:c>
      <x:c r="D70" s="5" t="str">
        <x:v>RNA Therapeutics for Cardiovascular</x:v>
      </x:c>
      <x:c r="E70" s="5" t="str">
        <x:v>USD 0M (Clinical stage)</x:v>
      </x:c>
      <x:c r="F70" s="5" t="str">
        <x:v>USD 8.5M (~SEK 88M)</x:v>
      </x:c>
      <x:c r="G70" s="5" t="str">
        <x:v>USD</x:v>
      </x:c>
      <x:c r="H70" s="5" t="str">
        <x:v>FY2024</x:v>
      </x:c>
      <x:c r="I70" s="5" t="str">
        <x:v>Private RNA ($33M equity); Package B (Oligonucleotide preclinical-to-clinical data bridge)</x:v>
      </x:c>
      <x:c r="J70" s="5" t="str">
        <x:v>UNVERIFIED historical claim</x:v>
      </x:c>
      <x:c r="L70" s="31" t="str">
        <x:v>D06, Markdown line 244; http://nas-1.tail55d152.ts.net:4100/static/MEDICAL_NORDICS_FINANCIALS_DOSSIER.html</x:v>
      </x:c>
    </x:row>
    <x:row r="71" ht="42" customHeight="1">
      <x:c r="A71" s="5" t="n">
        <x:v>64</x:v>
      </x:c>
      <x:c r="B71" s="5" t="str">
        <x:v>XVIVO Perfusion</x:v>
      </x:c>
      <x:c r="C71" s="5" t="str">
        <x:v>Mölndal, Sweden</x:v>
      </x:c>
      <x:c r="D71" s="5" t="str">
        <x:v>Organ Machine Perfusion Systems</x:v>
      </x:c>
      <x:c r="E71" s="5" t="str">
        <x:v>SEK 822.4M (SEK 605M FY23)</x:v>
      </x:c>
      <x:c r="F71" s="5" t="str">
        <x:v>SEK 114.5M</x:v>
      </x:c>
      <x:c r="G71" s="5" t="str">
        <x:v>SEK</x:v>
      </x:c>
      <x:c r="H71" s="5" t="str">
        <x:v>FY2024</x:v>
      </x:c>
      <x:c r="I71" s="5" t="str">
        <x:v>Listed (Nasdaq: XVIVO); Package A (Hospital transplant ICU $45k+ savings calculator)</x:v>
      </x:c>
      <x:c r="J71" s="5" t="str">
        <x:v>UNVERIFIED historical claim</x:v>
      </x:c>
      <x:c r="L71" s="31" t="str">
        <x:v>D06, Markdown line 245; http://nas-1.tail55d152.ts.net:4100/static/MEDICAL_NORDICS_FINANCIALS_DOSSIER.html</x:v>
      </x:c>
    </x:row>
    <x:row r="72" ht="42" customHeight="1">
      <x:c r="A72" s="5" t="n">
        <x:v>65</x:v>
      </x:c>
      <x:c r="B72" s="5" t="str">
        <x:v>ImmunoIVD</x:v>
      </x:c>
      <x:c r="C72" s="5" t="str">
        <x:v>Nacka Strand, Sweden</x:v>
      </x:c>
      <x:c r="D72" s="5" t="str">
        <x:v>SPOT-it Neonatal qPCR Screening Kits</x:v>
      </x:c>
      <x:c r="E72" s="5" t="str">
        <x:v>SEK 16.5M</x:v>
      </x:c>
      <x:c r="F72" s="5" t="str">
        <x:v>SEK 5.2M</x:v>
      </x:c>
      <x:c r="G72" s="5" t="str">
        <x:v>SEK</x:v>
      </x:c>
      <x:c r="H72" s="5" t="str">
        <x:v>FY2023/24</x:v>
      </x:c>
      <x:c r="I72" s="5" t="str">
        <x:v>Private; Package A &amp; C (Hospital laboratory neonatal tender submission modeling)</x:v>
      </x:c>
      <x:c r="J72" s="5" t="str">
        <x:v>UNVERIFIED historical claim</x:v>
      </x:c>
      <x:c r="L72" s="31" t="str">
        <x:v>D06, Markdown line 246; http://nas-1.tail55d152.ts.net:4100/static/MEDICAL_NORDICS_FINANCIALS_DOSSIER.html</x:v>
      </x:c>
    </x:row>
    <x:row r="73" ht="42" customHeight="1">
      <x:c r="A73" s="5" t="n">
        <x:v>66</x:v>
      </x:c>
      <x:c r="B73" s="5" t="str">
        <x:v>Anocca</x:v>
      </x:c>
      <x:c r="C73" s="5" t="str">
        <x:v>Södertälje, Sweden</x:v>
      </x:c>
      <x:c r="D73" s="5" t="str">
        <x:v>TCR Cellular Immunotherapy</x:v>
      </x:c>
      <x:c r="E73" s="5" t="str">
        <x:v>SEK 0M (Clinical stage)</x:v>
      </x:c>
      <x:c r="F73" s="5" t="str">
        <x:v>SEK 195.0M est.</x:v>
      </x:c>
      <x:c r="G73" s="5" t="str">
        <x:v>SEK</x:v>
      </x:c>
      <x:c r="H73" s="5" t="str">
        <x:v>FY2023/24</x:v>
      </x:c>
      <x:c r="I73" s="5" t="str">
        <x:v>Private (SEK 440M funding); Package B &amp; E (High-throughput library clinical data engine)</x:v>
      </x:c>
      <x:c r="J73" s="5" t="str">
        <x:v>UNVERIFIED historical claim</x:v>
      </x:c>
      <x:c r="L73" s="31" t="str">
        <x:v>D06, Markdown line 247; http://nas-1.tail55d152.ts.net:4100/static/MEDICAL_NORDICS_FINANCIALS_DOSSIER.html</x:v>
      </x:c>
    </x:row>
    <x:row r="74" ht="42" customHeight="1">
      <x:c r="A74" s="5" t="n">
        <x:v>67</x:v>
      </x:c>
      <x:c r="B74" s="5" t="str">
        <x:v>AstraZeneca</x:v>
      </x:c>
      <x:c r="C74" s="5" t="str">
        <x:v>Södertälje, Sweden</x:v>
      </x:c>
      <x:c r="D74" s="5" t="str">
        <x:v>Global Supply &amp; Manufacturing Plant</x:v>
      </x:c>
      <x:c r="E74" s="5" t="str">
        <x:v>USD 54,100.0M ($54.1B)</x:v>
      </x:c>
      <x:c r="F74" s="5" t="str">
        <x:v>USD 13,600.0M ($13.6B)</x:v>
      </x:c>
      <x:c r="G74" s="5" t="str">
        <x:v>USD</x:v>
      </x:c>
      <x:c r="H74" s="5" t="str">
        <x:v>FY2024</x:v>
      </x:c>
      <x:c r="I74" s="5" t="str">
        <x:v>AZN flagship; Package D (Packaging line automation &amp; high-volume release analytics)</x:v>
      </x:c>
      <x:c r="J74" s="5" t="str">
        <x:v>UNVERIFIED historical claim</x:v>
      </x:c>
      <x:c r="L74" s="31" t="str">
        <x:v>D06, Markdown line 248; http://nas-1.tail55d152.ts.net:4100/static/MEDICAL_NORDICS_FINANCIALS_DOSSIER.html</x:v>
      </x:c>
    </x:row>
    <x:row r="75" ht="42" customHeight="1">
      <x:c r="A75" s="5" t="n">
        <x:v>68</x:v>
      </x:c>
      <x:c r="B75" s="5" t="str">
        <x:v>Nanologica</x:v>
      </x:c>
      <x:c r="C75" s="5" t="str">
        <x:v>Södertälje, Sweden</x:v>
      </x:c>
      <x:c r="D75" s="5" t="str">
        <x:v>Nanoporous Silica Chromatography</x:v>
      </x:c>
      <x:c r="E75" s="5" t="str">
        <x:v>SEK 14.54M</x:v>
      </x:c>
      <x:c r="F75" s="5" t="str">
        <x:v>SEK 28.2M</x:v>
      </x:c>
      <x:c r="G75" s="5" t="str">
        <x:v>SEK</x:v>
      </x:c>
      <x:c r="H75" s="5" t="str">
        <x:v>FY2024</x:v>
      </x:c>
      <x:c r="I75" s="5" t="str">
        <x:v>Listed (Nasdaq: NICA); Package D (Insulin preparative purification yield modeling)</x:v>
      </x:c>
      <x:c r="J75" s="5" t="str">
        <x:v>UNVERIFIED historical claim</x:v>
      </x:c>
      <x:c r="L75" s="31" t="str">
        <x:v>D06, Markdown line 249; http://nas-1.tail55d152.ts.net:4100/static/MEDICAL_NORDICS_FINANCIALS_DOSSIER.html</x:v>
      </x:c>
    </x:row>
    <x:row r="76" ht="42" customHeight="1">
      <x:c r="A76" s="5" t="n">
        <x:v>69</x:v>
      </x:c>
      <x:c r="B76" s="5" t="str">
        <x:v>AAX Biotech</x:v>
      </x:c>
      <x:c r="C76" s="5" t="str">
        <x:v>Solna, Sweden</x:v>
      </x:c>
      <x:c r="D76" s="5" t="str">
        <x:v>Seqitope &amp; Opti-mAb Antibody Tech</x:v>
      </x:c>
      <x:c r="E76" s="5" t="str">
        <x:v>SEK 0M (Pre-revenue)</x:v>
      </x:c>
      <x:c r="F76" s="5" t="str">
        <x:v>SEK 10.5M</x:v>
      </x:c>
      <x:c r="G76" s="5" t="str">
        <x:v>SEK</x:v>
      </x:c>
      <x:c r="H76" s="5" t="str">
        <x:v>FY2023/24</x:v>
      </x:c>
      <x:c r="I76" s="5" t="str">
        <x:v>Karolinska spin-out; Package B (Daiichi Sankyo partnered data room management)</x:v>
      </x:c>
      <x:c r="J76" s="5" t="str">
        <x:v>UNVERIFIED historical claim</x:v>
      </x:c>
      <x:c r="L76" s="31" t="str">
        <x:v>D06, Markdown line 250; http://nas-1.tail55d152.ts.net:4100/static/MEDICAL_NORDICS_FINANCIALS_DOSSIER.html</x:v>
      </x:c>
    </x:row>
    <x:row r="77" ht="42" customHeight="1">
      <x:c r="A77" s="5" t="n">
        <x:v>70</x:v>
      </x:c>
      <x:c r="B77" s="5" t="str">
        <x:v>Aplex Bio</x:v>
      </x:c>
      <x:c r="C77" s="5" t="str">
        <x:v>Solna, Sweden</x:v>
      </x:c>
      <x:c r="D77" s="5" t="str">
        <x:v>Hyperplexed PCR Detection Platform</x:v>
      </x:c>
      <x:c r="E77" s="5" t="str">
        <x:v>SEK 1.8M est.</x:v>
      </x:c>
      <x:c r="F77" s="5" t="str">
        <x:v>SEK 12.0M</x:v>
      </x:c>
      <x:c r="G77" s="5" t="str">
        <x:v>SEK</x:v>
      </x:c>
      <x:c r="H77" s="5" t="str">
        <x:v>FY2023/24</x:v>
      </x:c>
      <x:c r="I77" s="5" t="str">
        <x:v>Private; Package A &amp; E (Point-of-care PCR workflow optimization &amp; software)</x:v>
      </x:c>
      <x:c r="J77" s="5" t="str">
        <x:v>UNVERIFIED historical claim</x:v>
      </x:c>
      <x:c r="L77" s="31" t="str">
        <x:v>D06, Markdown line 251; http://nas-1.tail55d152.ts.net:4100/static/MEDICAL_NORDICS_FINANCIALS_DOSSIER.html</x:v>
      </x:c>
    </x:row>
    <x:row r="78" ht="42" customHeight="1">
      <x:c r="A78" s="5" t="n">
        <x:v>71</x:v>
      </x:c>
      <x:c r="B78" s="5" t="str">
        <x:v>Elypta</x:v>
      </x:c>
      <x:c r="C78" s="5" t="str">
        <x:v>Solna, Sweden</x:v>
      </x:c>
      <x:c r="D78" s="5" t="str">
        <x:v>GAG Liquid Biopsy Platform</x:v>
      </x:c>
      <x:c r="E78" s="5" t="str">
        <x:v>SEK 3.5M est.</x:v>
      </x:c>
      <x:c r="F78" s="5" t="str">
        <x:v>SEK 72.0M</x:v>
      </x:c>
      <x:c r="G78" s="5" t="str">
        <x:v>SEK</x:v>
      </x:c>
      <x:c r="H78" s="5" t="str">
        <x:v>FY2023/24</x:v>
      </x:c>
      <x:c r="I78" s="5" t="str">
        <x:v>Private ($21M Series A); Package E (AI metabolism liquid biopsy Notified Body audit)</x:v>
      </x:c>
      <x:c r="J78" s="5" t="str">
        <x:v>UNVERIFIED historical claim</x:v>
      </x:c>
      <x:c r="L78" s="31" t="str">
        <x:v>D06, Markdown line 252; http://nas-1.tail55d152.ts.net:4100/static/MEDICAL_NORDICS_FINANCIALS_DOSSIER.html</x:v>
      </x:c>
    </x:row>
    <x:row r="79" ht="42" customHeight="1">
      <x:c r="A79" s="5" t="n">
        <x:v>72</x:v>
      </x:c>
      <x:c r="B79" s="5" t="str">
        <x:v>FenoMark Diagnostics</x:v>
      </x:c>
      <x:c r="C79" s="5" t="str">
        <x:v>Solna, Sweden</x:v>
      </x:c>
      <x:c r="D79" s="5" t="str">
        <x:v>Precision Oncology Biomarkers</x:v>
      </x:c>
      <x:c r="E79" s="5" t="str">
        <x:v>SEK 0M (Early stage)</x:v>
      </x:c>
      <x:c r="F79" s="5" t="str">
        <x:v>SEK 2.8M</x:v>
      </x:c>
      <x:c r="G79" s="5" t="str">
        <x:v>SEK</x:v>
      </x:c>
      <x:c r="H79" s="5" t="str">
        <x:v>FY2023</x:v>
      </x:c>
      <x:c r="I79" s="5" t="str">
        <x:v>Private proteomics; Package B &amp; E (Biomarker discovery database architecture)</x:v>
      </x:c>
      <x:c r="J79" s="5" t="str">
        <x:v>UNVERIFIED historical claim</x:v>
      </x:c>
      <x:c r="L79" s="31" t="str">
        <x:v>D06, Markdown line 253; http://nas-1.tail55d152.ts.net:4100/static/MEDICAL_NORDICS_FINANCIALS_DOSSIER.html</x:v>
      </x:c>
    </x:row>
    <x:row r="80" ht="42" customHeight="1">
      <x:c r="A80" s="5" t="n">
        <x:v>73</x:v>
      </x:c>
      <x:c r="B80" s="5" t="str">
        <x:v>Getinge</x:v>
      </x:c>
      <x:c r="C80" s="5" t="str">
        <x:v>Solna, Sweden</x:v>
      </x:c>
      <x:c r="D80" s="5" t="str">
        <x:v>Surgical Workplaces &amp; Sterilization</x:v>
      </x:c>
      <x:c r="E80" s="5" t="str">
        <x:v>SEK 34,759.0M (SEK 34.76B)</x:v>
      </x:c>
      <x:c r="F80" s="5" t="str">
        <x:v>SEK 1,745.0M (~5.0% sales)</x:v>
      </x:c>
      <x:c r="G80" s="5" t="str">
        <x:v>SEK</x:v>
      </x:c>
      <x:c r="H80" s="5" t="str">
        <x:v>FY2024</x:v>
      </x:c>
      <x:c r="I80" s="5" t="str">
        <x:v>Listed (Nasdaq: GETI B); Package A (Hospital surgical table &amp; sterilizer DaaS contracts)</x:v>
      </x:c>
      <x:c r="J80" s="5" t="str">
        <x:v>UNVERIFIED historical claim</x:v>
      </x:c>
      <x:c r="L80" s="31" t="str">
        <x:v>D06, Markdown line 254; http://nas-1.tail55d152.ts.net:4100/static/MEDICAL_NORDICS_FINANCIALS_DOSSIER.html</x:v>
      </x:c>
    </x:row>
    <x:row r="81" ht="42" customHeight="1">
      <x:c r="A81" s="5" t="n">
        <x:v>74</x:v>
      </x:c>
      <x:c r="B81" s="5" t="str">
        <x:v>mEDICORENT</x:v>
      </x:c>
      <x:c r="C81" s="5" t="str">
        <x:v>Solna, Sweden</x:v>
      </x:c>
      <x:c r="D81" s="5" t="str">
        <x:v>Clinical Outsourcing &amp; Monitoring</x:v>
      </x:c>
      <x:c r="E81" s="5" t="str">
        <x:v>SEK 22.5M</x:v>
      </x:c>
      <x:c r="F81" s="5" t="str">
        <x:v>SEK 1.2M</x:v>
      </x:c>
      <x:c r="G81" s="5" t="str">
        <x:v>SEK</x:v>
      </x:c>
      <x:c r="H81" s="5" t="str">
        <x:v>FY2023</x:v>
      </x:c>
      <x:c r="I81" s="5" t="str">
        <x:v>Private staffing; Package B (Clinical trial site monitor management portal)</x:v>
      </x:c>
      <x:c r="J81" s="5" t="str">
        <x:v>UNVERIFIED historical claim</x:v>
      </x:c>
      <x:c r="L81" s="31" t="str">
        <x:v>D06, Markdown line 255; http://nas-1.tail55d152.ts.net:4100/static/MEDICAL_NORDICS_FINANCIALS_DOSSIER.html</x:v>
      </x:c>
    </x:row>
    <x:row r="82" ht="42" customHeight="1">
      <x:c r="A82" s="5" t="n">
        <x:v>75</x:v>
      </x:c>
      <x:c r="B82" s="5" t="str">
        <x:v>Meribel Pharma Group</x:v>
      </x:c>
      <x:c r="C82" s="5" t="str">
        <x:v>Solna, Sweden</x:v>
      </x:c>
      <x:c r="D82" s="5" t="str">
        <x:v>Pharmaceutical Corporate Headquarters</x:v>
      </x:c>
      <x:c r="E82" s="5" t="str">
        <x:v>SEK 55.0M est.</x:v>
      </x:c>
      <x:c r="F82" s="5" t="str">
        <x:v>SEK 5.5M</x:v>
      </x:c>
      <x:c r="G82" s="5" t="str">
        <x:v>SEK</x:v>
      </x:c>
      <x:c r="H82" s="5" t="str">
        <x:v>FY2023</x:v>
      </x:c>
      <x:c r="I82" s="5" t="str">
        <x:v>Private CDMO HQ; Package C (Group-wide contract manufacturing ERP consolidation)</x:v>
      </x:c>
      <x:c r="J82" s="5" t="str">
        <x:v>UNVERIFIED historical claim</x:v>
      </x:c>
      <x:c r="L82" s="31" t="str">
        <x:v>D06, Markdown line 256; http://nas-1.tail55d152.ts.net:4100/static/MEDICAL_NORDICS_FINANCIALS_DOSSIER.html</x:v>
      </x:c>
    </x:row>
    <x:row r="83" ht="42" customHeight="1">
      <x:c r="A83" s="5" t="n">
        <x:v>76</x:v>
      </x:c>
      <x:c r="B83" s="5" t="str">
        <x:v>Moleculent</x:v>
      </x:c>
      <x:c r="C83" s="5" t="str">
        <x:v>Solna, Sweden</x:v>
      </x:c>
      <x:c r="D83" s="5" t="str">
        <x:v>Spatial Functional Cell Interactions</x:v>
      </x:c>
      <x:c r="E83" s="5" t="str">
        <x:v>USD 0M (Pre-commercial)</x:v>
      </x:c>
      <x:c r="F83" s="5" t="str">
        <x:v>USD 5.5M (~SEK 58M)</x:v>
      </x:c>
      <x:c r="G83" s="5" t="str">
        <x:v>USD</x:v>
      </x:c>
      <x:c r="H83" s="5" t="str">
        <x:v>FY2024</x:v>
      </x:c>
      <x:c r="I83" s="5" t="str">
        <x:v>Private ($46M funding); Package B &amp; E (Spatial biology high-throughput cloud processing)</x:v>
      </x:c>
      <x:c r="J83" s="5" t="str">
        <x:v>UNVERIFIED historical claim</x:v>
      </x:c>
      <x:c r="L83" s="31" t="str">
        <x:v>D06, Markdown line 257; http://nas-1.tail55d152.ts.net:4100/static/MEDICAL_NORDICS_FINANCIALS_DOSSIER.html</x:v>
      </x:c>
    </x:row>
    <x:row r="84" ht="42" customHeight="1">
      <x:c r="A84" s="5" t="n">
        <x:v>77</x:v>
      </x:c>
      <x:c r="B84" s="5" t="str">
        <x:v>Pelago Bioscience</x:v>
      </x:c>
      <x:c r="C84" s="5" t="str">
        <x:v>Solna, Sweden</x:v>
      </x:c>
      <x:c r="D84" s="5" t="str">
        <x:v>CETSA Target Engagement Services</x:v>
      </x:c>
      <x:c r="E84" s="5" t="str">
        <x:v>SEK 75.0M est.</x:v>
      </x:c>
      <x:c r="F84" s="5" t="str">
        <x:v>SEK 16.0M</x:v>
      </x:c>
      <x:c r="G84" s="5" t="str">
        <x:v>SEK</x:v>
      </x:c>
      <x:c r="H84" s="5" t="str">
        <x:v>FY2023/24</x:v>
      </x:c>
      <x:c r="I84" s="5" t="str">
        <x:v>Private CRO; Package B (Pharma client CETSA screening project delivery portal)</x:v>
      </x:c>
      <x:c r="J84" s="5" t="str">
        <x:v>UNVERIFIED historical claim</x:v>
      </x:c>
      <x:c r="L84" s="31" t="str">
        <x:v>D06, Markdown line 258; http://nas-1.tail55d152.ts.net:4100/static/MEDICAL_NORDICS_FINANCIALS_DOSSIER.html</x:v>
      </x:c>
    </x:row>
    <x:row r="85" ht="42" customHeight="1">
      <x:c r="A85" s="5" t="n">
        <x:v>78</x:v>
      </x:c>
      <x:c r="B85" s="5" t="str">
        <x:v>Scandinavian Biopharma</x:v>
      </x:c>
      <x:c r="C85" s="5" t="str">
        <x:v>Solna, Sweden</x:v>
      </x:c>
      <x:c r="D85" s="5" t="str">
        <x:v>ETVAX Oral Diarrheal Vaccine</x:v>
      </x:c>
      <x:c r="E85" s="5" t="str">
        <x:v>SEK 154.0M</x:v>
      </x:c>
      <x:c r="F85" s="5" t="str">
        <x:v>SEK 75.0M</x:v>
      </x:c>
      <x:c r="G85" s="5" t="str">
        <x:v>SEK</x:v>
      </x:c>
      <x:c r="H85" s="5" t="str">
        <x:v>FY2023</x:v>
      </x:c>
      <x:c r="I85" s="5" t="str">
        <x:v>Private biopharma; Package B &amp; D (Phase III global clinical supply chain tracking)</x:v>
      </x:c>
      <x:c r="J85" s="5" t="str">
        <x:v>UNVERIFIED historical claim</x:v>
      </x:c>
      <x:c r="L85" s="31" t="str">
        <x:v>D06, Markdown line 259; http://nas-1.tail55d152.ts.net:4100/static/MEDICAL_NORDICS_FINANCIALS_DOSSIER.html</x:v>
      </x:c>
    </x:row>
    <x:row r="86" ht="42" customHeight="1">
      <x:c r="A86" s="5" t="n">
        <x:v>79</x:v>
      </x:c>
      <x:c r="B86" s="5" t="str">
        <x:v>StromaBio</x:v>
      </x:c>
      <x:c r="C86" s="5" t="str">
        <x:v>Solna, Sweden</x:v>
      </x:c>
      <x:c r="D86" s="5" t="str">
        <x:v>Mesenchymal Stromal Cell Therapies</x:v>
      </x:c>
      <x:c r="E86" s="5" t="str">
        <x:v>SEK 0M (Early stage)</x:v>
      </x:c>
      <x:c r="F86" s="5" t="str">
        <x:v>SEK 5.5M</x:v>
      </x:c>
      <x:c r="G86" s="5" t="str">
        <x:v>SEK</x:v>
      </x:c>
      <x:c r="H86" s="5" t="str">
        <x:v>FY2023/24</x:v>
      </x:c>
      <x:c r="I86" s="5" t="str">
        <x:v>Karolinska spin-out; Package B (Stem cell manufacturing batch quality systems)</x:v>
      </x:c>
      <x:c r="J86" s="5" t="str">
        <x:v>UNVERIFIED historical claim</x:v>
      </x:c>
      <x:c r="L86" s="31" t="str">
        <x:v>D06, Markdown line 260; http://nas-1.tail55d152.ts.net:4100/static/MEDICAL_NORDICS_FINANCIALS_DOSSIER.html</x:v>
      </x:c>
    </x:row>
    <x:row r="87" ht="42" customHeight="1">
      <x:c r="A87" s="5" t="n">
        <x:v>80</x:v>
      </x:c>
      <x:c r="B87" s="5" t="str">
        <x:v>Xbrane Biopharma</x:v>
      </x:c>
      <x:c r="C87" s="5" t="str">
        <x:v>Solna, Sweden</x:v>
      </x:c>
      <x:c r="D87" s="5" t="str">
        <x:v>Ximluci Biosimilar Ranibizumab</x:v>
      </x:c>
      <x:c r="E87" s="5" t="str">
        <x:v>SEK 238.7M (SEK 210M FY24)</x:v>
      </x:c>
      <x:c r="F87" s="5" t="str">
        <x:v>SEK 305.8M</x:v>
      </x:c>
      <x:c r="G87" s="5" t="str">
        <x:v>SEK</x:v>
      </x:c>
      <x:c r="H87" s="5" t="str">
        <x:v>FY2023</x:v>
      </x:c>
      <x:c r="I87" s="5" t="str">
        <x:v>Listed (Nasdaq: XBRANE); Package B &amp; D (High-titer fermentation batch yield defense)</x:v>
      </x:c>
      <x:c r="J87" s="5" t="str">
        <x:v>UNVERIFIED historical claim</x:v>
      </x:c>
      <x:c r="L87" s="31" t="str">
        <x:v>D06, Markdown line 261; http://nas-1.tail55d152.ts.net:4100/static/MEDICAL_NORDICS_FINANCIALS_DOSSIER.html</x:v>
      </x:c>
    </x:row>
    <x:row r="88" ht="42" customHeight="1">
      <x:c r="A88" s="5" t="n">
        <x:v>81</x:v>
      </x:c>
      <x:c r="B88" s="5" t="str">
        <x:v>Arex Advisor</x:v>
      </x:c>
      <x:c r="C88" s="5" t="str">
        <x:v>Stockholm, Sweden</x:v>
      </x:c>
      <x:c r="D88" s="5" t="str">
        <x:v>Regulatory &amp; Market Access Consulting</x:v>
      </x:c>
      <x:c r="E88" s="5" t="str">
        <x:v>SEK 38.6M</x:v>
      </x:c>
      <x:c r="F88" s="5" t="str">
        <x:v>SEK 1.5M est.</x:v>
      </x:c>
      <x:c r="G88" s="5" t="str">
        <x:v>SEK</x:v>
      </x:c>
      <x:c r="H88" s="5" t="str">
        <x:v>FY2023</x:v>
      </x:c>
      <x:c r="I88" s="5" t="str">
        <x:v>Private advisory; Co-Opetition (Subcontracting 2S HCare360 for continuous QA)</x:v>
      </x:c>
      <x:c r="J88" s="5" t="str">
        <x:v>UNVERIFIED historical claim</x:v>
      </x:c>
      <x:c r="L88" s="31" t="str">
        <x:v>D06, Markdown line 262; http://nas-1.tail55d152.ts.net:4100/static/MEDICAL_NORDICS_FINANCIALS_DOSSIER.html</x:v>
      </x:c>
    </x:row>
    <x:row r="89" ht="42" customHeight="1">
      <x:c r="A89" s="5" t="n">
        <x:v>82</x:v>
      </x:c>
      <x:c r="B89" s="5" t="str">
        <x:v>Avia Pharma</x:v>
      </x:c>
      <x:c r="C89" s="5" t="str">
        <x:v>Stockholm, Sweden</x:v>
      </x:c>
      <x:c r="D89" s="5" t="str">
        <x:v>Specialty Pharma In-Licensing</x:v>
      </x:c>
      <x:c r="E89" s="5" t="str">
        <x:v>&gt;SEK 600.0M</x:v>
      </x:c>
      <x:c r="F89" s="5" t="str">
        <x:v>SEK 30.0M est.</x:v>
      </x:c>
      <x:c r="G89" s="5" t="str">
        <x:v>SEK</x:v>
      </x:c>
      <x:c r="H89" s="5" t="str">
        <x:v>FY2023/24</x:v>
      </x:c>
      <x:c r="I89" s="5" t="str">
        <x:v>Impilo backed; Package C (Multi-country OTC/Rx tender &amp; stockist sales tracking)</x:v>
      </x:c>
      <x:c r="J89" s="5" t="str">
        <x:v>UNVERIFIED historical claim</x:v>
      </x:c>
      <x:c r="L89" s="31" t="str">
        <x:v>D06, Markdown line 263; http://nas-1.tail55d152.ts.net:4100/static/MEDICAL_NORDICS_FINANCIALS_DOSSIER.html</x:v>
      </x:c>
    </x:row>
    <x:row r="90" ht="42" customHeight="1">
      <x:c r="A90" s="5" t="n">
        <x:v>83</x:v>
      </x:c>
      <x:c r="B90" s="5" t="str">
        <x:v>BioArctic</x:v>
      </x:c>
      <x:c r="C90" s="5" t="str">
        <x:v>Stockholm, Sweden</x:v>
      </x:c>
      <x:c r="D90" s="5" t="str">
        <x:v>Leqembi Originator for Alzheimer's</x:v>
      </x:c>
      <x:c r="E90" s="5" t="str">
        <x:v>SEK 228.3M (excl. royalties)</x:v>
      </x:c>
      <x:c r="F90" s="5" t="str">
        <x:v>SEK 284.1M</x:v>
      </x:c>
      <x:c r="G90" s="5" t="str">
        <x:v>SEK</x:v>
      </x:c>
      <x:c r="H90" s="5" t="str">
        <x:v>FY2023/24</x:v>
      </x:c>
      <x:c r="I90" s="5" t="str">
        <x:v>Listed (Nasdaq: BIOA B); Package B &amp; C (Eisai global royalty &amp; Nordic RWE tracking)</x:v>
      </x:c>
      <x:c r="J90" s="5" t="str">
        <x:v>UNVERIFIED historical claim</x:v>
      </x:c>
      <x:c r="L90" s="31" t="str">
        <x:v>D06, Markdown line 264; http://nas-1.tail55d152.ts.net:4100/static/MEDICAL_NORDICS_FINANCIALS_DOSSIER.html</x:v>
      </x:c>
    </x:row>
    <x:row r="91" ht="42" customHeight="1">
      <x:c r="A91" s="5" t="n">
        <x:v>84</x:v>
      </x:c>
      <x:c r="B91" s="5" t="str">
        <x:v>BioGaia</x:v>
      </x:c>
      <x:c r="C91" s="5" t="str">
        <x:v>Stockholm, Sweden</x:v>
      </x:c>
      <x:c r="D91" s="5" t="str">
        <x:v>Probiotic Drops &amp; Clinically Tested Strains</x:v>
      </x:c>
      <x:c r="E91" s="5" t="str">
        <x:v>SEK 1,304.0M</x:v>
      </x:c>
      <x:c r="F91" s="5" t="str">
        <x:v>SEK 128.5M (~10% sales)</x:v>
      </x:c>
      <x:c r="G91" s="5" t="str">
        <x:v>SEK</x:v>
      </x:c>
      <x:c r="H91" s="5" t="str">
        <x:v>FY2023/24</x:v>
      </x:c>
      <x:c r="I91" s="5" t="str">
        <x:v>Listed (Nasdaq: BIOG B); Package C (Global distributor sales visibility &amp; inventory S&amp;OP)</x:v>
      </x:c>
      <x:c r="J91" s="5" t="str">
        <x:v>UNVERIFIED historical claim</x:v>
      </x:c>
      <x:c r="L91" s="31" t="str">
        <x:v>D06, Markdown line 265; http://nas-1.tail55d152.ts.net:4100/static/MEDICAL_NORDICS_FINANCIALS_DOSSIER.html</x:v>
      </x:c>
    </x:row>
    <x:row r="92" ht="42" customHeight="1">
      <x:c r="A92" s="5" t="n">
        <x:v>85</x:v>
      </x:c>
      <x:c r="B92" s="5" t="str">
        <x:v>Bluefish Pharmaceuticals</x:v>
      </x:c>
      <x:c r="C92" s="5" t="str">
        <x:v>Stockholm, Sweden</x:v>
      </x:c>
      <x:c r="D92" s="5" t="str">
        <x:v>Pan-European Generic Pharmaceuticals</x:v>
      </x:c>
      <x:c r="E92" s="5" t="str">
        <x:v>SEK 484.8M</x:v>
      </x:c>
      <x:c r="F92" s="5" t="str">
        <x:v>SEK 38.5M</x:v>
      </x:c>
      <x:c r="G92" s="5" t="str">
        <x:v>SEK</x:v>
      </x:c>
      <x:c r="H92" s="5" t="str">
        <x:v>FY2023/24</x:v>
      </x:c>
      <x:c r="I92" s="5" t="str">
        <x:v>Färna Invest owned; Package C (Primary/stockist ERP sales reconciliation portal)</x:v>
      </x:c>
      <x:c r="J92" s="5" t="str">
        <x:v>UNVERIFIED historical claim</x:v>
      </x:c>
      <x:c r="L92" s="31" t="str">
        <x:v>D06, Markdown line 266; http://nas-1.tail55d152.ts.net:4100/static/MEDICAL_NORDICS_FINANCIALS_DOSSIER.html</x:v>
      </x:c>
    </x:row>
    <x:row r="93" ht="42" customHeight="1">
      <x:c r="A93" s="5" t="n">
        <x:v>86</x:v>
      </x:c>
      <x:c r="B93" s="5" t="str">
        <x:v>Calliditas Therapeutics</x:v>
      </x:c>
      <x:c r="C93" s="5" t="str">
        <x:v>Stockholm, Sweden</x:v>
      </x:c>
      <x:c r="D93" s="5" t="str">
        <x:v>Tarpeyo / Kinpeygo for IgA Nephropathy</x:v>
      </x:c>
      <x:c r="E93" s="5" t="str">
        <x:v>SEK 1,180.3M</x:v>
      </x:c>
      <x:c r="F93" s="5" t="str">
        <x:v>SEK 647.9M</x:v>
      </x:c>
      <x:c r="G93" s="5" t="str">
        <x:v>SEK</x:v>
      </x:c>
      <x:c r="H93" s="5" t="str">
        <x:v>FY2023</x:v>
      </x:c>
      <x:c r="I93" s="5" t="str">
        <x:v>Asahi Kasei ($1.1B acq); Package C (Global commercial specialty sales automation)</x:v>
      </x:c>
      <x:c r="J93" s="5" t="str">
        <x:v>UNVERIFIED historical claim</x:v>
      </x:c>
      <x:c r="L93" s="31" t="str">
        <x:v>D06, Markdown line 267; http://nas-1.tail55d152.ts.net:4100/static/MEDICAL_NORDICS_FINANCIALS_DOSSIER.html</x:v>
      </x:c>
    </x:row>
    <x:row r="94" ht="42" customHeight="1">
      <x:c r="A94" s="5" t="n">
        <x:v>87</x:v>
      </x:c>
      <x:c r="B94" s="5" t="str">
        <x:v>Cinclus Pharma</x:v>
      </x:c>
      <x:c r="C94" s="5" t="str">
        <x:v>Stockholm, Sweden</x:v>
      </x:c>
      <x:c r="D94" s="5" t="str">
        <x:v>Linaprazan Glurate P-CAB for GERD</x:v>
      </x:c>
      <x:c r="E94" s="5" t="str">
        <x:v>SEK 5.96M (Pre-commercial)</x:v>
      </x:c>
      <x:c r="F94" s="5" t="str">
        <x:v>SEK 162.3M</x:v>
      </x:c>
      <x:c r="G94" s="5" t="str">
        <x:v>SEK</x:v>
      </x:c>
      <x:c r="H94" s="5" t="str">
        <x:v>FY2023/24</x:v>
      </x:c>
      <x:c r="I94" s="5" t="str">
        <x:v>Listed (Nasdaq: CINP); Package B (Phase III erosive esophagitis trial burn control)</x:v>
      </x:c>
      <x:c r="J94" s="5" t="str">
        <x:v>UNVERIFIED historical claim</x:v>
      </x:c>
      <x:c r="L94" s="31" t="str">
        <x:v>D06, Markdown line 268; http://nas-1.tail55d152.ts.net:4100/static/MEDICAL_NORDICS_FINANCIALS_DOSSIER.html</x:v>
      </x:c>
    </x:row>
    <x:row r="95" ht="42" customHeight="1">
      <x:c r="A95" s="5" t="n">
        <x:v>88</x:v>
      </x:c>
      <x:c r="B95" s="5" t="str">
        <x:v>CubaseBio</x:v>
      </x:c>
      <x:c r="C95" s="5" t="str">
        <x:v>Stockholm, Sweden</x:v>
      </x:c>
      <x:c r="D95" s="5" t="str">
        <x:v>Spatial Biology Assay Platforms</x:v>
      </x:c>
      <x:c r="E95" s="5" t="str">
        <x:v>EUR 0.2M est.</x:v>
      </x:c>
      <x:c r="F95" s="5" t="str">
        <x:v>EUR 2.8M (~SEK 32M)</x:v>
      </x:c>
      <x:c r="G95" s="5" t="str">
        <x:v>EUR</x:v>
      </x:c>
      <x:c r="H95" s="5" t="str">
        <x:v>FY2024</x:v>
      </x:c>
      <x:c r="I95" s="5" t="str">
        <x:v>Private (€3.9M funding); Package E (Cloud spatial genomics data processing)</x:v>
      </x:c>
      <x:c r="J95" s="5" t="str">
        <x:v>UNVERIFIED historical claim</x:v>
      </x:c>
      <x:c r="L95" s="31" t="str">
        <x:v>D06, Markdown line 269; http://nas-1.tail55d152.ts.net:4100/static/MEDICAL_NORDICS_FINANCIALS_DOSSIER.html</x:v>
      </x:c>
    </x:row>
    <x:row r="96" ht="42" customHeight="1">
      <x:c r="A96" s="5" t="n">
        <x:v>89</x:v>
      </x:c>
      <x:c r="B96" s="5" t="str">
        <x:v>Curovir</x:v>
      </x:c>
      <x:c r="C96" s="5" t="str">
        <x:v>Stockholm, Sweden</x:v>
      </x:c>
      <x:c r="D96" s="5" t="str">
        <x:v>Antiviral Enterovirus Therapeutics</x:v>
      </x:c>
      <x:c r="E96" s="5" t="str">
        <x:v>SEK 0M (Pre-clinical)</x:v>
      </x:c>
      <x:c r="F96" s="5" t="str">
        <x:v>SEK 6.5M</x:v>
      </x:c>
      <x:c r="G96" s="5" t="str">
        <x:v>SEK</x:v>
      </x:c>
      <x:c r="H96" s="5" t="str">
        <x:v>FY2023/24</x:v>
      </x:c>
      <x:c r="I96" s="5" t="str">
        <x:v>Karolinska spinout; Package B (Preclinical pharmacology milestone tracking)</x:v>
      </x:c>
      <x:c r="J96" s="5" t="str">
        <x:v>UNVERIFIED historical claim</x:v>
      </x:c>
      <x:c r="L96" s="31" t="str">
        <x:v>D06, Markdown line 270; http://nas-1.tail55d152.ts.net:4100/static/MEDICAL_NORDICS_FINANCIALS_DOSSIER.html</x:v>
      </x:c>
    </x:row>
    <x:row r="97" ht="42" customHeight="1">
      <x:c r="A97" s="5" t="n">
        <x:v>90</x:v>
      </x:c>
      <x:c r="B97" s="5" t="str">
        <x:v>Egetis Therapeutics</x:v>
      </x:c>
      <x:c r="C97" s="5" t="str">
        <x:v>Stockholm, Sweden</x:v>
      </x:c>
      <x:c r="D97" s="5" t="str">
        <x:v>Emcitate for Rare MCT8 Deficiency</x:v>
      </x:c>
      <x:c r="E97" s="5" t="str">
        <x:v>SEK 46.1M</x:v>
      </x:c>
      <x:c r="F97" s="5" t="str">
        <x:v>SEK 295.4M</x:v>
      </x:c>
      <x:c r="G97" s="5" t="str">
        <x:v>SEK</x:v>
      </x:c>
      <x:c r="H97" s="5" t="str">
        <x:v>FY2024</x:v>
      </x:c>
      <x:c r="I97" s="5" t="str">
        <x:v>Listed (Nasdaq: EGTX); Package B &amp; C (Named Patient Use / Early Access S&amp;OP portal)</x:v>
      </x:c>
      <x:c r="J97" s="5" t="str">
        <x:v>UNVERIFIED historical claim</x:v>
      </x:c>
      <x:c r="L97" s="31" t="str">
        <x:v>D06, Markdown line 271; http://nas-1.tail55d152.ts.net:4100/static/MEDICAL_NORDICS_FINANCIALS_DOSSIER.html</x:v>
      </x:c>
    </x:row>
    <x:row r="98" ht="42" customHeight="1">
      <x:c r="A98" s="5" t="n">
        <x:v>91</x:v>
      </x:c>
      <x:c r="B98" s="5" t="str">
        <x:v>Elekta</x:v>
      </x:c>
      <x:c r="C98" s="5" t="str">
        <x:v>Stockholm, Sweden</x:v>
      </x:c>
      <x:c r="D98" s="5" t="str">
        <x:v>MR-Linac Unity &amp; Leksell Gamma Knife</x:v>
      </x:c>
      <x:c r="E98" s="5" t="str">
        <x:v>SEK 19,039.0M (SEK 19.04B)</x:v>
      </x:c>
      <x:c r="F98" s="5" t="str">
        <x:v>SEK 2,130.0M (SEK 2.13B)</x:v>
      </x:c>
      <x:c r="G98" s="5" t="str">
        <x:v>SEK</x:v>
      </x:c>
      <x:c r="H98" s="5" t="str">
        <x:v>FY2023/24</x:v>
      </x:c>
      <x:c r="I98" s="5" t="str">
        <x:v>Listed (Nasdaq: EKTA B); Package A &amp; E (Oncology radiation throughput models &amp; AI audit)</x:v>
      </x:c>
      <x:c r="J98" s="5" t="str">
        <x:v>UNVERIFIED historical claim</x:v>
      </x:c>
      <x:c r="L98" s="31" t="str">
        <x:v>D06, Markdown line 272; http://nas-1.tail55d152.ts.net:4100/static/MEDICAL_NORDICS_FINANCIALS_DOSSIER.html</x:v>
      </x:c>
    </x:row>
    <x:row r="99" ht="42" customHeight="1">
      <x:c r="A99" s="5" t="n">
        <x:v>92</x:v>
      </x:c>
      <x:c r="B99" s="5" t="str">
        <x:v>Hexagon Pharma</x:v>
      </x:c>
      <x:c r="C99" s="5" t="str">
        <x:v>Stockholm, Sweden</x:v>
      </x:c>
      <x:c r="D99" s="5" t="str">
        <x:v>Modular Pharmaceutical Engineering</x:v>
      </x:c>
      <x:c r="E99" s="5" t="str">
        <x:v>SEK 7.5M est.</x:v>
      </x:c>
      <x:c r="F99" s="5" t="str">
        <x:v>SEK 2.5M</x:v>
      </x:c>
      <x:c r="G99" s="5" t="str">
        <x:v>SEK</x:v>
      </x:c>
      <x:c r="H99" s="5" t="str">
        <x:v>FY2023</x:v>
      </x:c>
      <x:c r="I99" s="5" t="str">
        <x:v>Private process tech; Package D (Cleanroom automation engineering analytics)</x:v>
      </x:c>
      <x:c r="J99" s="5" t="str">
        <x:v>UNVERIFIED historical claim</x:v>
      </x:c>
      <x:c r="L99" s="31" t="str">
        <x:v>D06, Markdown line 273; http://nas-1.tail55d152.ts.net:4100/static/MEDICAL_NORDICS_FINANCIALS_DOSSIER.html</x:v>
      </x:c>
    </x:row>
    <x:row r="100" ht="42" customHeight="1">
      <x:c r="A100" s="5" t="n">
        <x:v>93</x:v>
      </x:c>
      <x:c r="B100" s="5" t="str">
        <x:v>IDL Diagnostics</x:v>
      </x:c>
      <x:c r="C100" s="5" t="str">
        <x:v>Stockholm, Sweden</x:v>
      </x:c>
      <x:c r="D100" s="5" t="str">
        <x:v>AroCell Bladder &amp; Oncology Biomarkers</x:v>
      </x:c>
      <x:c r="E100" s="5" t="str">
        <x:v>SEK 35.8M</x:v>
      </x:c>
      <x:c r="F100" s="5" t="str">
        <x:v>SEK 14.6M</x:v>
      </x:c>
      <x:c r="G100" s="5" t="str">
        <x:v>SEK</x:v>
      </x:c>
      <x:c r="H100" s="5" t="str">
        <x:v>FY2023/24</x:v>
      </x:c>
      <x:c r="I100" s="5" t="str">
        <x:v>Listed (First North: IDLDX); Package A (Hospital urology lab test reimbursement models)</x:v>
      </x:c>
      <x:c r="J100" s="5" t="str">
        <x:v>UNVERIFIED historical claim</x:v>
      </x:c>
      <x:c r="L100" s="31" t="str">
        <x:v>D06, Markdown line 274; http://nas-1.tail55d152.ts.net:4100/static/MEDICAL_NORDICS_FINANCIALS_DOSSIER.html</x:v>
      </x:c>
    </x:row>
    <x:row r="101" ht="42" customHeight="1">
      <x:c r="A101" s="5" t="n">
        <x:v>94</x:v>
      </x:c>
      <x:c r="B101" s="5" t="str">
        <x:v>Infant Bacterial Therapeutics</x:v>
      </x:c>
      <x:c r="C101" s="5" t="str">
        <x:v>Stockholm, Sweden</x:v>
      </x:c>
      <x:c r="D101" s="5" t="str">
        <x:v>IBP-9414 for Necrotizing Enterocolitis</x:v>
      </x:c>
      <x:c r="E101" s="5" t="str">
        <x:v>SEK 0M (Clinical stage)</x:v>
      </x:c>
      <x:c r="F101" s="5" t="str">
        <x:v>SEK 112.4M</x:v>
      </x:c>
      <x:c r="G101" s="5" t="str">
        <x:v>SEK</x:v>
      </x:c>
      <x:c r="H101" s="5" t="str">
        <x:v>FY2023/24</x:v>
      </x:c>
      <x:c r="I101" s="5" t="str">
        <x:v>Listed (Nasdaq: IBT B); Package B (Phase III neonatal clinical trial enrollment speedup)</x:v>
      </x:c>
      <x:c r="J101" s="5" t="str">
        <x:v>UNVERIFIED historical claim</x:v>
      </x:c>
      <x:c r="L101" s="31" t="str">
        <x:v>D06, Markdown line 275; http://nas-1.tail55d152.ts.net:4100/static/MEDICAL_NORDICS_FINANCIALS_DOSSIER.html</x:v>
      </x:c>
    </x:row>
    <x:row r="102" ht="42" customHeight="1">
      <x:c r="A102" s="5" t="n">
        <x:v>95</x:v>
      </x:c>
      <x:c r="B102" s="5" t="str">
        <x:v>Mendus</x:v>
      </x:c>
      <x:c r="C102" s="5" t="str">
        <x:v>Stockholm, Sweden</x:v>
      </x:c>
      <x:c r="D102" s="5" t="str">
        <x:v>Vididencel Allogeneic Dendritic Cells</x:v>
      </x:c>
      <x:c r="E102" s="5" t="str">
        <x:v>SEK 0M (Clinical stage)</x:v>
      </x:c>
      <x:c r="F102" s="5" t="str">
        <x:v>SEK 114.2M</x:v>
      </x:c>
      <x:c r="G102" s="5" t="str">
        <x:v>SEK</x:v>
      </x:c>
      <x:c r="H102" s="5" t="str">
        <x:v>FY2023/24</x:v>
      </x:c>
      <x:c r="I102" s="5" t="str">
        <x:v>Listed (Nasdaq: IMMU); Package B (AML cancer survival clinical trial data analytics)</x:v>
      </x:c>
      <x:c r="J102" s="5" t="str">
        <x:v>UNVERIFIED historical claim</x:v>
      </x:c>
      <x:c r="L102" s="31" t="str">
        <x:v>D06, Markdown line 276; http://nas-1.tail55d152.ts.net:4100/static/MEDICAL_NORDICS_FINANCIALS_DOSSIER.html</x:v>
      </x:c>
    </x:row>
    <x:row r="103" ht="42" customHeight="1">
      <x:c r="A103" s="5" t="n">
        <x:v>96</x:v>
      </x:c>
      <x:c r="B103" s="5" t="str">
        <x:v>Menten AI</x:v>
      </x:c>
      <x:c r="C103" s="5" t="str">
        <x:v>Stockholm, Sweden</x:v>
      </x:c>
      <x:c r="D103" s="5" t="str">
        <x:v>Quantum AI Generative Peptide Design</x:v>
      </x:c>
      <x:c r="E103" s="5" t="str">
        <x:v>USD 2.0M est.</x:v>
      </x:c>
      <x:c r="F103" s="5" t="str">
        <x:v>USD 7.5M</x:v>
      </x:c>
      <x:c r="G103" s="5" t="str">
        <x:v>USD</x:v>
      </x:c>
      <x:c r="H103" s="5" t="str">
        <x:v>FY2023/24</x:v>
      </x:c>
      <x:c r="I103" s="5" t="str">
        <x:v>Private AI platform; Package E (Algorithmic reproducibility &amp; pharma IP documentation)</x:v>
      </x:c>
      <x:c r="J103" s="5" t="str">
        <x:v>UNVERIFIED historical claim</x:v>
      </x:c>
      <x:c r="L103" s="31" t="str">
        <x:v>D06, Markdown line 277; http://nas-1.tail55d152.ts.net:4100/static/MEDICAL_NORDICS_FINANCIALS_DOSSIER.html</x:v>
      </x:c>
    </x:row>
    <x:row r="104" ht="42" customHeight="1">
      <x:c r="A104" s="5" t="n">
        <x:v>97</x:v>
      </x:c>
      <x:c r="B104" s="5" t="str">
        <x:v>Modus Therapeutics</x:v>
      </x:c>
      <x:c r="C104" s="5" t="str">
        <x:v>Stockholm, Sweden</x:v>
      </x:c>
      <x:c r="D104" s="5" t="str">
        <x:v>Sevuparin Heparin for Sepsis</x:v>
      </x:c>
      <x:c r="E104" s="5" t="str">
        <x:v>SEK 0M (Clinical stage)</x:v>
      </x:c>
      <x:c r="F104" s="5" t="str">
        <x:v>SEK 24.6M</x:v>
      </x:c>
      <x:c r="G104" s="5" t="str">
        <x:v>SEK</x:v>
      </x:c>
      <x:c r="H104" s="5" t="str">
        <x:v>FY2023/24</x:v>
      </x:c>
      <x:c r="I104" s="5" t="str">
        <x:v>Listed (First North: MODX); Package B (ICU sepsis trial patient accrual monitoring)</x:v>
      </x:c>
      <x:c r="J104" s="5" t="str">
        <x:v>UNVERIFIED historical claim</x:v>
      </x:c>
      <x:c r="L104" s="31" t="str">
        <x:v>D06, Markdown line 278; http://nas-1.tail55d152.ts.net:4100/static/MEDICAL_NORDICS_FINANCIALS_DOSSIER.html</x:v>
      </x:c>
    </x:row>
    <x:row r="105" ht="42" customHeight="1">
      <x:c r="A105" s="5" t="n">
        <x:v>98</x:v>
      </x:c>
      <x:c r="B105" s="5" t="str">
        <x:v>Neogap Therapeutics</x:v>
      </x:c>
      <x:c r="C105" s="5" t="str">
        <x:v>Stockholm, Sweden</x:v>
      </x:c>
      <x:c r="D105" s="5" t="str">
        <x:v>Personalized Epi-TCR Tumor Therapy</x:v>
      </x:c>
      <x:c r="E105" s="5" t="str">
        <x:v>SEK 0M (Clinical stage)</x:v>
      </x:c>
      <x:c r="F105" s="5" t="str">
        <x:v>SEK 42.0M</x:v>
      </x:c>
      <x:c r="G105" s="5" t="str">
        <x:v>SEK</x:v>
      </x:c>
      <x:c r="H105" s="5" t="str">
        <x:v>FY2024</x:v>
      </x:c>
      <x:c r="I105" s="5" t="str">
        <x:v>Private (SEK 87M funding); Package B &amp; E (Personalized neoantigen algorithm verification)</x:v>
      </x:c>
      <x:c r="J105" s="5" t="str">
        <x:v>UNVERIFIED historical claim</x:v>
      </x:c>
      <x:c r="L105" s="31" t="str">
        <x:v>D06, Markdown line 279; http://nas-1.tail55d152.ts.net:4100/static/MEDICAL_NORDICS_FINANCIALS_DOSSIER.html</x:v>
      </x:c>
    </x:row>
    <x:row r="106" ht="42" customHeight="1">
      <x:c r="A106" s="5" t="n">
        <x:v>99</x:v>
      </x:c>
      <x:c r="B106" s="5" t="str">
        <x:v>NuvoAir</x:v>
      </x:c>
      <x:c r="C106" s="5" t="str">
        <x:v>Stockholm, Sweden</x:v>
      </x:c>
      <x:c r="D106" s="5" t="str">
        <x:v>Virtual Respiratory Clinic &amp; Spirometry</x:v>
      </x:c>
      <x:c r="E106" s="5" t="str">
        <x:v>USD 8.5M est. (~SEK 88M)</x:v>
      </x:c>
      <x:c r="F106" s="5" t="str">
        <x:v>USD 10.2M (~SEK 106M)</x:v>
      </x:c>
      <x:c r="G106" s="5" t="str">
        <x:v>USD</x:v>
      </x:c>
      <x:c r="H106" s="5" t="str">
        <x:v>FY2023/24</x:v>
      </x:c>
      <x:c r="I106" s="5" t="str">
        <x:v>Private ($28M funding); Package A &amp; E (Decentralized clinical trial remote monitoring DaaS)</x:v>
      </x:c>
      <x:c r="J106" s="5" t="str">
        <x:v>UNVERIFIED historical claim</x:v>
      </x:c>
      <x:c r="L106" s="31" t="str">
        <x:v>D06, Markdown line 280; http://nas-1.tail55d152.ts.net:4100/static/MEDICAL_NORDICS_FINANCIALS_DOSSIER.html</x:v>
      </x:c>
    </x:row>
    <x:row r="107" ht="42" customHeight="1">
      <x:c r="A107" s="5" t="n">
        <x:v>100</x:v>
      </x:c>
      <x:c r="B107" s="5" t="str">
        <x:v>Octapharma</x:v>
      </x:c>
      <x:c r="C107" s="5" t="str">
        <x:v>Stockholm, Sweden</x:v>
      </x:c>
      <x:c r="D107" s="5" t="str">
        <x:v>Plasma Fractionation &amp; Factor VIII</x:v>
      </x:c>
      <x:c r="E107" s="5" t="str">
        <x:v>EUR 3,466.0M (Sweden ~SEK 4.6B)</x:v>
      </x:c>
      <x:c r="F107" s="5" t="str">
        <x:v>EUR 108.0M (~SEK 1,220M)</x:v>
      </x:c>
      <x:c r="G107" s="5" t="str">
        <x:v>EUR</x:v>
      </x:c>
      <x:c r="H107" s="5" t="str">
        <x:v>FY2024</x:v>
      </x:c>
      <x:c r="I107" s="5" t="str">
        <x:v>Private biopharma flagship; Package D (Plasma yield fractionation batch optimization)</x:v>
      </x:c>
      <x:c r="J107" s="5" t="str">
        <x:v>UNVERIFIED historical claim</x:v>
      </x:c>
      <x:c r="L107" s="31" t="str">
        <x:v>D06, Markdown line 281; http://nas-1.tail55d152.ts.net:4100/static/MEDICAL_NORDICS_FINANCIALS_DOSSIER.html</x:v>
      </x:c>
    </x:row>
    <x:row r="108" ht="42" customHeight="1">
      <x:c r="A108" s="5" t="n">
        <x:v>101</x:v>
      </x:c>
      <x:c r="B108" s="5" t="str">
        <x:v>Oncopeptides</x:v>
      </x:c>
      <x:c r="C108" s="5" t="str">
        <x:v>Stockholm, Sweden</x:v>
      </x:c>
      <x:c r="D108" s="5" t="str">
        <x:v>Pepaxti PDC for Multiple Myeloma</x:v>
      </x:c>
      <x:c r="E108" s="5" t="str">
        <x:v>SEK 31.65M</x:v>
      </x:c>
      <x:c r="F108" s="5" t="str">
        <x:v>SEK 184.2M</x:v>
      </x:c>
      <x:c r="G108" s="5" t="str">
        <x:v>SEK</x:v>
      </x:c>
      <x:c r="H108" s="5" t="str">
        <x:v>FY2024</x:v>
      </x:c>
      <x:c r="I108" s="5" t="str">
        <x:v>Listed (Nasdaq: ONCO); Package C (European hematology hospital launch analytics)</x:v>
      </x:c>
      <x:c r="J108" s="5" t="str">
        <x:v>UNVERIFIED historical claim</x:v>
      </x:c>
      <x:c r="L108" s="31" t="str">
        <x:v>D06, Markdown line 282; http://nas-1.tail55d152.ts.net:4100/static/MEDICAL_NORDICS_FINANCIALS_DOSSIER.html</x:v>
      </x:c>
    </x:row>
    <x:row r="109" ht="42" customHeight="1">
      <x:c r="A109" s="5" t="n">
        <x:v>102</x:v>
      </x:c>
      <x:c r="B109" s="5" t="str">
        <x:v>Optimapharm</x:v>
      </x:c>
      <x:c r="C109" s="5" t="str">
        <x:v>Stockholm, Sweden</x:v>
      </x:c>
      <x:c r="D109" s="5" t="str">
        <x:v>Full-Service European CRO Operations</x:v>
      </x:c>
      <x:c r="E109" s="5" t="str">
        <x:v>EUR 52.0M est. (~SEK 590M)</x:v>
      </x:c>
      <x:c r="F109" s="5" t="str">
        <x:v>EUR 4.8M (~SEK 55M)</x:v>
      </x:c>
      <x:c r="G109" s="5" t="str">
        <x:v>EUR</x:v>
      </x:c>
      <x:c r="H109" s="5" t="str">
        <x:v>FY2023/24</x:v>
      </x:c>
      <x:c r="I109" s="5" t="str">
        <x:v>Private CRO (400+ staff); Co-Opetition (Subcontracting 2S NLP trial screening software)</x:v>
      </x:c>
      <x:c r="J109" s="5" t="str">
        <x:v>UNVERIFIED historical claim</x:v>
      </x:c>
      <x:c r="L109" s="31" t="str">
        <x:v>D06, Markdown line 283; http://nas-1.tail55d152.ts.net:4100/static/MEDICAL_NORDICS_FINANCIALS_DOSSIER.html</x:v>
      </x:c>
    </x:row>
    <x:row r="110" ht="42" customHeight="1">
      <x:c r="A110" s="5" t="n">
        <x:v>103</x:v>
      </x:c>
      <x:c r="B110" s="5" t="str">
        <x:v>Peptonic Medical</x:v>
      </x:c>
      <x:c r="C110" s="5" t="str">
        <x:v>Stockholm, Sweden</x:v>
      </x:c>
      <x:c r="D110" s="5" t="str">
        <x:v>VagiVital Non-Hormonal Women's Health</x:v>
      </x:c>
      <x:c r="E110" s="5" t="str">
        <x:v>SEK 26.9M</x:v>
      </x:c>
      <x:c r="F110" s="5" t="str">
        <x:v>SEK 18.2M</x:v>
      </x:c>
      <x:c r="G110" s="5" t="str">
        <x:v>SEK</x:v>
      </x:c>
      <x:c r="H110" s="5" t="str">
        <x:v>FY2023</x:v>
      </x:c>
      <x:c r="I110" s="5" t="str">
        <x:v>Listed (Spotlight: PMED); Package C (Pharmacy OTC retail channel distribution tracking)</x:v>
      </x:c>
      <x:c r="J110" s="5" t="str">
        <x:v>UNVERIFIED historical claim</x:v>
      </x:c>
      <x:c r="L110" s="31" t="str">
        <x:v>D06, Markdown line 284; http://nas-1.tail55d152.ts.net:4100/static/MEDICAL_NORDICS_FINANCIALS_DOSSIER.html</x:v>
      </x:c>
    </x:row>
    <x:row r="111" ht="42" customHeight="1">
      <x:c r="A111" s="5" t="n">
        <x:v>104</x:v>
      </x:c>
      <x:c r="B111" s="5" t="str">
        <x:v>Pharmadule Morimatsu</x:v>
      </x:c>
      <x:c r="C111" s="5" t="str">
        <x:v>Stockholm, Sweden</x:v>
      </x:c>
      <x:c r="D111" s="5" t="str">
        <x:v>Modular Cleanroom Facilities</x:v>
      </x:c>
      <x:c r="E111" s="5" t="str">
        <x:v>SEK 520.0M est. (Morimatsu RMB 4.8B)</x:v>
      </x:c>
      <x:c r="F111" s="5" t="str">
        <x:v>SEK 28.0M</x:v>
      </x:c>
      <x:c r="G111" s="5" t="str">
        <x:v>SEK</x:v>
      </x:c>
      <x:c r="H111" s="5" t="str">
        <x:v>FY2023/24</x:v>
      </x:c>
      <x:c r="I111" s="5" t="str">
        <x:v>Morimatsu (HKEX: 2155); Package D (Modular facility FAT/SAT digital commissioning)</x:v>
      </x:c>
      <x:c r="J111" s="5" t="str">
        <x:v>UNVERIFIED historical claim</x:v>
      </x:c>
      <x:c r="L111" s="31" t="str">
        <x:v>D06, Markdown line 285; http://nas-1.tail55d152.ts.net:4100/static/MEDICAL_NORDICS_FINANCIALS_DOSSIER.html</x:v>
      </x:c>
    </x:row>
    <x:row r="112" ht="42" customHeight="1">
      <x:c r="A112" s="5" t="n">
        <x:v>105</x:v>
      </x:c>
      <x:c r="B112" s="5" t="str">
        <x:v>Pixelgen Technologies</x:v>
      </x:c>
      <x:c r="C112" s="5" t="str">
        <x:v>Stockholm, Sweden</x:v>
      </x:c>
      <x:c r="D112" s="5" t="str">
        <x:v>Molecular Pixelation 3D Spatial Maps</x:v>
      </x:c>
      <x:c r="E112" s="5" t="str">
        <x:v>SEK 7.5M est.</x:v>
      </x:c>
      <x:c r="F112" s="5" t="str">
        <x:v>SEK 65.0M</x:v>
      </x:c>
      <x:c r="G112" s="5" t="str">
        <x:v>SEK</x:v>
      </x:c>
      <x:c r="H112" s="5" t="str">
        <x:v>FY2024</x:v>
      </x:c>
      <x:c r="I112" s="5" t="str">
        <x:v>Private ($15.5M Series B); Package E (High-dimensional spatial proteomics cloud backend)</x:v>
      </x:c>
      <x:c r="J112" s="5" t="str">
        <x:v>UNVERIFIED historical claim</x:v>
      </x:c>
      <x:c r="L112" s="31" t="str">
        <x:v>D06, Markdown line 286; http://nas-1.tail55d152.ts.net:4100/static/MEDICAL_NORDICS_FINANCIALS_DOSSIER.html</x:v>
      </x:c>
    </x:row>
    <x:row r="113" ht="42" customHeight="1">
      <x:c r="A113" s="5" t="n">
        <x:v>106</x:v>
      </x:c>
      <x:c r="B113" s="5" t="str">
        <x:v>RaySearch Laboratories</x:v>
      </x:c>
      <x:c r="C113" s="5" t="str">
        <x:v>Stockholm, Sweden</x:v>
      </x:c>
      <x:c r="D113" s="5" t="str">
        <x:v>RayStation Treatment Planning Software</x:v>
      </x:c>
      <x:c r="E113" s="5" t="str">
        <x:v>SEK 1,192.0M (SEK 1,022M FY23)</x:v>
      </x:c>
      <x:c r="F113" s="5" t="str">
        <x:v>SEK 174.5M</x:v>
      </x:c>
      <x:c r="G113" s="5" t="str">
        <x:v>SEK</x:v>
      </x:c>
      <x:c r="H113" s="5" t="str">
        <x:v>FY2024</x:v>
      </x:c>
      <x:c r="I113" s="5" t="str">
        <x:v>Listed (Nasdaq: RAY B); Package A &amp; E (Oncology clinic software adoption &amp; AI QA files)</x:v>
      </x:c>
      <x:c r="J113" s="5" t="str">
        <x:v>UNVERIFIED historical claim</x:v>
      </x:c>
      <x:c r="L113" s="31" t="str">
        <x:v>D06, Markdown line 287; http://nas-1.tail55d152.ts.net:4100/static/MEDICAL_NORDICS_FINANCIALS_DOSSIER.html</x:v>
      </x:c>
    </x:row>
    <x:row r="114" ht="42" customHeight="1">
      <x:c r="A114" s="5" t="n">
        <x:v>107</x:v>
      </x:c>
      <x:c r="B114" s="5" t="str">
        <x:v>Recipharm</x:v>
      </x:c>
      <x:c r="C114" s="5" t="str">
        <x:v>Stockholm, Sweden</x:v>
      </x:c>
      <x:c r="D114" s="5" t="str">
        <x:v>Global Sterile Injectable &amp; Solid CDMO</x:v>
      </x:c>
      <x:c r="E114" s="5" t="str">
        <x:v>SEK 12,400.0M est. (~EUR 1.1B)</x:v>
      </x:c>
      <x:c r="F114" s="5" t="str">
        <x:v>SEK 380.0M est.</x:v>
      </x:c>
      <x:c r="G114" s="5" t="str">
        <x:v>SEK</x:v>
      </x:c>
      <x:c r="H114" s="5" t="str">
        <x:v>FY2023/24</x:v>
      </x:c>
      <x:c r="I114" s="5" t="str">
        <x:v>EQT owned; Package D (Multisite CDMO batch turnaround &amp; changeover optimization)</x:v>
      </x:c>
      <x:c r="J114" s="5" t="str">
        <x:v>UNVERIFIED historical claim</x:v>
      </x:c>
      <x:c r="L114" s="31" t="str">
        <x:v>D06, Markdown line 288; http://nas-1.tail55d152.ts.net:4100/static/MEDICAL_NORDICS_FINANCIALS_DOSSIER.html</x:v>
      </x:c>
    </x:row>
    <x:row r="115" ht="42" customHeight="1">
      <x:c r="A115" s="5" t="n">
        <x:v>108</x:v>
      </x:c>
      <x:c r="B115" s="5" t="str">
        <x:v>Salipro Biotech</x:v>
      </x:c>
      <x:c r="C115" s="5" t="str">
        <x:v>Stockholm, Sweden</x:v>
      </x:c>
      <x:c r="D115" s="5" t="str">
        <x:v>Direct MX Membrane Protein Tech</x:v>
      </x:c>
      <x:c r="E115" s="5" t="str">
        <x:v>SEK 35.0M</x:v>
      </x:c>
      <x:c r="F115" s="5" t="str">
        <x:v>SEK 24.0M</x:v>
      </x:c>
      <x:c r="G115" s="5" t="str">
        <x:v>SEK</x:v>
      </x:c>
      <x:c r="H115" s="5" t="str">
        <x:v>FY2023/24</x:v>
      </x:c>
      <x:c r="I115" s="5" t="str">
        <x:v>Partnered with Sanofi; Package B (Pharma collaboration data management portal)</x:v>
      </x:c>
      <x:c r="J115" s="5" t="str">
        <x:v>UNVERIFIED historical claim</x:v>
      </x:c>
      <x:c r="L115" s="31" t="str">
        <x:v>D06, Markdown line 289; http://nas-1.tail55d152.ts.net:4100/static/MEDICAL_NORDICS_FINANCIALS_DOSSIER.html</x:v>
      </x:c>
    </x:row>
    <x:row r="116" ht="42" customHeight="1">
      <x:c r="A116" s="5" t="n">
        <x:v>109</x:v>
      </x:c>
      <x:c r="B116" s="5" t="str">
        <x:v>Scibase</x:v>
      </x:c>
      <x:c r="C116" s="5" t="str">
        <x:v>Stockholm, Sweden</x:v>
      </x:c>
      <x:c r="D116" s="5" t="str">
        <x:v>Nevisense Melanoma Impedance Devices</x:v>
      </x:c>
      <x:c r="E116" s="5" t="str">
        <x:v>SEK 29.71M</x:v>
      </x:c>
      <x:c r="F116" s="5" t="str">
        <x:v>SEK 38.6M</x:v>
      </x:c>
      <x:c r="G116" s="5" t="str">
        <x:v>SEK</x:v>
      </x:c>
      <x:c r="H116" s="5" t="str">
        <x:v>FY2024</x:v>
      </x:c>
      <x:c r="I116" s="5" t="str">
        <x:v>Listed (First North: SCIB); Package A (Dermatology clinic reimbursement economics model)</x:v>
      </x:c>
      <x:c r="J116" s="5" t="str">
        <x:v>UNVERIFIED historical claim</x:v>
      </x:c>
      <x:c r="L116" s="31" t="str">
        <x:v>D06, Markdown line 290; http://nas-1.tail55d152.ts.net:4100/static/MEDICAL_NORDICS_FINANCIALS_DOSSIER.html</x:v>
      </x:c>
    </x:row>
    <x:row r="117" ht="42" customHeight="1">
      <x:c r="A117" s="5" t="n">
        <x:v>110</x:v>
      </x:c>
      <x:c r="B117" s="5" t="str">
        <x:v>SHL Medical</x:v>
      </x:c>
      <x:c r="C117" s="5" t="str">
        <x:v>Stockholm, Sweden</x:v>
      </x:c>
      <x:c r="D117" s="5" t="str">
        <x:v>Autoinjector Design &amp; Assembly</x:v>
      </x:c>
      <x:c r="E117" s="5" t="str">
        <x:v>USD 720.0M est. (~SEK 7.5B)</x:v>
      </x:c>
      <x:c r="F117" s="5" t="str">
        <x:v>USD 58.0M (~SEK 600M)</x:v>
      </x:c>
      <x:c r="G117" s="5" t="str">
        <x:v>USD</x:v>
      </x:c>
      <x:c r="H117" s="5" t="str">
        <x:v>FY2023/24</x:v>
      </x:c>
      <x:c r="I117" s="5" t="str">
        <x:v>EQT backed; Package A &amp; D (Device assembly line yield &amp; automated GxP documentation)</x:v>
      </x:c>
      <x:c r="J117" s="5" t="str">
        <x:v>UNVERIFIED historical claim</x:v>
      </x:c>
      <x:c r="L117" s="31" t="str">
        <x:v>D06, Markdown line 291; http://nas-1.tail55d152.ts.net:4100/static/MEDICAL_NORDICS_FINANCIALS_DOSSIER.html</x:v>
      </x:c>
    </x:row>
    <x:row r="118" ht="42" customHeight="1">
      <x:c r="A118" s="5" t="n">
        <x:v>111</x:v>
      </x:c>
      <x:c r="B118" s="5" t="str">
        <x:v>Single Technologies</x:v>
      </x:c>
      <x:c r="C118" s="5" t="str">
        <x:v>Stockholm, Sweden</x:v>
      </x:c>
      <x:c r="D118" s="5" t="str">
        <x:v>Theta High-Throughput 3D Sequencing</x:v>
      </x:c>
      <x:c r="E118" s="5" t="str">
        <x:v>SEK 21.2M</x:v>
      </x:c>
      <x:c r="F118" s="5" t="str">
        <x:v>SEK 52.0M</x:v>
      </x:c>
      <x:c r="G118" s="5" t="str">
        <x:v>SEK</x:v>
      </x:c>
      <x:c r="H118" s="5" t="str">
        <x:v>FY2024</x:v>
      </x:c>
      <x:c r="I118" s="5" t="str">
        <x:v>Private (€12.5M EIC); Package A &amp; E (Genomic sequencing hardware-to-cloud DaaS)</x:v>
      </x:c>
      <x:c r="J118" s="5" t="str">
        <x:v>UNVERIFIED historical claim</x:v>
      </x:c>
      <x:c r="L118" s="31" t="str">
        <x:v>D06, Markdown line 292; http://nas-1.tail55d152.ts.net:4100/static/MEDICAL_NORDICS_FINANCIALS_DOSSIER.html</x:v>
      </x:c>
    </x:row>
    <x:row r="119" ht="42" customHeight="1">
      <x:c r="A119" s="5" t="n">
        <x:v>112</x:v>
      </x:c>
      <x:c r="B119" s="5" t="str">
        <x:v>Swedish Orphan Biovitrum</x:v>
      </x:c>
      <x:c r="C119" s="5" t="str">
        <x:v>Stockholm, Sweden</x:v>
      </x:c>
      <x:c r="D119" s="5" t="str">
        <x:v>Sobi Rare Disease Biologics Flagship</x:v>
      </x:c>
      <x:c r="E119" s="5" t="str">
        <x:v>SEK 26,000.0M (SEK 26.0B)</x:v>
      </x:c>
      <x:c r="F119" s="5" t="str">
        <x:v>SEK 3,650.0M (SEK 3.65B)</x:v>
      </x:c>
      <x:c r="G119" s="5" t="str">
        <x:v>SEK</x:v>
      </x:c>
      <x:c r="H119" s="5" t="str">
        <x:v>FY2024</x:v>
      </x:c>
      <x:c r="I119" s="5" t="str">
        <x:v>Listed (Nasdaq: SOBI); Package C (Merck-proven sales portal &amp; multi-country RWE models)</x:v>
      </x:c>
      <x:c r="J119" s="5" t="str">
        <x:v>UNVERIFIED historical claim</x:v>
      </x:c>
      <x:c r="L119" s="31" t="str">
        <x:v>D06, Markdown line 293; http://nas-1.tail55d152.ts.net:4100/static/MEDICAL_NORDICS_FINANCIALS_DOSSIER.html</x:v>
      </x:c>
    </x:row>
    <x:row r="120" ht="42" customHeight="1">
      <x:c r="A120" s="5" t="n">
        <x:v>113</x:v>
      </x:c>
      <x:c r="B120" s="5" t="str">
        <x:v>Tribune Therapeutics</x:v>
      </x:c>
      <x:c r="C120" s="5" t="str">
        <x:v>Stockholm, Sweden</x:v>
      </x:c>
      <x:c r="D120" s="5" t="str">
        <x:v>CCN Targeted Anti-Fibrotic Biologics</x:v>
      </x:c>
      <x:c r="E120" s="5" t="str">
        <x:v>EUR 0M (Pre-clinical)</x:v>
      </x:c>
      <x:c r="F120" s="5" t="str">
        <x:v>EUR 4.5M (~SEK 50M)</x:v>
      </x:c>
      <x:c r="G120" s="5" t="str">
        <x:v>EUR</x:v>
      </x:c>
      <x:c r="H120" s="5" t="str">
        <x:v>FY2024</x:v>
      </x:c>
      <x:c r="I120" s="5" t="str">
        <x:v>Series A (€37M); Package B (Fibrosis translational biomarker data infrastructure)</x:v>
      </x:c>
      <x:c r="J120" s="5" t="str">
        <x:v>UNVERIFIED historical claim</x:v>
      </x:c>
      <x:c r="L120" s="31" t="str">
        <x:v>D06, Markdown line 294; http://nas-1.tail55d152.ts.net:4100/static/MEDICAL_NORDICS_FINANCIALS_DOSSIER.html</x:v>
      </x:c>
    </x:row>
    <x:row r="121" ht="42" customHeight="1">
      <x:c r="A121" s="5" t="n">
        <x:v>114</x:v>
      </x:c>
      <x:c r="B121" s="5" t="str">
        <x:v>Vicore Pharma</x:v>
      </x:c>
      <x:c r="C121" s="5" t="str">
        <x:v>Stockholm, Sweden</x:v>
      </x:c>
      <x:c r="D121" s="5" t="str">
        <x:v>ATRAGs for Idiopathic Pulmonary Fibrosis</x:v>
      </x:c>
      <x:c r="E121" s="5" t="str">
        <x:v>SEK 8.4M</x:v>
      </x:c>
      <x:c r="F121" s="5" t="str">
        <x:v>SEK 264.2M</x:v>
      </x:c>
      <x:c r="G121" s="5" t="str">
        <x:v>SEK</x:v>
      </x:c>
      <x:c r="H121" s="5" t="str">
        <x:v>FY2024</x:v>
      </x:c>
      <x:c r="I121" s="5" t="str">
        <x:v>Listed (Nasdaq: VICO); Package B (ASPIRE Phase IIb trial milestone burn governance)</x:v>
      </x:c>
      <x:c r="J121" s="5" t="str">
        <x:v>UNVERIFIED historical claim</x:v>
      </x:c>
      <x:c r="L121" s="31" t="str">
        <x:v>D06, Markdown line 295; http://nas-1.tail55d152.ts.net:4100/static/MEDICAL_NORDICS_FINANCIALS_DOSSIER.html</x:v>
      </x:c>
    </x:row>
    <x:row r="122" ht="42" customHeight="1">
      <x:c r="A122" s="5" t="n">
        <x:v>115</x:v>
      </x:c>
      <x:c r="B122" s="5" t="str">
        <x:v>BioLamina</x:v>
      </x:c>
      <x:c r="C122" s="5" t="str">
        <x:v>Sundbyberg, Sweden</x:v>
      </x:c>
      <x:c r="D122" s="5" t="str">
        <x:v>Recombinant Human Laminin Cell Matrices</x:v>
      </x:c>
      <x:c r="E122" s="5" t="str">
        <x:v>SEK 95.0M est. ($9M)</x:v>
      </x:c>
      <x:c r="F122" s="5" t="str">
        <x:v>SEK 28.0M</x:v>
      </x:c>
      <x:c r="G122" s="5" t="str">
        <x:v>SEK</x:v>
      </x:c>
      <x:c r="H122" s="5" t="str">
        <x:v>FY2023/24</x:v>
      </x:c>
      <x:c r="I122" s="5" t="str">
        <x:v>Private (€20M EIB loan); Package D (Bioprocess consumable manufacturing scale-up)</x:v>
      </x:c>
      <x:c r="J122" s="5" t="str">
        <x:v>UNVERIFIED historical claim</x:v>
      </x:c>
      <x:c r="L122" s="31" t="str">
        <x:v>D06, Markdown line 296; http://nas-1.tail55d152.ts.net:4100/static/MEDICAL_NORDICS_FINANCIALS_DOSSIER.html</x:v>
      </x:c>
    </x:row>
    <x:row r="123" ht="42" customHeight="1">
      <x:c r="A123" s="5" t="n">
        <x:v>116</x:v>
      </x:c>
      <x:c r="B123" s="5" t="str">
        <x:v>Abera Bioscience</x:v>
      </x:c>
      <x:c r="C123" s="5" t="str">
        <x:v>Uppsala, Sweden</x:v>
      </x:c>
      <x:c r="D123" s="5" t="str">
        <x:v>Outer Membrane Vesicle Mucosal Vaccines</x:v>
      </x:c>
      <x:c r="E123" s="5" t="str">
        <x:v>SEK 0M (Pre-revenue)</x:v>
      </x:c>
      <x:c r="F123" s="5" t="str">
        <x:v>SEK 14.8M</x:v>
      </x:c>
      <x:c r="G123" s="5" t="str">
        <x:v>SEK</x:v>
      </x:c>
      <x:c r="H123" s="5" t="str">
        <x:v>FY2023/24</x:v>
      </x:c>
      <x:c r="I123" s="5" t="str">
        <x:v>Listed (Spotlight: ABERA); Package B (Mucosal vaccine trial site tracking)</x:v>
      </x:c>
      <x:c r="J123" s="5" t="str">
        <x:v>UNVERIFIED historical claim</x:v>
      </x:c>
      <x:c r="L123" s="31" t="str">
        <x:v>D06, Markdown line 297; http://nas-1.tail55d152.ts.net:4100/static/MEDICAL_NORDICS_FINANCIALS_DOSSIER.html</x:v>
      </x:c>
    </x:row>
    <x:row r="124" ht="42" customHeight="1">
      <x:c r="A124" s="5" t="n">
        <x:v>117</x:v>
      </x:c>
      <x:c r="B124" s="5" t="str">
        <x:v>Aurevia</x:v>
      </x:c>
      <x:c r="C124" s="5" t="str">
        <x:v>Uppsala, Sweden</x:v>
      </x:c>
      <x:c r="D124" s="5" t="str">
        <x:v>CRO &amp; Regulatory Affairs Advisory</x:v>
      </x:c>
      <x:c r="E124" s="5" t="str">
        <x:v>SEK 46.9M</x:v>
      </x:c>
      <x:c r="F124" s="5" t="str">
        <x:v>SEK 4.0M</x:v>
      </x:c>
      <x:c r="G124" s="5" t="str">
        <x:v>SEK</x:v>
      </x:c>
      <x:c r="H124" s="5" t="str">
        <x:v>FY2023</x:v>
      </x:c>
      <x:c r="I124" s="5" t="str">
        <x:v>Mérieux Equity unit; Co-Opetition (Subcontracting 2S EU AI Act compliance engine)</x:v>
      </x:c>
      <x:c r="J124" s="5" t="str">
        <x:v>UNVERIFIED historical claim</x:v>
      </x:c>
      <x:c r="L124" s="31" t="str">
        <x:v>D06, Markdown line 298; http://nas-1.tail55d152.ts.net:4100/static/MEDICAL_NORDICS_FINANCIALS_DOSSIER.html</x:v>
      </x:c>
    </x:row>
    <x:row r="125" ht="42" customHeight="1">
      <x:c r="A125" s="5" t="n">
        <x:v>118</x:v>
      </x:c>
      <x:c r="B125" s="5" t="str">
        <x:v>Beactica Therapeutics</x:v>
      </x:c>
      <x:c r="C125" s="5" t="str">
        <x:v>Uppsala, Sweden</x:v>
      </x:c>
      <x:c r="D125" s="5" t="str">
        <x:v>Fragment-Based Oncology Discovery</x:v>
      </x:c>
      <x:c r="E125" s="5" t="str">
        <x:v>SEK 8.5M</x:v>
      </x:c>
      <x:c r="F125" s="5" t="str">
        <x:v>SEK 32.1M</x:v>
      </x:c>
      <x:c r="G125" s="5" t="str">
        <x:v>SEK</x:v>
      </x:c>
      <x:c r="H125" s="5" t="str">
        <x:v>FY2023/24</x:v>
      </x:c>
      <x:c r="I125" s="5" t="str">
        <x:v>Private (€2.5M EIC grant); Package B (Early stage drug discovery milestone pipeline)</x:v>
      </x:c>
      <x:c r="J125" s="5" t="str">
        <x:v>UNVERIFIED historical claim</x:v>
      </x:c>
      <x:c r="L125" s="31" t="str">
        <x:v>D06, Markdown line 299; http://nas-1.tail55d152.ts.net:4100/static/MEDICAL_NORDICS_FINANCIALS_DOSSIER.html</x:v>
      </x:c>
    </x:row>
    <x:row r="126" ht="42" customHeight="1">
      <x:c r="A126" s="5" t="n">
        <x:v>119</x:v>
      </x:c>
      <x:c r="B126" s="5" t="str">
        <x:v>Bio-Works</x:v>
      </x:c>
      <x:c r="C126" s="5" t="str">
        <x:v>Uppsala, Sweden</x:v>
      </x:c>
      <x:c r="D126" s="5" t="str">
        <x:v>Agarose Chromatography Resins</x:v>
      </x:c>
      <x:c r="E126" s="5" t="str">
        <x:v>SEK 43.9M</x:v>
      </x:c>
      <x:c r="F126" s="5" t="str">
        <x:v>SEK 16.8M</x:v>
      </x:c>
      <x:c r="G126" s="5" t="str">
        <x:v>SEK</x:v>
      </x:c>
      <x:c r="H126" s="5" t="str">
        <x:v>FY2023/24</x:v>
      </x:c>
      <x:c r="I126" s="5" t="str">
        <x:v>Listed (First North: BIOWKS); Package D (Downstream resin batch manufacturing control)</x:v>
      </x:c>
      <x:c r="J126" s="5" t="str">
        <x:v>UNVERIFIED historical claim</x:v>
      </x:c>
      <x:c r="L126" s="31" t="str">
        <x:v>D06, Markdown line 300; http://nas-1.tail55d152.ts.net:4100/static/MEDICAL_NORDICS_FINANCIALS_DOSSIER.html</x:v>
      </x:c>
    </x:row>
    <x:row r="127" ht="42" customHeight="1">
      <x:c r="A127" s="5" t="n">
        <x:v>120</x:v>
      </x:c>
      <x:c r="B127" s="5" t="str">
        <x:v>Biotage</x:v>
      </x:c>
      <x:c r="C127" s="5" t="str">
        <x:v>Uppsala, Sweden</x:v>
      </x:c>
      <x:c r="D127" s="5" t="str">
        <x:v>Automated Synthesis &amp; Chromatography</x:v>
      </x:c>
      <x:c r="E127" s="5" t="str">
        <x:v>SEK 2,056.0M</x:v>
      </x:c>
      <x:c r="F127" s="5" t="str">
        <x:v>SEK 180.0M</x:v>
      </x:c>
      <x:c r="G127" s="5" t="str">
        <x:v>SEK</x:v>
      </x:c>
      <x:c r="H127" s="5" t="str">
        <x:v>FY2024</x:v>
      </x:c>
      <x:c r="I127" s="5" t="str">
        <x:v>Listed (Nasdaq: BIOT); Package A (Analytical instruments recurring consumable SaaS portal)</x:v>
      </x:c>
      <x:c r="J127" s="5" t="str">
        <x:v>UNVERIFIED historical claim</x:v>
      </x:c>
      <x:c r="L127" s="31" t="str">
        <x:v>D06, Markdown line 301; http://nas-1.tail55d152.ts.net:4100/static/MEDICAL_NORDICS_FINANCIALS_DOSSIER.html</x:v>
      </x:c>
    </x:row>
    <x:row r="128" ht="42" customHeight="1">
      <x:c r="A128" s="5" t="n">
        <x:v>121</x:v>
      </x:c>
      <x:c r="B128" s="5" t="str">
        <x:v>Biovica</x:v>
      </x:c>
      <x:c r="C128" s="5" t="str">
        <x:v>Uppsala, Sweden</x:v>
      </x:c>
      <x:c r="D128" s="5" t="str">
        <x:v>DiviTum TKa Metastatic Breast Biomarkers</x:v>
      </x:c>
      <x:c r="E128" s="5" t="str">
        <x:v>SEK 7.29M (FY23/24; 8.62M FY24/25)</x:v>
      </x:c>
      <x:c r="F128" s="5" t="str">
        <x:v>SEK 48.6M</x:v>
      </x:c>
      <x:c r="G128" s="5" t="str">
        <x:v>SEK</x:v>
      </x:c>
      <x:c r="H128" s="5" t="str">
        <x:v>FY2023/24</x:v>
      </x:c>
      <x:c r="I128" s="5" t="str">
        <x:v>Listed (First North: BIOVIC B); Package A (Hospital oncology diagnostic adoption proof)</x:v>
      </x:c>
      <x:c r="J128" s="5" t="str">
        <x:v>UNVERIFIED historical claim</x:v>
      </x:c>
      <x:c r="L128" s="31" t="str">
        <x:v>D06, Markdown line 302; http://nas-1.tail55d152.ts.net:4100/static/MEDICAL_NORDICS_FINANCIALS_DOSSIER.html</x:v>
      </x:c>
    </x:row>
    <x:row r="129" ht="42" customHeight="1">
      <x:c r="A129" s="5" t="n">
        <x:v>122</x:v>
      </x:c>
      <x:c r="B129" s="5" t="str">
        <x:v>Corline Biomedical</x:v>
      </x:c>
      <x:c r="C129" s="5" t="str">
        <x:v>Uppsala, Sweden</x:v>
      </x:c>
      <x:c r="D129" s="5" t="str">
        <x:v>Heparin Surface Coating for Implants</x:v>
      </x:c>
      <x:c r="E129" s="5" t="str">
        <x:v>SEK 18.2M</x:v>
      </x:c>
      <x:c r="F129" s="5" t="str">
        <x:v>SEK 14.5M</x:v>
      </x:c>
      <x:c r="G129" s="5" t="str">
        <x:v>SEK</x:v>
      </x:c>
      <x:c r="H129" s="5" t="str">
        <x:v>FY2023/24</x:v>
      </x:c>
      <x:c r="I129" s="5" t="str">
        <x:v>Listed (First North: CLBI); Package A &amp; D (Device OEM coating integration economics)</x:v>
      </x:c>
      <x:c r="J129" s="5" t="str">
        <x:v>UNVERIFIED historical claim</x:v>
      </x:c>
      <x:c r="L129" s="31" t="str">
        <x:v>D06, Markdown line 303; http://nas-1.tail55d152.ts.net:4100/static/MEDICAL_NORDICS_FINANCIALS_DOSSIER.html</x:v>
      </x:c>
    </x:row>
    <x:row r="130" ht="42" customHeight="1">
      <x:c r="A130" s="5" t="n">
        <x:v>123</x:v>
      </x:c>
      <x:c r="B130" s="5" t="str">
        <x:v>Fresenius Kabi</x:v>
      </x:c>
      <x:c r="C130" s="5" t="str">
        <x:v>Uppsala, Sweden</x:v>
      </x:c>
      <x:c r="D130" s="5" t="str">
        <x:v>Parenteral Nutrition &amp; Sterile Liquids</x:v>
      </x:c>
      <x:c r="E130" s="5" t="str">
        <x:v>EUR 8,414.0M (Sweden ~SEK 4.8B)</x:v>
      </x:c>
      <x:c r="F130" s="5" t="str">
        <x:v>EUR 636.0M (~SEK 7.2B group)</x:v>
      </x:c>
      <x:c r="G130" s="5" t="str">
        <x:v>EUR</x:v>
      </x:c>
      <x:c r="H130" s="5" t="str">
        <x:v>FY2024</x:v>
      </x:c>
      <x:c r="I130" s="5" t="str">
        <x:v>Fresenius SE; Package D (High-speed aseptic filling line yield &amp; margin defense)</x:v>
      </x:c>
      <x:c r="J130" s="5" t="str">
        <x:v>UNVERIFIED historical claim</x:v>
      </x:c>
      <x:c r="L130" s="31" t="str">
        <x:v>D06, Markdown line 304; http://nas-1.tail55d152.ts.net:4100/static/MEDICAL_NORDICS_FINANCIALS_DOSSIER.html</x:v>
      </x:c>
    </x:row>
    <x:row r="131" ht="42" customHeight="1">
      <x:c r="A131" s="5" t="n">
        <x:v>124</x:v>
      </x:c>
      <x:c r="B131" s="5" t="str">
        <x:v>Gradientech</x:v>
      </x:c>
      <x:c r="C131" s="5" t="str">
        <x:v>Uppsala, Sweden</x:v>
      </x:c>
      <x:c r="D131" s="5" t="str">
        <x:v>QuickMIC Ultra-Rapid AST Systems</x:v>
      </x:c>
      <x:c r="E131" s="5" t="str">
        <x:v>SEK 2.1M</x:v>
      </x:c>
      <x:c r="F131" s="5" t="str">
        <x:v>SEK 46.8M</x:v>
      </x:c>
      <x:c r="G131" s="5" t="str">
        <x:v>SEK</x:v>
      </x:c>
      <x:c r="H131" s="5" t="str">
        <x:v>FY2023/24</x:v>
      </x:c>
      <x:c r="I131" s="5" t="str">
        <x:v>Listed (First North: GRNT); Package A (ICU sepsis antibiotic stewardship HEOR models)</x:v>
      </x:c>
      <x:c r="J131" s="5" t="str">
        <x:v>UNVERIFIED historical claim</x:v>
      </x:c>
      <x:c r="L131" s="31" t="str">
        <x:v>D06, Markdown line 305; http://nas-1.tail55d152.ts.net:4100/static/MEDICAL_NORDICS_FINANCIALS_DOSSIER.html</x:v>
      </x:c>
    </x:row>
    <x:row r="132" ht="42" customHeight="1">
      <x:c r="A132" s="5" t="n">
        <x:v>125</x:v>
      </x:c>
      <x:c r="B132" s="5" t="str">
        <x:v>Gyros Protein Technologies</x:v>
      </x:c>
      <x:c r="C132" s="5" t="str">
        <x:v>Uppsala, Sweden</x:v>
      </x:c>
      <x:c r="D132" s="5" t="str">
        <x:v>Gyrolab Automated Immunoassay Platforms</x:v>
      </x:c>
      <x:c r="E132" s="5" t="str">
        <x:v>USD 52.0M est. (~SEK 540M)</x:v>
      </x:c>
      <x:c r="F132" s="5" t="str">
        <x:v>USD 7.2M (~SEK 75M)</x:v>
      </x:c>
      <x:c r="G132" s="5" t="str">
        <x:v>USD</x:v>
      </x:c>
      <x:c r="H132" s="5" t="str">
        <x:v>FY2023/24</x:v>
      </x:c>
      <x:c r="I132" s="5" t="str">
        <x:v>Mesa Labs (Nasdaq: MLAB); Package A (Biopharma bioanalysis instrument utilization DaaS)</x:v>
      </x:c>
      <x:c r="J132" s="5" t="str">
        <x:v>UNVERIFIED historical claim</x:v>
      </x:c>
      <x:c r="L132" s="31" t="str">
        <x:v>D06, Markdown line 306; http://nas-1.tail55d152.ts.net:4100/static/MEDICAL_NORDICS_FINANCIALS_DOSSIER.html</x:v>
      </x:c>
    </x:row>
    <x:row r="133" ht="42" customHeight="1">
      <x:c r="A133" s="5" t="n">
        <x:v>126</x:v>
      </x:c>
      <x:c r="B133" s="5" t="str">
        <x:v>Navinci Diagnostics</x:v>
      </x:c>
      <x:c r="C133" s="5" t="str">
        <x:v>Uppsala, Sweden</x:v>
      </x:c>
      <x:c r="D133" s="5" t="str">
        <x:v>In Situ Proximity Ligation Assay Kits</x:v>
      </x:c>
      <x:c r="E133" s="5" t="str">
        <x:v>SEK 18.1M (72% YoY growth)</x:v>
      </x:c>
      <x:c r="F133" s="5" t="str">
        <x:v>SEK 25.0M</x:v>
      </x:c>
      <x:c r="G133" s="5" t="str">
        <x:v>SEK</x:v>
      </x:c>
      <x:c r="H133" s="5" t="str">
        <x:v>FY2024/25</x:v>
      </x:c>
      <x:c r="I133" s="5" t="str">
        <x:v>Private (€5.3M funding); Package A &amp; C (Protein interaction imaging kit sales scaling)</x:v>
      </x:c>
      <x:c r="J133" s="5" t="str">
        <x:v>UNVERIFIED historical claim</x:v>
      </x:c>
      <x:c r="L133" s="31" t="str">
        <x:v>D06, Markdown line 307; http://nas-1.tail55d152.ts.net:4100/static/MEDICAL_NORDICS_FINANCIALS_DOSSIER.html</x:v>
      </x:c>
    </x:row>
    <x:row r="134" ht="42" customHeight="1">
      <x:c r="A134" s="5" t="n">
        <x:v>127</x:v>
      </x:c>
      <x:c r="B134" s="5" t="str">
        <x:v>NIOX</x:v>
      </x:c>
      <x:c r="C134" s="5" t="str">
        <x:v>Uppsala, Sweden</x:v>
      </x:c>
      <x:c r="D134" s="5" t="str">
        <x:v>NIOX VERO FeNO Asthma Management</x:v>
      </x:c>
      <x:c r="E134" s="5" t="str">
        <x:v>GBP 41.8M (~SEK 570M)</x:v>
      </x:c>
      <x:c r="F134" s="5" t="str">
        <x:v>GBP 4.2M (~SEK 57M)</x:v>
      </x:c>
      <x:c r="G134" s="5" t="str">
        <x:v>GBP</x:v>
      </x:c>
      <x:c r="H134" s="5" t="str">
        <x:v>FY2024</x:v>
      </x:c>
      <x:c r="I134" s="5" t="str">
        <x:v>Listed (LSE AIM: NIOX); Package A (Primary care respiratory test reimbursement models)</x:v>
      </x:c>
      <x:c r="J134" s="5" t="str">
        <x:v>UNVERIFIED historical claim</x:v>
      </x:c>
      <x:c r="L134" s="31" t="str">
        <x:v>D06, Markdown line 308; http://nas-1.tail55d152.ts.net:4100/static/MEDICAL_NORDICS_FINANCIALS_DOSSIER.html</x:v>
      </x:c>
    </x:row>
    <x:row r="135" ht="42" customHeight="1">
      <x:c r="A135" s="5" t="n">
        <x:v>128</x:v>
      </x:c>
      <x:c r="B135" s="5" t="str">
        <x:v>Orexo</x:v>
      </x:c>
      <x:c r="C135" s="5" t="str">
        <x:v>Uppsala, Sweden</x:v>
      </x:c>
      <x:c r="D135" s="5" t="str">
        <x:v>Zubsolv &amp; AmorphOX Nasal Formulations</x:v>
      </x:c>
      <x:c r="E135" s="5" t="str">
        <x:v>SEK 590.0M</x:v>
      </x:c>
      <x:c r="F135" s="5" t="str">
        <x:v>SEK 148.6M</x:v>
      </x:c>
      <x:c r="G135" s="5" t="str">
        <x:v>SEK</x:v>
      </x:c>
      <x:c r="H135" s="5" t="str">
        <x:v>FY2024</x:v>
      </x:c>
      <x:c r="I135" s="5" t="str">
        <x:v>Listed (Nasdaq: ORX); Package C &amp; D (US/Nordic specialty distribution &amp; nasal fill-finish)</x:v>
      </x:c>
      <x:c r="J135" s="5" t="str">
        <x:v>UNVERIFIED historical claim</x:v>
      </x:c>
      <x:c r="L135" s="31" t="str">
        <x:v>D06, Markdown line 309; http://nas-1.tail55d152.ts.net:4100/static/MEDICAL_NORDICS_FINANCIALS_DOSSIER.html</x:v>
      </x:c>
    </x:row>
    <x:row r="136" ht="42" customHeight="1">
      <x:c r="A136" s="5" t="n">
        <x:v>129</x:v>
      </x:c>
      <x:c r="B136" s="5" t="str">
        <x:v>Q-Linea</x:v>
      </x:c>
      <x:c r="C136" s="5" t="str">
        <x:v>Uppsala, Sweden</x:v>
      </x:c>
      <x:c r="D136" s="5" t="str">
        <x:v>ASTar Rapid Antimicrobial System</x:v>
      </x:c>
      <x:c r="E136" s="5" t="str">
        <x:v>SEK 4.4M</x:v>
      </x:c>
      <x:c r="F136" s="5" t="str">
        <x:v>SEK 178.4M</x:v>
      </x:c>
      <x:c r="G136" s="5" t="str">
        <x:v>SEK</x:v>
      </x:c>
      <x:c r="H136" s="5" t="str">
        <x:v>FY2023/24</x:v>
      </x:c>
      <x:c r="I136" s="5" t="str">
        <x:v>Listed (Nasdaq: QLINEA); Package A (Hospital microbiology lab consumable placement DaaS)</x:v>
      </x:c>
      <x:c r="J136" s="5" t="str">
        <x:v>UNVERIFIED historical claim</x:v>
      </x:c>
      <x:c r="L136" s="31" t="str">
        <x:v>D06, Markdown line 310; http://nas-1.tail55d152.ts.net:4100/static/MEDICAL_NORDICS_FINANCIALS_DOSSIER.html</x:v>
      </x:c>
    </x:row>
    <x:row r="137" ht="42" customHeight="1">
      <x:c r="A137" s="5" t="n">
        <x:v>130</x:v>
      </x:c>
      <x:c r="B137" s="5" t="str">
        <x:v>Senzime</x:v>
      </x:c>
      <x:c r="C137" s="5" t="str">
        <x:v>Uppsala, Sweden</x:v>
      </x:c>
      <x:c r="D137" s="5" t="str">
        <x:v>TetraGraph Neuromuscular Monitoring</x:v>
      </x:c>
      <x:c r="E137" s="5" t="str">
        <x:v>SEK 58.5M (SEK 35.8M FY23)</x:v>
      </x:c>
      <x:c r="F137" s="5" t="str">
        <x:v>SEK 44.2M</x:v>
      </x:c>
      <x:c r="G137" s="5" t="str">
        <x:v>SEK</x:v>
      </x:c>
      <x:c r="H137" s="5" t="str">
        <x:v>FY2024</x:v>
      </x:c>
      <x:c r="I137" s="5" t="str">
        <x:v>Listed (Nasdaq: SEZI); Package A (Anesthesia complication reduction hospital ROI models)</x:v>
      </x:c>
      <x:c r="J137" s="5" t="str">
        <x:v>UNVERIFIED historical claim</x:v>
      </x:c>
      <x:c r="L137" s="31" t="str">
        <x:v>D06, Markdown line 311; http://nas-1.tail55d152.ts.net:4100/static/MEDICAL_NORDICS_FINANCIALS_DOSSIER.html</x:v>
      </x:c>
    </x:row>
    <x:row r="138" ht="42" customHeight="1">
      <x:c r="A138" s="5" t="n">
        <x:v>131</x:v>
      </x:c>
      <x:c r="B138" s="5" t="str">
        <x:v>Strike Pharma</x:v>
      </x:c>
      <x:c r="C138" s="5" t="str">
        <x:v>Uppsala, Sweden</x:v>
      </x:c>
      <x:c r="D138" s="5" t="str">
        <x:v>Adapt vaCC Individualized Vaccines</x:v>
      </x:c>
      <x:c r="E138" s="5" t="str">
        <x:v>SEK 0M (Pre-clinical)</x:v>
      </x:c>
      <x:c r="F138" s="5" t="str">
        <x:v>SEK 18.5M</x:v>
      </x:c>
      <x:c r="G138" s="5" t="str">
        <x:v>SEK</x:v>
      </x:c>
      <x:c r="H138" s="5" t="str">
        <x:v>FY2023/24</x:v>
      </x:c>
      <x:c r="I138" s="5" t="str">
        <x:v>Private (SEK 45M funding); Package B (Neoantigen manufacturing specification files)</x:v>
      </x:c>
      <x:c r="J138" s="5" t="str">
        <x:v>UNVERIFIED historical claim</x:v>
      </x:c>
      <x:c r="L138" s="31" t="str">
        <x:v>D06, Markdown line 312; http://nas-1.tail55d152.ts.net:4100/static/MEDICAL_NORDICS_FINANCIALS_DOSSIER.html</x:v>
      </x:c>
    </x:row>
    <x:row r="139" ht="42" customHeight="1">
      <x:c r="A139" s="5" t="n">
        <x:v>132</x:v>
      </x:c>
      <x:c r="B139" s="5" t="str">
        <x:v>Agrisera</x:v>
      </x:c>
      <x:c r="C139" s="5" t="str">
        <x:v>Vännäs, Sweden</x:v>
      </x:c>
      <x:c r="D139" s="5" t="str">
        <x:v>Specialized Plant &amp; Algal Antibodies</x:v>
      </x:c>
      <x:c r="E139" s="5" t="str">
        <x:v>SEK 42.5M</x:v>
      </x:c>
      <x:c r="F139" s="5" t="str">
        <x:v>SEK 5.2M</x:v>
      </x:c>
      <x:c r="G139" s="5" t="str">
        <x:v>SEK</x:v>
      </x:c>
      <x:c r="H139" s="5" t="str">
        <x:v>FY2023</x:v>
      </x:c>
      <x:c r="I139" s="5" t="str">
        <x:v>Private antibody supplier; Package C (E-commerce research antibody distributor portal)</x:v>
      </x:c>
      <x:c r="J139" s="5" t="str">
        <x:v>UNVERIFIED historical claim</x:v>
      </x:c>
      <x:c r="L139" s="31" t="str">
        <x:v>D06, Markdown line 313; http://nas-1.tail55d152.ts.net:4100/static/MEDICAL_NORDICS_FINANCIALS_DOSSIER.html</x:v>
      </x:c>
    </x:row>
    <x:row r="140" ht="42" customHeight="1">
      <x:c r="A140" s="5" t="n">
        <x:v>133</x:v>
      </x:c>
      <x:c r="B140" s="5" t="str">
        <x:v>Getinge</x:v>
      </x:c>
      <x:c r="C140" s="5" t="str">
        <x:v>Växjö, Sweden</x:v>
      </x:c>
      <x:c r="D140" s="5" t="str">
        <x:v>Infection Control &amp; Hospital Disinfection</x:v>
      </x:c>
      <x:c r="E140" s="5" t="str">
        <x:v>SEK 34,759.0M (SEK 34.76B)</x:v>
      </x:c>
      <x:c r="F140" s="5" t="str">
        <x:v>SEK 1,745.0M (~5.0% sales)</x:v>
      </x:c>
      <x:c r="G140" s="5" t="str">
        <x:v>SEK</x:v>
      </x:c>
      <x:c r="H140" s="5" t="str">
        <x:v>FY2024</x:v>
      </x:c>
      <x:c r="I140" s="5" t="str">
        <x:v>Listed (Nasdaq: GETI B); Package A (Central sterile services department / CSSD contracts)</x:v>
      </x:c>
      <x:c r="J140" s="5" t="str">
        <x:v>UNVERIFIED historical claim</x:v>
      </x:c>
      <x:c r="L140" s="31" t="str">
        <x:v>D06, Markdown line 314; http://nas-1.tail55d152.ts.net:4100/static/MEDICAL_NORDICS_FINANCIALS_DOSSIER.html</x:v>
      </x:c>
    </x:row>
    <x:row r="141" ht="42" customHeight="1">
      <x:c r="A141" s="5" t="n">
        <x:v>134</x:v>
      </x:c>
      <x:c r="B141" s="5" t="str">
        <x:v>Metenova</x:v>
      </x:c>
      <x:c r="C141" s="5" t="str">
        <x:v>Gothenburg, Sweden</x:v>
      </x:c>
      <x:c r="D141" s="5" t="str">
        <x:v>Aseptic Magnetic Mixers for Biopharma</x:v>
      </x:c>
      <x:c r="E141" s="5" t="str">
        <x:v>USD 24.5M (~SEK 255M)</x:v>
      </x:c>
      <x:c r="F141" s="5" t="str">
        <x:v>USD 4.2M (~SEK 44M)</x:v>
      </x:c>
      <x:c r="G141" s="5" t="str">
        <x:v>USD</x:v>
      </x:c>
      <x:c r="H141" s="5" t="str">
        <x:v>FY2023</x:v>
      </x:c>
      <x:c r="I141" s="5" t="str">
        <x:v>Repligen (Nasdaq: RGEN) unit; Package D (Bioprocess fluid handling batch reliability proof)</x:v>
      </x:c>
      <x:c r="J141" s="5" t="str">
        <x:v>UNVERIFIED historical claim</x:v>
      </x:c>
      <x:c r="L141" s="31" t="str">
        <x:v>D06, Markdown line 315; http://nas-1.tail55d152.ts.net:4100/static/MEDICAL_NORDICS_FINANCIALS_DOSSIER.html</x:v>
      </x:c>
    </x:row>
    <x:row r="142" ht="42" customHeight="1">
      <x:c r="A142" s="5" t="n">
        <x:v>135</x:v>
      </x:c>
      <x:c r="B142" s="5" t="str">
        <x:v>Optimapharm</x:v>
      </x:c>
      <x:c r="C142" s="5" t="str">
        <x:v>Stockholm, Sweden</x:v>
      </x:c>
      <x:c r="D142" s="5" t="str">
        <x:v>Clinical Site Monitoring &amp; Biometrics Hub</x:v>
      </x:c>
      <x:c r="E142" s="5" t="str">
        <x:v>EUR 52.0M est. (~SEK 590M)</x:v>
      </x:c>
      <x:c r="F142" s="5" t="str">
        <x:v>EUR 4.8M (~SEK 55M)</x:v>
      </x:c>
      <x:c r="G142" s="5" t="str">
        <x:v>EUR</x:v>
      </x:c>
      <x:c r="H142" s="5" t="str">
        <x:v>FY2023/24</x:v>
      </x:c>
      <x:c r="I142" s="5" t="str">
        <x:v>Private CRO operations; Co-Opetition (Subcontracting 2S AI patient recruitment engine)</x:v>
      </x:c>
      <x:c r="J142" s="5" t="str">
        <x:v>UNVERIFIED historical claim</x:v>
      </x:c>
      <x:c r="L142" s="31" t="str">
        <x:v>D06, Markdown line 316; http://nas-1.tail55d152.ts.net:4100/static/MEDICAL_NORDICS_FINANCIALS_DOSSIER.html</x:v>
      </x:c>
    </x:row>
  </x:sheetData>
  <x:mergeCells>
    <x:mergeCell ref="A2:J2"/>
    <x:mergeCell ref="A3:J3"/>
    <x:mergeCell ref="A4:J4"/>
  </x:mergeCells>
  <x:pageMargins left="0.7" right="0.7" top="0.75" bottom="0.75" header="0.3" footer="0.3"/>
  <x:tableParts count="1">
    <x:tablePart xmlns:r="http://schemas.openxmlformats.org/officeDocument/2006/relationships" r:id="R1bdc0f31c4304bec"/>
  </x:tableParts>
</x:worksheet>
</file>

<file path=xl/worksheets/sheet12.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12" hidden="0" customWidth="1"/>
    <x:col min="2" max="2" width="12" hidden="0" customWidth="1"/>
    <x:col min="3" max="3" width="49" hidden="0" customWidth="1"/>
    <x:col min="4" max="4" width="35" hidden="0" customWidth="1"/>
    <x:col min="5" max="5" width="75" hidden="0" customWidth="1"/>
    <x:col min="6" max="6" width="50" hidden="0" customWidth="1"/>
    <x:col min="7" max="7" width="70" hidden="0" customWidth="1"/>
    <x:col min="8" max="8" width="70" hidden="0" customWidth="1"/>
    <x:col min="9" max="9" width="70" hidden="0" customWidth="1"/>
    <x:col min="10" max="10" width="28" hidden="0" customWidth="1"/>
    <x:col min="11" max="11" width="3" hidden="0" customWidth="1"/>
    <x:col min="12" max="12" width="95" hidden="0" customWidth="1"/>
  </x:cols>
  <x:sheetData>
    <x:row r="1">
      <x:c r="A1" s="24"/>
      <x:c r="B1" s="24"/>
      <x:c r="C1" s="24"/>
      <x:c r="D1" s="24"/>
      <x:c r="E1" s="24"/>
      <x:c r="F1" s="24"/>
      <x:c r="G1" s="24"/>
      <x:c r="H1" s="24"/>
      <x:c r="I1" s="24"/>
      <x:c r="J1" s="24"/>
    </x:row>
    <x:row r="2" ht="28" customHeight="1">
      <x:c r="A2" s="25" t="str">
        <x:v>Competitor profiles by source</x:v>
      </x:c>
      <x:c r="B2" s="24"/>
      <x:c r="C2" s="24"/>
      <x:c r="D2" s="24"/>
      <x:c r="E2" s="24"/>
      <x:c r="F2" s="24"/>
      <x:c r="G2" s="24"/>
      <x:c r="H2" s="24"/>
      <x:c r="I2" s="24"/>
      <x:c r="J2" s="24"/>
    </x:row>
    <x:row r="3">
      <x:c r="A3" s="24" t="str">
        <x:v>v0003 · 2026-09-28T10:47:52Z (UTC)</x:v>
      </x:c>
      <x:c r="B3" s="24"/>
      <x:c r="C3" s="24"/>
      <x:c r="D3" s="24"/>
      <x:c r="E3" s="24"/>
      <x:c r="F3" s="24"/>
      <x:c r="G3" s="24"/>
      <x:c r="H3" s="24"/>
      <x:c r="I3" s="24"/>
      <x:c r="J3" s="24"/>
    </x:row>
    <x:row r="4" ht="32" customHeight="1">
      <x:c r="A4" s="27" t="str">
        <x:v>Two separate 12-profile lists. Differing names, headcounts, scope and capability claims are retained without reconciliation.</x:v>
      </x:c>
      <x:c r="B4" s="24"/>
      <x:c r="C4" s="24"/>
      <x:c r="D4" s="24"/>
      <x:c r="E4" s="24"/>
      <x:c r="F4" s="24"/>
      <x:c r="G4" s="24"/>
      <x:c r="H4" s="24"/>
      <x:c r="I4" s="24"/>
      <x:c r="J4" s="24"/>
    </x:row>
    <x:row r="5">
      <x:c r="A5" s="24"/>
      <x:c r="B5" s="24"/>
      <x:c r="C5" s="24"/>
      <x:c r="D5" s="24"/>
      <x:c r="E5" s="24"/>
      <x:c r="F5" s="24"/>
      <x:c r="G5" s="24"/>
      <x:c r="H5" s="24"/>
      <x:c r="I5" s="24"/>
      <x:c r="J5" s="24"/>
    </x:row>
    <x:row r="6">
      <x:c r="A6" s="24"/>
      <x:c r="B6" s="24"/>
      <x:c r="C6" s="24"/>
      <x:c r="D6" s="24"/>
      <x:c r="E6" s="24"/>
      <x:c r="F6" s="24"/>
      <x:c r="G6" s="24"/>
      <x:c r="H6" s="24"/>
      <x:c r="I6" s="24"/>
      <x:c r="J6" s="24"/>
    </x:row>
    <x:row r="7" ht="42" customHeight="1">
      <x:c r="A7" s="29" t="str">
        <x:v>Doc ID</x:v>
      </x:c>
      <x:c r="B7" s="29" t="str">
        <x:v>Source no.</x:v>
      </x:c>
      <x:c r="C7" s="29" t="str">
        <x:v>Source profile / location</x:v>
      </x:c>
      <x:c r="D7" s="29" t="str">
        <x:v>Source grouping</x:v>
      </x:c>
      <x:c r="E7" s="29" t="str">
        <x:v>Profile / partnership narrative</x:v>
      </x:c>
      <x:c r="F7" s="29" t="str">
        <x:v>Headcount / revenue claim</x:v>
      </x:c>
      <x:c r="G7" s="29" t="str">
        <x:v>Strengths claim</x:v>
      </x:c>
      <x:c r="H7" s="29" t="str">
        <x:v>Gaps claim</x:v>
      </x:c>
      <x:c r="I7" s="29" t="str">
        <x:v>Positioning proposal</x:v>
      </x:c>
      <x:c r="J7" s="29" t="str">
        <x:v>Status</x:v>
      </x:c>
      <x:c r="L7" s="31" t="str">
        <x:v>Document source and locator</x:v>
      </x:c>
    </x:row>
    <x:row r="8" ht="70" customHeight="1">
      <x:c r="A8" s="5" t="str">
        <x:v>D08</x:v>
      </x:c>
      <x:c r="B8" s="5" t="n">
        <x:v>1</x:v>
      </x:c>
      <x:c r="C8" s="5" t="str">
        <x:v>Plantvision AB (Kista/Stockholm, Södertälje, Gothenburg, Lund)</x:v>
      </x:c>
      <x:c r="D8" s="5" t="str">
        <x:v>Cluster A: Dedicated Nordic QA/RA &amp; Life Science Boutiques</x:v>
      </x:c>
      <x:c r="E8" s="5" t="str">
        <x:v>Established Swedish consultancy specializing in GxP, QA/RA, laboratory automation, and digital factory compliance for pharma and medtech.</x:v>
      </x:c>
      <x:c r="F8" s="5" t="str">
        <x:v>~200 consultants | Revenue: ~SEK 250M</x:v>
      </x:c>
      <x:c r="G8" s="5" t="str">
        <x:v>Deep relationships with major Swedish pharmaceutical plants (AstraZeneca Södertälje) and medical device hubs; strong local reputation for ISO 13485 and GMP compliance.</x:v>
      </x:c>
      <x:c r="H8" s="5" t="str">
        <x:v>Primarily an hourly staffing and consulting body-shop; lacks proprietary digital automation platforms; slow to adopt modern cloud-native SaMD and EU AI Act validation workflows.</x:v>
      </x:c>
      <x:c r="I8" s="5" t="str">
        <x:v>2S provides fixed-price wedge audits and continuous platform-driven QA via HCare360 rather than open-ended hourly billing.</x:v>
      </x:c>
      <x:c r="J8" s="5" t="str">
        <x:v>UNVERIFIED source judgments</x:v>
      </x:c>
      <x:c r="L8" s="31" t="str">
        <x:v>D08, Markdown line 35; http://nas-1.tail55d152.ts.net:4100/static/NORDIC_MEDTECH_COMPETITIVE_LANDSCAPE_AND_PEER_DOSSIER.html</x:v>
      </x:c>
    </x:row>
    <x:row r="9" ht="70" customHeight="1">
      <x:c r="A9" s="5" t="str">
        <x:v>D08</x:v>
      </x:c>
      <x:c r="B9" s="5" t="n">
        <x:v>2</x:v>
      </x:c>
      <x:c r="C9" s="5" t="str">
        <x:v>Knightec AB (Stockholm, Gothenburg, Lund, Linköping)</x:v>
      </x:c>
      <x:c r="D9" s="5" t="str">
        <x:v>Cluster A: Dedicated Nordic QA/RA &amp; Life Science Boutiques</x:v>
      </x:c>
      <x:c r="E9" s="5" t="str">
        <x:v>Multi-disciplinary Nordic technology and engineering consultancy with a dedicated Life Science practice.</x:v>
      </x:c>
      <x:c r="F9" s="5" t="str">
        <x:v>~900 consultants | Revenue: ~SEK 1,100M</x:v>
      </x:c>
      <x:c r="G9" s="5" t="str">
        <x:v>Strong product development, mechanical engineering, and hardware-software design integration for connected health devices.</x:v>
      </x:c>
      <x:c r="H9" s="5" t="str">
        <x:v>Life science is only one of many divisions (alongside automotive, defense, and telecom); QA/RA is often treated as secondary to mechanical engineering; high overhead costs.</x:v>
      </x:c>
      <x:c r="I9" s="5" t="str">
        <x:v>2S provides 100% focused life sciences and clinical regulatory science, offering deeper clinical trial and health economics reimbursement capabilities.</x:v>
      </x:c>
      <x:c r="J9" s="5" t="str">
        <x:v>UNVERIFIED source judgments</x:v>
      </x:c>
      <x:c r="L9" s="31" t="str">
        <x:v>D08, Markdown line 42; http://nas-1.tail55d152.ts.net:4100/static/NORDIC_MEDTECH_COMPETITIVE_LANDSCAPE_AND_PEER_DOSSIER.html</x:v>
      </x:c>
    </x:row>
    <x:row r="10" ht="56" customHeight="1">
      <x:c r="A10" s="5" t="str">
        <x:v>D08</x:v>
      </x:c>
      <x:c r="B10" s="5" t="n">
        <x:v>3</x:v>
      </x:c>
      <x:c r="C10" s="5" t="str">
        <x:v>Qadvis AB (Kista / Stockholm)</x:v>
      </x:c>
      <x:c r="D10" s="5" t="str">
        <x:v>Cluster A: Dedicated Nordic QA/RA &amp; Life Science Boutiques</x:v>
      </x:c>
      <x:c r="E10" s="5" t="str">
        <x:v>Highly specialized boutique focusing exclusively on medical devices, IVDs, and ISO 13485 quality systems.</x:v>
      </x:c>
      <x:c r="F10" s="5" t="str">
        <x:v>~25 senior consultants | Revenue: ~SEK 35M</x:v>
      </x:c>
      <x:c r="G10" s="5" t="str">
        <x:v>High technical respect among Swedish medical device regulatory leads; former notified body auditors on staff.</x:v>
      </x:c>
      <x:c r="H10" s="5" t="str">
        <x:v>Boutique capacity constraints; long lead times for new client onboarding; limited software engineering and AI validation capabilities.</x:v>
      </x:c>
      <x:c r="I10" s="5" t="str">
        <x:v>2S combines senior regulatory authority with full-stack software engineering and automated audit trail generation.</x:v>
      </x:c>
      <x:c r="J10" s="5" t="str">
        <x:v>UNVERIFIED source judgments</x:v>
      </x:c>
      <x:c r="L10" s="31" t="str">
        <x:v>D08, Markdown line 49; http://nas-1.tail55d152.ts.net:4100/static/NORDIC_MEDTECH_COMPETITIVE_LANDSCAPE_AND_PEER_DOSSIER.html</x:v>
      </x:c>
    </x:row>
    <x:row r="11" ht="56" customHeight="1">
      <x:c r="A11" s="5" t="str">
        <x:v>D08</x:v>
      </x:c>
      <x:c r="B11" s="5" t="n">
        <x:v>4</x:v>
      </x:c>
      <x:c r="C11" s="5" t="str">
        <x:v>Semcon Life Science (Gothenburg, Stockholm, Uppsala)</x:v>
      </x:c>
      <x:c r="D11" s="5" t="str">
        <x:v>Cluster A: Dedicated Nordic QA/RA &amp; Life Science Boutiques</x:v>
      </x:c>
      <x:c r="E11" s="5" t="str">
        <x:v>Engineering services giant with specialized life science teams focused on medical device product design, validation, and production automation.</x:v>
      </x:c>
      <x:c r="F11" s="5" t="str">
        <x:v>~1,800 total (Life Science ~300) | Revenue: ~SEK 1,800M</x:v>
      </x:c>
      <x:c r="G11" s="5" t="str">
        <x:v>Massive engineering horsepower; extensive experience in design controls (ISO 13485 / 21 CFR 820) and manufacturing transfer.</x:v>
      </x:c>
      <x:c r="H11" s="5" t="str">
        <x:v>Heavy matrix organization; high billing rates with layers of account management; limited health economics and post-market clinical follow-up (PMCF) capabilities.</x:v>
      </x:c>
      <x:c r="I11" s="5" t="str">
        <x:v>2S delivers faster agility, zero bureaucratic overhead, and end-to-end clinical trial-to-commercialization coverage.</x:v>
      </x:c>
      <x:c r="J11" s="5" t="str">
        <x:v>UNVERIFIED source judgments</x:v>
      </x:c>
      <x:c r="L11" s="31" t="str">
        <x:v>D08, Markdown line 56; http://nas-1.tail55d152.ts.net:4100/static/NORDIC_MEDTECH_COMPETITIVE_LANDSCAPE_AND_PEER_DOSSIER.html</x:v>
      </x:c>
    </x:row>
    <x:row r="12" ht="56" customHeight="1">
      <x:c r="A12" s="5" t="str">
        <x:v>D08</x:v>
      </x:c>
      <x:c r="B12" s="5" t="n">
        <x:v>5</x:v>
      </x:c>
      <x:c r="C12" s="5" t="str">
        <x:v>Prevas AB (Västerås, Stockholm, Gothenburg, Copenhagen)</x:v>
      </x:c>
      <x:c r="D12" s="5" t="str">
        <x:v>Cluster A: Dedicated Nordic QA/RA &amp; Life Science Boutiques</x:v>
      </x:c>
      <x:c r="E12" s="5" t="str">
        <x:v>Nordic engineering consultancy focused on embedded systems, IoT medical devices, and industrial life science automation.</x:v>
      </x:c>
      <x:c r="F12" s="5" t="str">
        <x:v>~850 consultants | Revenue: ~SEK 1,400M</x:v>
      </x:c>
      <x:c r="G12" s="5" t="str">
        <x:v>Exceptional embedded software, firmware, and electronics engineering for connected point-of-care instruments.</x:v>
      </x:c>
      <x:c r="H12" s="5" t="str">
        <x:v>Engineering-first culture; weaker in clinical evidence generation, clinical evaluation reports (CER), and payer reimbursement dossiers (TLV/DMP).</x:v>
      </x:c>
      <x:c r="I12" s="5" t="str">
        <x:v>2S bridges technical software design directly with clinical medical affairs and health economic value demonstration.</x:v>
      </x:c>
      <x:c r="J12" s="5" t="str">
        <x:v>UNVERIFIED source judgments</x:v>
      </x:c>
      <x:c r="L12" s="31" t="str">
        <x:v>D08, Markdown line 63; http://nas-1.tail55d152.ts.net:4100/static/NORDIC_MEDTECH_COMPETITIVE_LANDSCAPE_AND_PEER_DOSSIER.html</x:v>
      </x:c>
    </x:row>
    <x:row r="13" ht="56" customHeight="1">
      <x:c r="A13" s="5" t="str">
        <x:v>D08</x:v>
      </x:c>
      <x:c r="B13" s="5" t="n">
        <x:v>6</x:v>
      </x:c>
      <x:c r="C13" s="5" t="str">
        <x:v>Emergo by UL (Nordic coverage via Lund/Stockholm &amp; Global Hubs)</x:v>
      </x:c>
      <x:c r="D13" s="5" t="str">
        <x:v>Cluster B: Global Regulatory &amp; Clinical Advisory Houses</x:v>
      </x:c>
      <x:c r="E13" s="5" t="str">
        <x:v>Global regulatory affairs consultancy division of Underwriters Laboratories (UL), providing global market access, human factors, and QA/RA.</x:v>
      </x:c>
      <x:c r="F13" s="5" t="str">
        <x:v>500+ globally | Parent Revenue: &gt;$2.5B</x:v>
      </x:c>
      <x:c r="G13" s="5" t="str">
        <x:v>Global geographic reach for regulatory submissions (FDA, CE, NMPA, PMDA, TGA); recognized human factors engineering practice.</x:v>
      </x:c>
      <x:c r="H13" s="5" t="str">
        <x:v>Highly transactional and templated; expensive global overhead; slow response times; lack of hands-on software engineering support.</x:v>
      </x:c>
      <x:c r="I13" s="5" t="str">
        <x:v>2S provides intimate senior partner engagement with hands-on technical remediation and local Nordic operational presence.</x:v>
      </x:c>
      <x:c r="J13" s="5" t="str">
        <x:v>UNVERIFIED source judgments</x:v>
      </x:c>
      <x:c r="L13" s="31" t="str">
        <x:v>D08, Markdown line 74; http://nas-1.tail55d152.ts.net:4100/static/NORDIC_MEDTECH_COMPETITIVE_LANDSCAPE_AND_PEER_DOSSIER.html</x:v>
      </x:c>
    </x:row>
    <x:row r="14" ht="56" customHeight="1">
      <x:c r="A14" s="5" t="str">
        <x:v>D08</x:v>
      </x:c>
      <x:c r="B14" s="5" t="n">
        <x:v>7</x:v>
      </x:c>
      <x:c r="C14" s="5" t="str">
        <x:v>LINK Medical Research (Oslo, Stockholm, Copenhagen)</x:v>
      </x:c>
      <x:c r="D14" s="5" t="str">
        <x:v>Cluster B: Global Regulatory &amp; Clinical Advisory Houses</x:v>
      </x:c>
      <x:c r="E14" s="5" t="str">
        <x:v>Leading Northern European full-service Contract Research Organization (CRO) offering clinical development, regulatory affairs, and post-market surveillance.</x:v>
      </x:c>
      <x:c r="F14" s="5" t="str">
        <x:v>~220 specialists | Revenue: ~NOK 350M</x:v>
      </x:c>
      <x:c r="G14" s="5" t="str">
        <x:v>Strong Nordic clinical site networks, electronic data capture (EDC), and protocol design; deep regional footprint across Norway, Sweden, and Denmark.</x:v>
      </x:c>
      <x:c r="H14" s="5" t="str">
        <x:v>Primarily focused on clinical trial execution rather than digital medical device software lifecycle (IEC 62304) or AI Act algorithm governance.</x:v>
      </x:c>
      <x:c r="I14" s="5" t="str">
        <x:v>Prime Strategic Co-opetition Partner. 2S can partner with LINK Medical to handle digital SaMD, cybersecurity, and AI Act compliance while LINK runs the clinical sites.</x:v>
      </x:c>
      <x:c r="J14" s="5" t="str">
        <x:v>UNVERIFIED source judgments</x:v>
      </x:c>
      <x:c r="L14" s="31" t="str">
        <x:v>D08, Markdown line 81; http://nas-1.tail55d152.ts.net:4100/static/NORDIC_MEDTECH_COMPETITIVE_LANDSCAPE_AND_PEER_DOSSIER.html</x:v>
      </x:c>
    </x:row>
    <x:row r="15" ht="56" customHeight="1">
      <x:c r="A15" s="5" t="str">
        <x:v>D08</x:v>
      </x:c>
      <x:c r="B15" s="5" t="n">
        <x:v>8</x:v>
      </x:c>
      <x:c r="C15" s="5" t="str">
        <x:v>ProPharma Group (Nordic presence via acquisitions)</x:v>
      </x:c>
      <x:c r="D15" s="5" t="str">
        <x:v>Cluster B: Global Regulatory &amp; Clinical Advisory Houses</x:v>
      </x:c>
      <x:c r="E15" s="5" t="str">
        <x:v>Global compliance, regulatory sciences, and pharmacovigilance consultancy supporting pharma, biotech, and medtech.</x:v>
      </x:c>
      <x:c r="F15" s="5" t="str">
        <x:v>2,500+ globally | Revenue: Private Equity backed</x:v>
      </x:c>
      <x:c r="G15" s="5" t="str">
        <x:v>Comprehensive pharmacovigilance and medical communications; deep FDA/EMA pharmaceutical submission experience.</x:v>
      </x:c>
      <x:c r="H15" s="5" t="str">
        <x:v>Primary heritage is pharmaceutical; less agile in high-speed medical device software, SaMD Rule 11, and cybersecurity (MDCG 2019-16).</x:v>
      </x:c>
      <x:c r="I15" s="5" t="str">
        <x:v>2S specializes in digital health, AI algorithms, and connected medtech devices.</x:v>
      </x:c>
      <x:c r="J15" s="5" t="str">
        <x:v>UNVERIFIED source judgments</x:v>
      </x:c>
      <x:c r="L15" s="31" t="str">
        <x:v>D08, Markdown line 88; http://nas-1.tail55d152.ts.net:4100/static/NORDIC_MEDTECH_COMPETITIVE_LANDSCAPE_AND_PEER_DOSSIER.html</x:v>
      </x:c>
    </x:row>
    <x:row r="16" ht="56" customHeight="1">
      <x:c r="A16" s="5" t="str">
        <x:v>D08</x:v>
      </x:c>
      <x:c r="B16" s="5" t="n">
        <x:v>9</x:v>
      </x:c>
      <x:c r="C16" s="5" t="str">
        <x:v>Celegence (Global with European Delivery)</x:v>
      </x:c>
      <x:c r="D16" s="5" t="str">
        <x:v>Cluster B: Global Regulatory &amp; Clinical Advisory Houses</x:v>
      </x:c>
      <x:c r="E16" s="5" t="str">
        <x:v>Technology-enabled regulatory services provider specializing in EU MDR technical documentation and IVDR transition automation.</x:v>
      </x:c>
      <x:c r="F16" s="5" t="str">
        <x:v>~150 specialists</x:v>
      </x:c>
      <x:c r="G16" s="5" t="str">
        <x:v>Modern software-assisted regulatory writing; strong focus on CER/PER authoring.</x:v>
      </x:c>
      <x:c r="H16" s="5" t="str">
        <x:v>Offshore writing centers can struggle with nuanced Nordic notified body expectations and lack local on-site Swedish/Danish presence.</x:v>
      </x:c>
      <x:c r="I16" s="5" t="str">
        <x:v>2S provides on-site Nordic presence, Swiss quality standards, and deep technical engineering integration.</x:v>
      </x:c>
      <x:c r="J16" s="5" t="str">
        <x:v>UNVERIFIED source judgments</x:v>
      </x:c>
      <x:c r="L16" s="31" t="str">
        <x:v>D08, Markdown line 95; http://nas-1.tail55d152.ts.net:4100/static/NORDIC_MEDTECH_COMPETITIVE_LANDSCAPE_AND_PEER_DOSSIER.html</x:v>
      </x:c>
    </x:row>
    <x:row r="17" ht="56" customHeight="1">
      <x:c r="A17" s="5" t="str">
        <x:v>D08</x:v>
      </x:c>
      <x:c r="B17" s="5" t="n">
        <x:v>10</x:v>
      </x:c>
      <x:c r="C17" s="5" t="str">
        <x:v>PA Consulting Group (Stockholm, Copenhagen, London)</x:v>
      </x:c>
      <x:c r="D17" s="5" t="str">
        <x:v>Cluster C: Strategic Management &amp; Specialized Health Economics Consultancies</x:v>
      </x:c>
      <x:c r="E17" s="5" t="str">
        <x:v>Global innovation and management consultancy with an acclaimed medical device design and commercial strategy team in Scandinavia.</x:v>
      </x:c>
      <x:c r="F17" s="5" t="str">
        <x:v>~4,000 globally | Revenue: &gt;£800M</x:v>
      </x:c>
      <x:c r="G17" s="5" t="str">
        <x:v>World-class industrial design, user experience, and breakthrough device prototyping; high boardroom prestige.</x:v>
      </x:c>
      <x:c r="H17" s="5" t="str">
        <x:v>Premium strategy billing rates (SEK 25,000–35,000/day); rarely handles the unglamorous day-to-day notified body audit defense or detailed technical remediation.</x:v>
      </x:c>
      <x:c r="I17" s="5" t="str">
        <x:v>2S provides pragmatic, operational execution and continuous compliance management at half the total cost of ownership.</x:v>
      </x:c>
      <x:c r="J17" s="5" t="str">
        <x:v>UNVERIFIED source judgments</x:v>
      </x:c>
      <x:c r="L17" s="31" t="str">
        <x:v>D08, Markdown line 106; http://nas-1.tail55d152.ts.net:4100/static/NORDIC_MEDTECH_COMPETITIVE_LANDSCAPE_AND_PEER_DOSSIER.html</x:v>
      </x:c>
    </x:row>
    <x:row r="18" ht="56" customHeight="1">
      <x:c r="A18" s="5" t="str">
        <x:v>D08</x:v>
      </x:c>
      <x:c r="B18" s="5" t="n">
        <x:v>11</x:v>
      </x:c>
      <x:c r="C18" s="5" t="str">
        <x:v>Sirona Health Solutions (Stockholm, Gothenburg)</x:v>
      </x:c>
      <x:c r="D18" s="5" t="str">
        <x:v>Cluster C: Strategic Management &amp; Specialized Health Economics Consultancies</x:v>
      </x:c>
      <x:c r="E18" s="5" t="str">
        <x:v>Specialized Nordic healthcare management consultancy focusing on health economics, value-based healthcare, and public healthcare system transformation.</x:v>
      </x:c>
      <x:c r="F18" s="5" t="str">
        <x:v>~40 consultants | Revenue: ~SEK 60M</x:v>
      </x:c>
      <x:c r="G18" s="5" t="str">
        <x:v>Exceptional relationships with Swedish regional healthcare authorities (Region Stockholm, Västra Götaland, Region Skåne); deep TLV reimbursement expertise.</x:v>
      </x:c>
      <x:c r="H18" s="5" t="str">
        <x:v>Purely health systems and policy focused; does not perform medical device engineering, ISO 13485 QMS design, or software validation.</x:v>
      </x:c>
      <x:c r="I18" s="5" t="str">
        <x:v>Potential Alliance Partner. 2S handles the technical/clinical files and combines with Sirona for complex public hospital procurement tenders.</x:v>
      </x:c>
      <x:c r="J18" s="5" t="str">
        <x:v>UNVERIFIED source judgments</x:v>
      </x:c>
      <x:c r="L18" s="31" t="str">
        <x:v>D08, Markdown line 113; http://nas-1.tail55d152.ts.net:4100/static/NORDIC_MEDTECH_COMPETITIVE_LANDSCAPE_AND_PEER_DOSSIER.html</x:v>
      </x:c>
    </x:row>
    <x:row r="19" ht="56" customHeight="1">
      <x:c r="A19" s="5" t="str">
        <x:v>D08</x:v>
      </x:c>
      <x:c r="B19" s="5" t="n">
        <x:v>12</x:v>
      </x:c>
      <x:c r="C19" s="5" t="str">
        <x:v>IQVIA Nordic (Solna/Stockholm, Copenhagen)</x:v>
      </x:c>
      <x:c r="D19" s="5" t="str">
        <x:v>Cluster C: Strategic Management &amp; Specialized Health Economics Consultancies</x:v>
      </x:c>
      <x:c r="E19" s="5" t="str">
        <x:v>Global life sciences data, analytics, and clinical research powerhouse with massive presence across Scandinavia.</x:v>
      </x:c>
      <x:c r="F19" s="5" t="str">
        <x:v>85,000+ globally | Revenue: &gt;$14B</x:v>
      </x:c>
      <x:c r="G19" s="5" t="str">
        <x:v>Unmatched prescription and clinical registry data assets; global commercial scaling capabilities.</x:v>
      </x:c>
      <x:c r="H19" s="5" t="str">
        <x:v>Massive bureaucratic inertia; prohibitively expensive for mid-market medtech; generic standardized consulting deliverables.</x:v>
      </x:c>
      <x:c r="I19" s="5" t="str">
        <x:v>2S provides bespoke, rapid-execution advisory with proprietary HCare360 platform integration for small-to-midsize Nordic innovators.</x:v>
      </x:c>
      <x:c r="J19" s="5" t="str">
        <x:v>UNVERIFIED source judgments</x:v>
      </x:c>
      <x:c r="L19" s="31" t="str">
        <x:v>D08, Markdown line 120; http://nas-1.tail55d152.ts.net:4100/static/NORDIC_MEDTECH_COMPETITIVE_LANDSCAPE_AND_PEER_DOSSIER.html</x:v>
      </x:c>
    </x:row>
    <x:row r="20" ht="42" customHeight="1">
      <x:c r="A20" s="5" t="str">
        <x:v>D07</x:v>
      </x:c>
      <x:c r="B20" s="5" t="n">
        <x:v>1</x:v>
      </x:c>
      <x:c r="C20" s="5" t="str">
        <x:v>Plantvision AB (~200 staff, Stockholm/Uppsala)</x:v>
      </x:c>
      <x:c r="D20" s="5" t="str">
        <x:v>Slide 3 peer list</x:v>
      </x:c>
      <x:c r="E20" s="5" t="str">
        <x:v>GxP compliance &amp; CSV. *Dynamic: Co-Opetition on AI Act algorithmic compliance.*</x:v>
      </x:c>
      <x:c r="F20" s="5" t="str">
        <x:v>Included in source profile label</x:v>
      </x:c>
      <x:c r="G20" s="5"/>
      <x:c r="H20" s="5"/>
      <x:c r="I20" s="5"/>
      <x:c r="J20" s="5" t="str">
        <x:v>UNVERIFIED source judgments</x:v>
      </x:c>
      <x:c r="L20" s="31" t="str">
        <x:v>D07, Markdown line 40; http://nas-1.tail55d152.ts.net:4100/static/NORDIC_COMPETITOR_BENCHMARK_DECK.html</x:v>
      </x:c>
    </x:row>
    <x:row r="21" ht="42" customHeight="1">
      <x:c r="A21" s="5" t="str">
        <x:v>D07</x:v>
      </x:c>
      <x:c r="B21" s="5" t="n">
        <x:v>2</x:v>
      </x:c>
      <x:c r="C21" s="5" t="str">
        <x:v>Knightec Group (~800 staff, Stockholm/Gothenburg/Lund)</x:v>
      </x:c>
      <x:c r="D21" s="5" t="str">
        <x:v>Slide 3 peer list</x:v>
      </x:c>
      <x:c r="E21" s="5" t="str">
        <x:v>Mechanical &amp; systems engineering. *Dynamic: Subcontracting for SaMD IEC 62304 architecture.*</x:v>
      </x:c>
      <x:c r="F21" s="5" t="str">
        <x:v>Included in source profile label</x:v>
      </x:c>
      <x:c r="G21" s="5"/>
      <x:c r="H21" s="5"/>
      <x:c r="I21" s="5"/>
      <x:c r="J21" s="5" t="str">
        <x:v>UNVERIFIED source judgments</x:v>
      </x:c>
      <x:c r="L21" s="31" t="str">
        <x:v>D07, Markdown line 41; http://nas-1.tail55d152.ts.net:4100/static/NORDIC_COMPETITOR_BENCHMARK_DECK.html</x:v>
      </x:c>
    </x:row>
    <x:row r="22" ht="42" customHeight="1">
      <x:c r="A22" s="5" t="str">
        <x:v>D07</x:v>
      </x:c>
      <x:c r="B22" s="5" t="n">
        <x:v>3</x:v>
      </x:c>
      <x:c r="C22" s="5" t="str">
        <x:v>Qadvis AB (~35 staff, Stockholm/Lund)</x:v>
      </x:c>
      <x:c r="D22" s="5" t="str">
        <x:v>Slide 3 peer list</x:v>
      </x:c>
      <x:c r="E22" s="5" t="str">
        <x:v>MDR/IVDR regulatory advisory. *Dynamic: Technology Partner licensing HCare360 NLP.*</x:v>
      </x:c>
      <x:c r="F22" s="5" t="str">
        <x:v>Included in source profile label</x:v>
      </x:c>
      <x:c r="G22" s="5"/>
      <x:c r="H22" s="5"/>
      <x:c r="I22" s="5"/>
      <x:c r="J22" s="5" t="str">
        <x:v>UNVERIFIED source judgments</x:v>
      </x:c>
      <x:c r="L22" s="31" t="str">
        <x:v>D07, Markdown line 42; http://nas-1.tail55d152.ts.net:4100/static/NORDIC_COMPETITOR_BENCHMARK_DECK.html</x:v>
      </x:c>
    </x:row>
    <x:row r="23" ht="42" customHeight="1">
      <x:c r="A23" s="5" t="str">
        <x:v>D07</x:v>
      </x:c>
      <x:c r="B23" s="5" t="n">
        <x:v>4</x:v>
      </x:c>
      <x:c r="C23" s="5" t="str">
        <x:v>Semcon (~1,200 staff, Gothenburg/Stockholm)</x:v>
      </x:c>
      <x:c r="D23" s="5" t="str">
        <x:v>Slide 3 peer list</x:v>
      </x:c>
      <x:c r="E23" s="5" t="str">
        <x:v>Product design &amp; aftermarket. *Dynamic: Co-selling Alliance for Device DaaS &amp; hospital economics.*</x:v>
      </x:c>
      <x:c r="F23" s="5" t="str">
        <x:v>Included in source profile label</x:v>
      </x:c>
      <x:c r="G23" s="5"/>
      <x:c r="H23" s="5"/>
      <x:c r="I23" s="5"/>
      <x:c r="J23" s="5" t="str">
        <x:v>UNVERIFIED source judgments</x:v>
      </x:c>
      <x:c r="L23" s="31" t="str">
        <x:v>D07, Markdown line 43; http://nas-1.tail55d152.ts.net:4100/static/NORDIC_COMPETITOR_BENCHMARK_DECK.html</x:v>
      </x:c>
    </x:row>
    <x:row r="24" ht="42" customHeight="1">
      <x:c r="A24" s="5" t="str">
        <x:v>D07</x:v>
      </x:c>
      <x:c r="B24" s="5" t="n">
        <x:v>5</x:v>
      </x:c>
      <x:c r="C24" s="5" t="str">
        <x:v>Prevas AB (~900 staff, Västerås/Malmö)</x:v>
      </x:c>
      <x:c r="D24" s="5" t="str">
        <x:v>Slide 3 peer list</x:v>
      </x:c>
      <x:c r="E24" s="5" t="str">
        <x:v>Industrial IoT &amp; embedded systems. *Dynamic: Subcontracting for medical cloud cybersecurity (MDCG 2019-16).*</x:v>
      </x:c>
      <x:c r="F24" s="5" t="str">
        <x:v>Included in source profile label</x:v>
      </x:c>
      <x:c r="G24" s="5"/>
      <x:c r="H24" s="5"/>
      <x:c r="I24" s="5"/>
      <x:c r="J24" s="5" t="str">
        <x:v>UNVERIFIED source judgments</x:v>
      </x:c>
      <x:c r="L24" s="31" t="str">
        <x:v>D07, Markdown line 44; http://nas-1.tail55d152.ts.net:4100/static/NORDIC_COMPETITOR_BENCHMARK_DECK.html</x:v>
      </x:c>
    </x:row>
    <x:row r="25" ht="42" customHeight="1">
      <x:c r="A25" s="5" t="str">
        <x:v>D07</x:v>
      </x:c>
      <x:c r="B25" s="5" t="n">
        <x:v>6</x:v>
      </x:c>
      <x:c r="C25" s="5" t="str">
        <x:v>Emergo by UL (~2,500 global, Stockholm office)</x:v>
      </x:c>
      <x:c r="D25" s="5" t="str">
        <x:v>Slide 3 peer list</x:v>
      </x:c>
      <x:c r="E25" s="5" t="str">
        <x:v>Global market access. *Dynamic: Counter-positioning as agile, local SWAT team.*</x:v>
      </x:c>
      <x:c r="F25" s="5" t="str">
        <x:v>Included in source profile label</x:v>
      </x:c>
      <x:c r="G25" s="5"/>
      <x:c r="H25" s="5"/>
      <x:c r="I25" s="5"/>
      <x:c r="J25" s="5" t="str">
        <x:v>UNVERIFIED source judgments</x:v>
      </x:c>
      <x:c r="L25" s="31" t="str">
        <x:v>D07, Markdown line 45; http://nas-1.tail55d152.ts.net:4100/static/NORDIC_COMPETITOR_BENCHMARK_DECK.html</x:v>
      </x:c>
    </x:row>
    <x:row r="26" ht="42" customHeight="1">
      <x:c r="A26" s="5" t="str">
        <x:v>D07</x:v>
      </x:c>
      <x:c r="B26" s="5" t="n">
        <x:v>7</x:v>
      </x:c>
      <x:c r="C26" s="5" t="str">
        <x:v>LINK Medical (~250 staff, Oslo/Stockholm/Copenhagen)</x:v>
      </x:c>
      <x:c r="D26" s="5" t="str">
        <x:v>Slide 3 peer list</x:v>
      </x:c>
      <x:c r="E26" s="5" t="str">
        <x:v>Full-service CRO. *Dynamic: Technology Partner deploying HCare360 NLP patient screening.*</x:v>
      </x:c>
      <x:c r="F26" s="5" t="str">
        <x:v>Included in source profile label</x:v>
      </x:c>
      <x:c r="G26" s="5"/>
      <x:c r="H26" s="5"/>
      <x:c r="I26" s="5"/>
      <x:c r="J26" s="5" t="str">
        <x:v>UNVERIFIED source judgments</x:v>
      </x:c>
      <x:c r="L26" s="31" t="str">
        <x:v>D07, Markdown line 46; http://nas-1.tail55d152.ts.net:4100/static/NORDIC_COMPETITOR_BENCHMARK_DECK.html</x:v>
      </x:c>
    </x:row>
    <x:row r="27" ht="42" customHeight="1">
      <x:c r="A27" s="5" t="str">
        <x:v>D07</x:v>
      </x:c>
      <x:c r="B27" s="5" t="n">
        <x:v>8</x:v>
      </x:c>
      <x:c r="C27" s="5" t="str">
        <x:v>PA Consulting (~4,000 global, Nordic offices)</x:v>
      </x:c>
      <x:c r="D27" s="5" t="str">
        <x:v>Slide 3 peer list</x:v>
      </x:c>
      <x:c r="E27" s="5" t="str">
        <x:v>Public strategy &amp; transformation. *Dynamic: Technical execution partner for digital health.*</x:v>
      </x:c>
      <x:c r="F27" s="5" t="str">
        <x:v>Included in source profile label</x:v>
      </x:c>
      <x:c r="G27" s="5"/>
      <x:c r="H27" s="5"/>
      <x:c r="I27" s="5"/>
      <x:c r="J27" s="5" t="str">
        <x:v>UNVERIFIED source judgments</x:v>
      </x:c>
      <x:c r="L27" s="31" t="str">
        <x:v>D07, Markdown line 47; http://nas-1.tail55d152.ts.net:4100/static/NORDIC_COMPETITOR_BENCHMARK_DECK.html</x:v>
      </x:c>
    </x:row>
    <x:row r="28" ht="42" customHeight="1">
      <x:c r="A28" s="5" t="str">
        <x:v>D07</x:v>
      </x:c>
      <x:c r="B28" s="5" t="n">
        <x:v>9</x:v>
      </x:c>
      <x:c r="C28" s="5" t="str">
        <x:v>Celegence (~150 staff, Nordic delivery)</x:v>
      </x:c>
      <x:c r="D28" s="5" t="str">
        <x:v>Slide 3 peer list</x:v>
      </x:c>
      <x:c r="E28" s="5" t="str">
        <x:v>Regulatory operations &amp; technical files. *Dynamic: On-the-ground Nordic clinical execution partner.*</x:v>
      </x:c>
      <x:c r="F28" s="5" t="str">
        <x:v>Included in source profile label</x:v>
      </x:c>
      <x:c r="G28" s="5"/>
      <x:c r="H28" s="5"/>
      <x:c r="I28" s="5"/>
      <x:c r="J28" s="5" t="str">
        <x:v>UNVERIFIED source judgments</x:v>
      </x:c>
      <x:c r="L28" s="31" t="str">
        <x:v>D07, Markdown line 48; http://nas-1.tail55d152.ts.net:4100/static/NORDIC_COMPETITOR_BENCHMARK_DECK.html</x:v>
      </x:c>
    </x:row>
    <x:row r="29" ht="42" customHeight="1">
      <x:c r="A29" s="5" t="str">
        <x:v>D07</x:v>
      </x:c>
      <x:c r="B29" s="5" t="n">
        <x:v>10</x:v>
      </x:c>
      <x:c r="C29" s="5" t="str">
        <x:v>Sirona Health Solutions (~40 staff, Stockholm/Copenhagen)</x:v>
      </x:c>
      <x:c r="D29" s="5" t="str">
        <x:v>Slide 3 peer list</x:v>
      </x:c>
      <x:c r="E29" s="5" t="str">
        <x:v>Health policy &amp; economics. *Dynamic: Commercial co-sell for hospital DaaS calculators.*</x:v>
      </x:c>
      <x:c r="F29" s="5" t="str">
        <x:v>Included in source profile label</x:v>
      </x:c>
      <x:c r="G29" s="5"/>
      <x:c r="H29" s="5"/>
      <x:c r="I29" s="5"/>
      <x:c r="J29" s="5" t="str">
        <x:v>UNVERIFIED source judgments</x:v>
      </x:c>
      <x:c r="L29" s="31" t="str">
        <x:v>D07, Markdown line 49; http://nas-1.tail55d152.ts.net:4100/static/NORDIC_COMPETITOR_BENCHMARK_DECK.html</x:v>
      </x:c>
    </x:row>
    <x:row r="30" ht="42" customHeight="1">
      <x:c r="A30" s="5" t="str">
        <x:v>D07</x:v>
      </x:c>
      <x:c r="B30" s="5" t="n">
        <x:v>11</x:v>
      </x:c>
      <x:c r="C30" s="5" t="str">
        <x:v>Key2Compliance (~80 staff, Stockholm/Lund)</x:v>
      </x:c>
      <x:c r="D30" s="5" t="str">
        <x:v>Slide 3 peer list</x:v>
      </x:c>
      <x:c r="E30" s="5" t="str">
        <x:v>QA/RA training &amp; auditing. *Dynamic: Cross-referral partner for technical software remediation.*</x:v>
      </x:c>
      <x:c r="F30" s="5" t="str">
        <x:v>Included in source profile label</x:v>
      </x:c>
      <x:c r="G30" s="5"/>
      <x:c r="H30" s="5"/>
      <x:c r="I30" s="5"/>
      <x:c r="J30" s="5" t="str">
        <x:v>UNVERIFIED source judgments</x:v>
      </x:c>
      <x:c r="L30" s="31" t="str">
        <x:v>D07, Markdown line 50; http://nas-1.tail55d152.ts.net:4100/static/NORDIC_COMPETITOR_BENCHMARK_DECK.html</x:v>
      </x:c>
    </x:row>
    <x:row r="31" ht="42" customHeight="1">
      <x:c r="A31" s="5" t="str">
        <x:v>D07</x:v>
      </x:c>
      <x:c r="B31" s="5" t="n">
        <x:v>12</x:v>
      </x:c>
      <x:c r="C31" s="5" t="str">
        <x:v>Syntagon AB (~45 staff, Södertälje)</x:v>
      </x:c>
      <x:c r="D31" s="5" t="str">
        <x:v>Slide 3 peer list</x:v>
      </x:c>
      <x:c r="E31" s="5" t="str">
        <x:v>Early API synthesis &amp; CMC. *Dynamic: Bridge early chemistry to downstream clinical trial governance.*</x:v>
      </x:c>
      <x:c r="F31" s="5" t="str">
        <x:v>Included in source profile label</x:v>
      </x:c>
      <x:c r="G31" s="5"/>
      <x:c r="H31" s="5"/>
      <x:c r="I31" s="5"/>
      <x:c r="J31" s="5" t="str">
        <x:v>UNVERIFIED source judgments</x:v>
      </x:c>
      <x:c r="L31" s="31" t="str">
        <x:v>D07, Markdown line 51; http://nas-1.tail55d152.ts.net:4100/static/NORDIC_COMPETITOR_BENCHMARK_DECK.html</x:v>
      </x:c>
    </x:row>
  </x:sheetData>
  <x:mergeCells>
    <x:mergeCell ref="A2:J2"/>
    <x:mergeCell ref="A3:J3"/>
    <x:mergeCell ref="A4:J4"/>
  </x:mergeCells>
  <x:pageMargins left="0.7" right="0.7" top="0.75" bottom="0.75" header="0.3" footer="0.3"/>
  <x:tableParts count="1">
    <x:tablePart xmlns:r="http://schemas.openxmlformats.org/officeDocument/2006/relationships" r:id="R9afd4450936d48a1"/>
  </x:tableParts>
</x:worksheet>
</file>

<file path=xl/worksheets/sheet13.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12" hidden="0" customWidth="1"/>
    <x:col min="2" max="2" width="15" hidden="0" customWidth="1"/>
    <x:col min="3" max="3" width="45" hidden="0" customWidth="1"/>
    <x:col min="4" max="4" width="13" hidden="0" customWidth="1"/>
    <x:col min="5" max="5" width="12" hidden="0" customWidth="1"/>
    <x:col min="6" max="6" width="45" hidden="0" customWidth="1"/>
    <x:col min="7" max="7" width="10" hidden="0" customWidth="1"/>
    <x:col min="8" max="8" width="10" hidden="0" customWidth="1"/>
    <x:col min="9" max="9" width="110" hidden="0" customWidth="1"/>
    <x:col min="10" max="10" width="34" hidden="0" customWidth="1"/>
    <x:col min="11" max="11" width="3" hidden="0" customWidth="1"/>
    <x:col min="12" max="12" width="95" hidden="0" customWidth="1"/>
  </x:cols>
  <x:sheetData>
    <x:row r="1">
      <x:c r="A1" s="24"/>
      <x:c r="B1" s="24"/>
      <x:c r="C1" s="24"/>
      <x:c r="D1" s="24"/>
      <x:c r="E1" s="24"/>
      <x:c r="F1" s="24"/>
      <x:c r="G1" s="24"/>
      <x:c r="H1" s="24"/>
      <x:c r="I1" s="24"/>
      <x:c r="J1" s="24"/>
    </x:row>
    <x:row r="2" ht="28" customHeight="1">
      <x:c r="A2" s="25" t="str">
        <x:v>All source table fields</x:v>
      </x:c>
      <x:c r="B2" s="24"/>
      <x:c r="C2" s="24"/>
      <x:c r="D2" s="24"/>
      <x:c r="E2" s="24"/>
      <x:c r="F2" s="24"/>
      <x:c r="G2" s="24"/>
      <x:c r="H2" s="24"/>
      <x:c r="I2" s="24"/>
      <x:c r="J2" s="24"/>
    </x:row>
    <x:row r="3">
      <x:c r="A3" s="24" t="str">
        <x:v>v0003 · 2026-09-28T10:47:52Z (UTC)</x:v>
      </x:c>
      <x:c r="B3" s="24"/>
      <x:c r="C3" s="24"/>
      <x:c r="D3" s="24"/>
      <x:c r="E3" s="24"/>
      <x:c r="F3" s="24"/>
      <x:c r="G3" s="24"/>
      <x:c r="H3" s="24"/>
      <x:c r="I3" s="24"/>
      <x:c r="J3" s="24"/>
    </x:row>
    <x:row r="4" ht="32" customHeight="1">
      <x:c r="A4" s="27" t="str">
        <x:v>Filter Doc ID and Table ID to reconstruct a table. Source row + Field no. identifies a cell. Part order preserves long values.</x:v>
      </x:c>
      <x:c r="B4" s="24"/>
      <x:c r="C4" s="24"/>
      <x:c r="D4" s="24"/>
      <x:c r="E4" s="24"/>
      <x:c r="F4" s="24"/>
      <x:c r="G4" s="24"/>
      <x:c r="H4" s="24"/>
      <x:c r="I4" s="24"/>
      <x:c r="J4" s="24"/>
    </x:row>
    <x:row r="5">
      <x:c r="A5" s="24"/>
      <x:c r="B5" s="24"/>
      <x:c r="C5" s="24"/>
      <x:c r="D5" s="24"/>
      <x:c r="E5" s="24"/>
      <x:c r="F5" s="24"/>
      <x:c r="G5" s="24"/>
      <x:c r="H5" s="24"/>
      <x:c r="I5" s="24"/>
      <x:c r="J5" s="24"/>
    </x:row>
    <x:row r="6">
      <x:c r="A6" s="24"/>
      <x:c r="B6" s="24"/>
      <x:c r="C6" s="24"/>
      <x:c r="D6" s="24"/>
      <x:c r="E6" s="24"/>
      <x:c r="F6" s="24"/>
      <x:c r="G6" s="24"/>
      <x:c r="H6" s="24"/>
      <x:c r="I6" s="24"/>
      <x:c r="J6" s="24"/>
    </x:row>
    <x:row r="7" ht="42" customHeight="1">
      <x:c r="A7" s="29" t="str">
        <x:v>Doc ID</x:v>
      </x:c>
      <x:c r="B7" s="29" t="str">
        <x:v>Table ID</x:v>
      </x:c>
      <x:c r="C7" s="29" t="str">
        <x:v>Source section</x:v>
      </x:c>
      <x:c r="D7" s="29" t="str">
        <x:v>Source row</x:v>
      </x:c>
      <x:c r="E7" s="29" t="str">
        <x:v>Field no.</x:v>
      </x:c>
      <x:c r="F7" s="29" t="str">
        <x:v>Source field label</x:v>
      </x:c>
      <x:c r="G7" s="29" t="str">
        <x:v>Part</x:v>
      </x:c>
      <x:c r="H7" s="29" t="str">
        <x:v>Parts</x:v>
      </x:c>
      <x:c r="I7" s="29" t="str">
        <x:v>Source value</x:v>
      </x:c>
      <x:c r="J7" s="29" t="str">
        <x:v>Status</x:v>
      </x:c>
      <x:c r="L7" s="31" t="str">
        <x:v>Document source and locator</x:v>
      </x:c>
    </x:row>
    <x:row r="8" ht="42" customHeight="1">
      <x:c r="A8" s="5" t="str">
        <x:v>D01</x:v>
      </x:c>
      <x:c r="B8" s="5" t="str">
        <x:v>D01-T01</x:v>
      </x:c>
      <x:c r="C8" s="5" t="str">
        <x:v>2.2 STPA (System-Theoretic Process Analysis) Hazard Control</x:v>
      </x:c>
      <x:c r="D8" s="5" t="n">
        <x:v>94</x:v>
      </x:c>
      <x:c r="E8" s="5" t="n">
        <x:v>1</x:v>
      </x:c>
      <x:c r="F8" s="5" t="str">
        <x:v>Hazard ID</x:v>
      </x:c>
      <x:c r="G8" s="5" t="n">
        <x:v>1</x:v>
      </x:c>
      <x:c r="H8" s="5" t="n">
        <x:v>1</x:v>
      </x:c>
      <x:c r="I8" s="5" t="str">
        <x:v>$H_{\text{comm}-1}$</x:v>
      </x:c>
      <x:c r="J8" s="5" t="str">
        <x:v>SOURCE QUOTE; unvalidated / superseded assessments</x:v>
      </x:c>
      <x:c r="L8" s="31" t="str">
        <x:v>D01, Markdown line 94; http://nas-1.tail55d152.ts.net:4100/static/2S_CONSULTING_NORDIC_OUTREACH_STRATEGY.html</x:v>
      </x:c>
    </x:row>
    <x:row r="9" ht="42" customHeight="1">
      <x:c r="A9" s="5" t="str">
        <x:v>D01</x:v>
      </x:c>
      <x:c r="B9" s="5" t="str">
        <x:v>D01-T01</x:v>
      </x:c>
      <x:c r="C9" s="5" t="str">
        <x:v>2.2 STPA (System-Theoretic Process Analysis) Hazard Control</x:v>
      </x:c>
      <x:c r="D9" s="5" t="n">
        <x:v>94</x:v>
      </x:c>
      <x:c r="E9" s="5" t="n">
        <x:v>2</x:v>
      </x:c>
      <x:c r="F9" s="5" t="str">
        <x:v>Systemic Commercial Hazard</x:v>
      </x:c>
      <x:c r="G9" s="5" t="n">
        <x:v>1</x:v>
      </x:c>
      <x:c r="H9" s="5" t="n">
        <x:v>1</x:v>
      </x:c>
      <x:c r="I9" s="5" t="str">
        <x:v>Procurement Gridlock Stagnation</x:v>
      </x:c>
      <x:c r="J9" s="5" t="str">
        <x:v>SOURCE QUOTE; unvalidated / superseded assessments</x:v>
      </x:c>
      <x:c r="L9" s="31" t="str">
        <x:v>D01, Markdown line 94; http://nas-1.tail55d152.ts.net:4100/static/2S_CONSULTING_NORDIC_OUTREACH_STRATEGY.html</x:v>
      </x:c>
    </x:row>
    <x:row r="10" ht="42" customHeight="1">
      <x:c r="A10" s="5" t="str">
        <x:v>D01</x:v>
      </x:c>
      <x:c r="B10" s="5" t="str">
        <x:v>D01-T01</x:v>
      </x:c>
      <x:c r="C10" s="5" t="str">
        <x:v>2.2 STPA (System-Theoretic Process Analysis) Hazard Control</x:v>
      </x:c>
      <x:c r="D10" s="5" t="n">
        <x:v>94</x:v>
      </x:c>
      <x:c r="E10" s="5" t="n">
        <x:v>3</x:v>
      </x:c>
      <x:c r="F10" s="5" t="str">
        <x:v>Causal Process Factor</x:v>
      </x:c>
      <x:c r="G10" s="5" t="n">
        <x:v>1</x:v>
      </x:c>
      <x:c r="H10" s="5" t="n">
        <x:v>1</x:v>
      </x:c>
      <x:c r="I10" s="5" t="str">
        <x:v>Cold pitching large enterprise retainers (&gt;€150,000) triggering 9-month central procurement reviews.</x:v>
      </x:c>
      <x:c r="J10" s="5" t="str">
        <x:v>SOURCE QUOTE; unvalidated / superseded assessments</x:v>
      </x:c>
      <x:c r="L10" s="31" t="str">
        <x:v>D01, Markdown line 94; http://nas-1.tail55d152.ts.net:4100/static/2S_CONSULTING_NORDIC_OUTREACH_STRATEGY.html</x:v>
      </x:c>
    </x:row>
    <x:row r="11" ht="42" customHeight="1">
      <x:c r="A11" s="5" t="str">
        <x:v>D01</x:v>
      </x:c>
      <x:c r="B11" s="5" t="str">
        <x:v>D01-T01</x:v>
      </x:c>
      <x:c r="C11" s="5" t="str">
        <x:v>2.2 STPA (System-Theoretic Process Analysis) Hazard Control</x:v>
      </x:c>
      <x:c r="D11" s="5" t="n">
        <x:v>94</x:v>
      </x:c>
      <x:c r="E11" s="5" t="n">
        <x:v>4</x:v>
      </x:c>
      <x:c r="F11" s="5" t="str">
        <x:v>Codex Astra Safety Constraint</x:v>
      </x:c>
      <x:c r="G11" s="5" t="n">
        <x:v>1</x:v>
      </x:c>
      <x:c r="H11" s="5" t="n">
        <x:v>1</x:v>
      </x:c>
      <x:c r="I11" s="5" t="str">
        <x:v>Enforce Invariant $I_1$: Lead exclusively with fixed-price wedges (&lt;€35,000) invoiced locally via Bountytek AB.</x:v>
      </x:c>
      <x:c r="J11" s="5" t="str">
        <x:v>SOURCE QUOTE; unvalidated / superseded assessments</x:v>
      </x:c>
      <x:c r="L11" s="31" t="str">
        <x:v>D01, Markdown line 94; http://nas-1.tail55d152.ts.net:4100/static/2S_CONSULTING_NORDIC_OUTREACH_STRATEGY.html</x:v>
      </x:c>
    </x:row>
    <x:row r="12" ht="42" customHeight="1">
      <x:c r="A12" s="5" t="str">
        <x:v>D01</x:v>
      </x:c>
      <x:c r="B12" s="5" t="str">
        <x:v>D01-T01</x:v>
      </x:c>
      <x:c r="C12" s="5" t="str">
        <x:v>2.2 STPA (System-Theoretic Process Analysis) Hazard Control</x:v>
      </x:c>
      <x:c r="D12" s="5" t="n">
        <x:v>95</x:v>
      </x:c>
      <x:c r="E12" s="5" t="n">
        <x:v>1</x:v>
      </x:c>
      <x:c r="F12" s="5" t="str">
        <x:v>Hazard ID</x:v>
      </x:c>
      <x:c r="G12" s="5" t="n">
        <x:v>1</x:v>
      </x:c>
      <x:c r="H12" s="5" t="n">
        <x:v>1</x:v>
      </x:c>
      <x:c r="I12" s="5" t="str">
        <x:v>$H_{\text{comm}-2}$</x:v>
      </x:c>
      <x:c r="J12" s="5" t="str">
        <x:v>SOURCE QUOTE; unvalidated / superseded assessments</x:v>
      </x:c>
      <x:c r="L12" s="31" t="str">
        <x:v>D01, Markdown line 95; http://nas-1.tail55d152.ts.net:4100/static/2S_CONSULTING_NORDIC_OUTREACH_STRATEGY.html</x:v>
      </x:c>
    </x:row>
    <x:row r="13" ht="42" customHeight="1">
      <x:c r="A13" s="5" t="str">
        <x:v>D01</x:v>
      </x:c>
      <x:c r="B13" s="5" t="str">
        <x:v>D01-T01</x:v>
      </x:c>
      <x:c r="C13" s="5" t="str">
        <x:v>2.2 STPA (System-Theoretic Process Analysis) Hazard Control</x:v>
      </x:c>
      <x:c r="D13" s="5" t="n">
        <x:v>95</x:v>
      </x:c>
      <x:c r="E13" s="5" t="n">
        <x:v>2</x:v>
      </x:c>
      <x:c r="F13" s="5" t="str">
        <x:v>Systemic Commercial Hazard</x:v>
      </x:c>
      <x:c r="G13" s="5" t="n">
        <x:v>1</x:v>
      </x:c>
      <x:c r="H13" s="5" t="n">
        <x:v>1</x:v>
      </x:c>
      <x:c r="I13" s="5" t="str">
        <x:v>Regulatory Misclassification Liability</x:v>
      </x:c>
      <x:c r="J13" s="5" t="str">
        <x:v>SOURCE QUOTE; unvalidated / superseded assessments</x:v>
      </x:c>
      <x:c r="L13" s="31" t="str">
        <x:v>D01, Markdown line 95; http://nas-1.tail55d152.ts.net:4100/static/2S_CONSULTING_NORDIC_OUTREACH_STRATEGY.html</x:v>
      </x:c>
    </x:row>
    <x:row r="14" ht="42" customHeight="1">
      <x:c r="A14" s="5" t="str">
        <x:v>D01</x:v>
      </x:c>
      <x:c r="B14" s="5" t="str">
        <x:v>D01-T01</x:v>
      </x:c>
      <x:c r="C14" s="5" t="str">
        <x:v>2.2 STPA (System-Theoretic Process Analysis) Hazard Control</x:v>
      </x:c>
      <x:c r="D14" s="5" t="n">
        <x:v>95</x:v>
      </x:c>
      <x:c r="E14" s="5" t="n">
        <x:v>3</x:v>
      </x:c>
      <x:c r="F14" s="5" t="str">
        <x:v>Causal Process Factor</x:v>
      </x:c>
      <x:c r="G14" s="5" t="n">
        <x:v>1</x:v>
      </x:c>
      <x:c r="H14" s="5" t="n">
        <x:v>1</x:v>
      </x:c>
      <x:c r="I14" s="5" t="str">
        <x:v>Misinterpreting EU AI Act Annex III criteria, exposing client to CE-mark revocation or €35M fine.</x:v>
      </x:c>
      <x:c r="J14" s="5" t="str">
        <x:v>SOURCE QUOTE; unvalidated / superseded assessments</x:v>
      </x:c>
      <x:c r="L14" s="31" t="str">
        <x:v>D01, Markdown line 95; http://nas-1.tail55d152.ts.net:4100/static/2S_CONSULTING_NORDIC_OUTREACH_STRATEGY.html</x:v>
      </x:c>
    </x:row>
    <x:row r="15" ht="42" customHeight="1">
      <x:c r="A15" s="5" t="str">
        <x:v>D01</x:v>
      </x:c>
      <x:c r="B15" s="5" t="str">
        <x:v>D01-T01</x:v>
      </x:c>
      <x:c r="C15" s="5" t="str">
        <x:v>2.2 STPA (System-Theoretic Process Analysis) Hazard Control</x:v>
      </x:c>
      <x:c r="D15" s="5" t="n">
        <x:v>95</x:v>
      </x:c>
      <x:c r="E15" s="5" t="n">
        <x:v>4</x:v>
      </x:c>
      <x:c r="F15" s="5" t="str">
        <x:v>Codex Astra Safety Constraint</x:v>
      </x:c>
      <x:c r="G15" s="5" t="n">
        <x:v>1</x:v>
      </x:c>
      <x:c r="H15" s="5" t="n">
        <x:v>1</x:v>
      </x:c>
      <x:c r="I15" s="5" t="str">
        <x:v>Validate all SaMD architectures against formal MDR Rule 11 and AI Act Annex I/III conformity matrices before delivery.</x:v>
      </x:c>
      <x:c r="J15" s="5" t="str">
        <x:v>SOURCE QUOTE; unvalidated / superseded assessments</x:v>
      </x:c>
      <x:c r="L15" s="31" t="str">
        <x:v>D01, Markdown line 95; http://nas-1.tail55d152.ts.net:4100/static/2S_CONSULTING_NORDIC_OUTREACH_STRATEGY.html</x:v>
      </x:c>
    </x:row>
    <x:row r="16" ht="42" customHeight="1">
      <x:c r="A16" s="5" t="str">
        <x:v>D01</x:v>
      </x:c>
      <x:c r="B16" s="5" t="str">
        <x:v>D01-T01</x:v>
      </x:c>
      <x:c r="C16" s="5" t="str">
        <x:v>2.2 STPA (System-Theoretic Process Analysis) Hazard Control</x:v>
      </x:c>
      <x:c r="D16" s="5" t="n">
        <x:v>96</x:v>
      </x:c>
      <x:c r="E16" s="5" t="n">
        <x:v>1</x:v>
      </x:c>
      <x:c r="F16" s="5" t="str">
        <x:v>Hazard ID</x:v>
      </x:c>
      <x:c r="G16" s="5" t="n">
        <x:v>1</x:v>
      </x:c>
      <x:c r="H16" s="5" t="n">
        <x:v>1</x:v>
      </x:c>
      <x:c r="I16" s="5" t="str">
        <x:v>$H_{\text{comm}-3}$</x:v>
      </x:c>
      <x:c r="J16" s="5" t="str">
        <x:v>SOURCE QUOTE; unvalidated / superseded assessments</x:v>
      </x:c>
      <x:c r="L16" s="31" t="str">
        <x:v>D01, Markdown line 96; http://nas-1.tail55d152.ts.net:4100/static/2S_CONSULTING_NORDIC_OUTREACH_STRATEGY.html</x:v>
      </x:c>
    </x:row>
    <x:row r="17" ht="42" customHeight="1">
      <x:c r="A17" s="5" t="str">
        <x:v>D01</x:v>
      </x:c>
      <x:c r="B17" s="5" t="str">
        <x:v>D01-T01</x:v>
      </x:c>
      <x:c r="C17" s="5" t="str">
        <x:v>2.2 STPA (System-Theoretic Process Analysis) Hazard Control</x:v>
      </x:c>
      <x:c r="D17" s="5" t="n">
        <x:v>96</x:v>
      </x:c>
      <x:c r="E17" s="5" t="n">
        <x:v>2</x:v>
      </x:c>
      <x:c r="F17" s="5" t="str">
        <x:v>Systemic Commercial Hazard</x:v>
      </x:c>
      <x:c r="G17" s="5" t="n">
        <x:v>1</x:v>
      </x:c>
      <x:c r="H17" s="5" t="n">
        <x:v>1</x:v>
      </x:c>
      <x:c r="I17" s="5" t="str">
        <x:v>Internal Stakeholder Rejection (NIH Syndrome)</x:v>
      </x:c>
      <x:c r="J17" s="5" t="str">
        <x:v>SOURCE QUOTE; unvalidated / superseded assessments</x:v>
      </x:c>
      <x:c r="L17" s="31" t="str">
        <x:v>D01, Markdown line 96; http://nas-1.tail55d152.ts.net:4100/static/2S_CONSULTING_NORDIC_OUTREACH_STRATEGY.html</x:v>
      </x:c>
    </x:row>
    <x:row r="18" ht="42" customHeight="1">
      <x:c r="A18" s="5" t="str">
        <x:v>D01</x:v>
      </x:c>
      <x:c r="B18" s="5" t="str">
        <x:v>D01-T01</x:v>
      </x:c>
      <x:c r="C18" s="5" t="str">
        <x:v>2.2 STPA (System-Theoretic Process Analysis) Hazard Control</x:v>
      </x:c>
      <x:c r="D18" s="5" t="n">
        <x:v>96</x:v>
      </x:c>
      <x:c r="E18" s="5" t="n">
        <x:v>3</x:v>
      </x:c>
      <x:c r="F18" s="5" t="str">
        <x:v>Causal Process Factor</x:v>
      </x:c>
      <x:c r="G18" s="5" t="n">
        <x:v>1</x:v>
      </x:c>
      <x:c r="H18" s="5" t="n">
        <x:v>1</x:v>
      </x:c>
      <x:c r="I18" s="5" t="str">
        <x:v>Client QA/RA or Plant Directors perceiving external advisors as a threat.</x:v>
      </x:c>
      <x:c r="J18" s="5" t="str">
        <x:v>SOURCE QUOTE; unvalidated / superseded assessments</x:v>
      </x:c>
      <x:c r="L18" s="31" t="str">
        <x:v>D01, Markdown line 96; http://nas-1.tail55d152.ts.net:4100/static/2S_CONSULTING_NORDIC_OUTREACH_STRATEGY.html</x:v>
      </x:c>
    </x:row>
    <x:row r="19" ht="42" customHeight="1">
      <x:c r="A19" s="5" t="str">
        <x:v>D01</x:v>
      </x:c>
      <x:c r="B19" s="5" t="str">
        <x:v>D01-T01</x:v>
      </x:c>
      <x:c r="C19" s="5" t="str">
        <x:v>2.2 STPA (System-Theoretic Process Analysis) Hazard Control</x:v>
      </x:c>
      <x:c r="D19" s="5" t="n">
        <x:v>96</x:v>
      </x:c>
      <x:c r="E19" s="5" t="n">
        <x:v>4</x:v>
      </x:c>
      <x:c r="F19" s="5" t="str">
        <x:v>Codex Astra Safety Constraint</x:v>
      </x:c>
      <x:c r="G19" s="5" t="n">
        <x:v>1</x:v>
      </x:c>
      <x:c r="H19" s="5" t="n">
        <x:v>1</x:v>
      </x:c>
      <x:c r="I19" s="5" t="str">
        <x:v>Position Bountytek AB strictly as an "execution surge partner" co-authoring files to protect internal leadership.</x:v>
      </x:c>
      <x:c r="J19" s="5" t="str">
        <x:v>SOURCE QUOTE; unvalidated / superseded assessments</x:v>
      </x:c>
      <x:c r="L19" s="31" t="str">
        <x:v>D01, Markdown line 96; http://nas-1.tail55d152.ts.net:4100/static/2S_CONSULTING_NORDIC_OUTREACH_STRATEGY.html</x:v>
      </x:c>
    </x:row>
    <x:row r="20" ht="42" customHeight="1">
      <x:c r="A20" s="5" t="str">
        <x:v>D01</x:v>
      </x:c>
      <x:c r="B20" s="5" t="str">
        <x:v>D01-T01</x:v>
      </x:c>
      <x:c r="C20" s="5" t="str">
        <x:v>2.2 STPA (System-Theoretic Process Analysis) Hazard Control</x:v>
      </x:c>
      <x:c r="D20" s="5" t="n">
        <x:v>97</x:v>
      </x:c>
      <x:c r="E20" s="5" t="n">
        <x:v>1</x:v>
      </x:c>
      <x:c r="F20" s="5" t="str">
        <x:v>Hazard ID</x:v>
      </x:c>
      <x:c r="G20" s="5" t="n">
        <x:v>1</x:v>
      </x:c>
      <x:c r="H20" s="5" t="n">
        <x:v>1</x:v>
      </x:c>
      <x:c r="I20" s="5" t="str">
        <x:v>$H_{\text{comm}-4}$</x:v>
      </x:c>
      <x:c r="J20" s="5" t="str">
        <x:v>SOURCE QUOTE; unvalidated / superseded assessments</x:v>
      </x:c>
      <x:c r="L20" s="31" t="str">
        <x:v>D01, Markdown line 97; http://nas-1.tail55d152.ts.net:4100/static/2S_CONSULTING_NORDIC_OUTREACH_STRATEGY.html</x:v>
      </x:c>
    </x:row>
    <x:row r="21" ht="42" customHeight="1">
      <x:c r="A21" s="5" t="str">
        <x:v>D01</x:v>
      </x:c>
      <x:c r="B21" s="5" t="str">
        <x:v>D01-T01</x:v>
      </x:c>
      <x:c r="C21" s="5" t="str">
        <x:v>2.2 STPA (System-Theoretic Process Analysis) Hazard Control</x:v>
      </x:c>
      <x:c r="D21" s="5" t="n">
        <x:v>97</x:v>
      </x:c>
      <x:c r="E21" s="5" t="n">
        <x:v>2</x:v>
      </x:c>
      <x:c r="F21" s="5" t="str">
        <x:v>Systemic Commercial Hazard</x:v>
      </x:c>
      <x:c r="G21" s="5" t="n">
        <x:v>1</x:v>
      </x:c>
      <x:c r="H21" s="5" t="n">
        <x:v>1</x:v>
      </x:c>
      <x:c r="I21" s="5" t="str">
        <x:v>Channel Cannibalization Friction</x:v>
      </x:c>
      <x:c r="J21" s="5" t="str">
        <x:v>SOURCE QUOTE; unvalidated / superseded assessments</x:v>
      </x:c>
      <x:c r="L21" s="31" t="str">
        <x:v>D01, Markdown line 97; http://nas-1.tail55d152.ts.net:4100/static/2S_CONSULTING_NORDIC_OUTREACH_STRATEGY.html</x:v>
      </x:c>
    </x:row>
    <x:row r="22" ht="42" customHeight="1">
      <x:c r="A22" s="5" t="str">
        <x:v>D01</x:v>
      </x:c>
      <x:c r="B22" s="5" t="str">
        <x:v>D01-T01</x:v>
      </x:c>
      <x:c r="C22" s="5" t="str">
        <x:v>2.2 STPA (System-Theoretic Process Analysis) Hazard Control</x:v>
      </x:c>
      <x:c r="D22" s="5" t="n">
        <x:v>97</x:v>
      </x:c>
      <x:c r="E22" s="5" t="n">
        <x:v>3</x:v>
      </x:c>
      <x:c r="F22" s="5" t="str">
        <x:v>Causal Process Factor</x:v>
      </x:c>
      <x:c r="G22" s="5" t="n">
        <x:v>1</x:v>
      </x:c>
      <x:c r="H22" s="5" t="n">
        <x:v>1</x:v>
      </x:c>
      <x:c r="I22" s="5" t="str">
        <x:v>Nordic engineering primes (Knightec, Semcon) perceiving 2S as a predatory rival.</x:v>
      </x:c>
      <x:c r="J22" s="5" t="str">
        <x:v>SOURCE QUOTE; unvalidated / superseded assessments</x:v>
      </x:c>
      <x:c r="L22" s="31" t="str">
        <x:v>D01, Markdown line 97; http://nas-1.tail55d152.ts.net:4100/static/2S_CONSULTING_NORDIC_OUTREACH_STRATEGY.html</x:v>
      </x:c>
    </x:row>
    <x:row r="23" ht="42" customHeight="1">
      <x:c r="A23" s="5" t="str">
        <x:v>D01</x:v>
      </x:c>
      <x:c r="B23" s="5" t="str">
        <x:v>D01-T01</x:v>
      </x:c>
      <x:c r="C23" s="5" t="str">
        <x:v>2.2 STPA (System-Theoretic Process Analysis) Hazard Control</x:v>
      </x:c>
      <x:c r="D23" s="5" t="n">
        <x:v>97</x:v>
      </x:c>
      <x:c r="E23" s="5" t="n">
        <x:v>4</x:v>
      </x:c>
      <x:c r="F23" s="5" t="str">
        <x:v>Codex Astra Safety Constraint</x:v>
      </x:c>
      <x:c r="G23" s="5" t="n">
        <x:v>1</x:v>
      </x:c>
      <x:c r="H23" s="5" t="n">
        <x:v>1</x:v>
      </x:c>
      <x:c r="I23" s="5" t="str">
        <x:v>Position Bountytek AB as a specialized domestic subcontractor providing software/algorithmic certification under their prime MSAs.</x:v>
      </x:c>
      <x:c r="J23" s="5" t="str">
        <x:v>SOURCE QUOTE; unvalidated / superseded assessments</x:v>
      </x:c>
      <x:c r="L23" s="31" t="str">
        <x:v>D01, Markdown line 97; http://nas-1.tail55d152.ts.net:4100/static/2S_CONSULTING_NORDIC_OUTREACH_STRATEGY.html</x:v>
      </x:c>
    </x:row>
    <x:row r="24" ht="42" customHeight="1">
      <x:c r="A24" s="5" t="str">
        <x:v>D01</x:v>
      </x:c>
      <x:c r="B24" s="5" t="str">
        <x:v>D01-T02</x:v>
      </x:c>
      <x:c r="C24" s="5" t="str">
        <x:v>2.3 FMEA Quantitative Commercial Risk Scoring</x:v>
      </x:c>
      <x:c r="D24" s="5" t="n">
        <x:v>103</x:v>
      </x:c>
      <x:c r="E24" s="5" t="n">
        <x:v>1</x:v>
      </x:c>
      <x:c r="F24" s="5" t="str">
        <x:v>Failure Mode</x:v>
      </x:c>
      <x:c r="G24" s="5" t="n">
        <x:v>1</x:v>
      </x:c>
      <x:c r="H24" s="5" t="n">
        <x:v>1</x:v>
      </x:c>
      <x:c r="I24" s="5" t="str">
        <x:v>Enterprise Procurement Rejection</x:v>
      </x:c>
      <x:c r="J24" s="5" t="str">
        <x:v>SOURCE QUOTE; unvalidated / superseded assessments</x:v>
      </x:c>
      <x:c r="L24" s="31" t="str">
        <x:v>D01, Markdown line 103; http://nas-1.tail55d152.ts.net:4100/static/2S_CONSULTING_NORDIC_OUTREACH_STRATEGY.html</x:v>
      </x:c>
    </x:row>
    <x:row r="25" ht="42" customHeight="1">
      <x:c r="A25" s="5" t="str">
        <x:v>D01</x:v>
      </x:c>
      <x:c r="B25" s="5" t="str">
        <x:v>D01-T02</x:v>
      </x:c>
      <x:c r="C25" s="5" t="str">
        <x:v>2.3 FMEA Quantitative Commercial Risk Scoring</x:v>
      </x:c>
      <x:c r="D25" s="5" t="n">
        <x:v>103</x:v>
      </x:c>
      <x:c r="E25" s="5" t="n">
        <x:v>2</x:v>
      </x:c>
      <x:c r="F25" s="5" t="str">
        <x:v>Severity ($S$)</x:v>
      </x:c>
      <x:c r="G25" s="5" t="n">
        <x:v>1</x:v>
      </x:c>
      <x:c r="H25" s="5" t="n">
        <x:v>1</x:v>
      </x:c>
      <x:c r="I25" s="5" t="str">
        <x:v>8</x:v>
      </x:c>
      <x:c r="J25" s="5" t="str">
        <x:v>SOURCE QUOTE; unvalidated / superseded assessments</x:v>
      </x:c>
      <x:c r="L25" s="31" t="str">
        <x:v>D01, Markdown line 103; http://nas-1.tail55d152.ts.net:4100/static/2S_CONSULTING_NORDIC_OUTREACH_STRATEGY.html</x:v>
      </x:c>
    </x:row>
    <x:row r="26" ht="42" customHeight="1">
      <x:c r="A26" s="5" t="str">
        <x:v>D01</x:v>
      </x:c>
      <x:c r="B26" s="5" t="str">
        <x:v>D01-T02</x:v>
      </x:c>
      <x:c r="C26" s="5" t="str">
        <x:v>2.3 FMEA Quantitative Commercial Risk Scoring</x:v>
      </x:c>
      <x:c r="D26" s="5" t="n">
        <x:v>103</x:v>
      </x:c>
      <x:c r="E26" s="5" t="n">
        <x:v>3</x:v>
      </x:c>
      <x:c r="F26" s="5" t="str">
        <x:v>Occurrence ($O$)</x:v>
      </x:c>
      <x:c r="G26" s="5" t="n">
        <x:v>1</x:v>
      </x:c>
      <x:c r="H26" s="5" t="n">
        <x:v>1</x:v>
      </x:c>
      <x:c r="I26" s="5" t="str">
        <x:v>8</x:v>
      </x:c>
      <x:c r="J26" s="5" t="str">
        <x:v>SOURCE QUOTE; unvalidated / superseded assessments</x:v>
      </x:c>
      <x:c r="L26" s="31" t="str">
        <x:v>D01, Markdown line 103; http://nas-1.tail55d152.ts.net:4100/static/2S_CONSULTING_NORDIC_OUTREACH_STRATEGY.html</x:v>
      </x:c>
    </x:row>
    <x:row r="27" ht="42" customHeight="1">
      <x:c r="A27" s="5" t="str">
        <x:v>D01</x:v>
      </x:c>
      <x:c r="B27" s="5" t="str">
        <x:v>D01-T02</x:v>
      </x:c>
      <x:c r="C27" s="5" t="str">
        <x:v>2.3 FMEA Quantitative Commercial Risk Scoring</x:v>
      </x:c>
      <x:c r="D27" s="5" t="n">
        <x:v>103</x:v>
      </x:c>
      <x:c r="E27" s="5" t="n">
        <x:v>4</x:v>
      </x:c>
      <x:c r="F27" s="5" t="str">
        <x:v>Detection ($D$)</x:v>
      </x:c>
      <x:c r="G27" s="5" t="n">
        <x:v>1</x:v>
      </x:c>
      <x:c r="H27" s="5" t="n">
        <x:v>1</x:v>
      </x:c>
      <x:c r="I27" s="5" t="str">
        <x:v>5</x:v>
      </x:c>
      <x:c r="J27" s="5" t="str">
        <x:v>SOURCE QUOTE; unvalidated / superseded assessments</x:v>
      </x:c>
      <x:c r="L27" s="31" t="str">
        <x:v>D01, Markdown line 103; http://nas-1.tail55d152.ts.net:4100/static/2S_CONSULTING_NORDIC_OUTREACH_STRATEGY.html</x:v>
      </x:c>
    </x:row>
    <x:row r="28" ht="42" customHeight="1">
      <x:c r="A28" s="5" t="str">
        <x:v>D01</x:v>
      </x:c>
      <x:c r="B28" s="5" t="str">
        <x:v>D01-T02</x:v>
      </x:c>
      <x:c r="C28" s="5" t="str">
        <x:v>2.3 FMEA Quantitative Commercial Risk Scoring</x:v>
      </x:c>
      <x:c r="D28" s="5" t="n">
        <x:v>103</x:v>
      </x:c>
      <x:c r="E28" s="5" t="n">
        <x:v>5</x:v>
      </x:c>
      <x:c r="F28" s="5" t="str">
        <x:v>Baseline RPN</x:v>
      </x:c>
      <x:c r="G28" s="5" t="n">
        <x:v>1</x:v>
      </x:c>
      <x:c r="H28" s="5" t="n">
        <x:v>1</x:v>
      </x:c>
      <x:c r="I28" s="5" t="str">
        <x:v>320</x:v>
      </x:c>
      <x:c r="J28" s="5" t="str">
        <x:v>SOURCE QUOTE; unvalidated / superseded assessments</x:v>
      </x:c>
      <x:c r="L28" s="31" t="str">
        <x:v>D01, Markdown line 103; http://nas-1.tail55d152.ts.net:4100/static/2S_CONSULTING_NORDIC_OUTREACH_STRATEGY.html</x:v>
      </x:c>
    </x:row>
    <x:row r="29" ht="42" customHeight="1">
      <x:c r="A29" s="5" t="str">
        <x:v>D01</x:v>
      </x:c>
      <x:c r="B29" s="5" t="str">
        <x:v>D01-T02</x:v>
      </x:c>
      <x:c r="C29" s="5" t="str">
        <x:v>2.3 FMEA Quantitative Commercial Risk Scoring</x:v>
      </x:c>
      <x:c r="D29" s="5" t="n">
        <x:v>103</x:v>
      </x:c>
      <x:c r="E29" s="5" t="n">
        <x:v>6</x:v>
      </x:c>
      <x:c r="F29" s="5" t="str">
        <x:v>Bountytek AB Countermeasure</x:v>
      </x:c>
      <x:c r="G29" s="5" t="n">
        <x:v>1</x:v>
      </x:c>
      <x:c r="H29" s="5" t="n">
        <x:v>1</x:v>
      </x:c>
      <x:c r="I29" s="5" t="str">
        <x:v>Local Swedish billing via Bountytek AB; &lt;€35k entry pricing</x:v>
      </x:c>
      <x:c r="J29" s="5" t="str">
        <x:v>SOURCE QUOTE; unvalidated / superseded assessments</x:v>
      </x:c>
      <x:c r="L29" s="31" t="str">
        <x:v>D01, Markdown line 103; http://nas-1.tail55d152.ts.net:4100/static/2S_CONSULTING_NORDIC_OUTREACH_STRATEGY.html</x:v>
      </x:c>
    </x:row>
    <x:row r="30" ht="42" customHeight="1">
      <x:c r="A30" s="5" t="str">
        <x:v>D01</x:v>
      </x:c>
      <x:c r="B30" s="5" t="str">
        <x:v>D01-T02</x:v>
      </x:c>
      <x:c r="C30" s="5" t="str">
        <x:v>2.3 FMEA Quantitative Commercial Risk Scoring</x:v>
      </x:c>
      <x:c r="D30" s="5" t="n">
        <x:v>103</x:v>
      </x:c>
      <x:c r="E30" s="5" t="n">
        <x:v>7</x:v>
      </x:c>
      <x:c r="F30" s="5" t="str">
        <x:v>Residual RPN</x:v>
      </x:c>
      <x:c r="G30" s="5" t="n">
        <x:v>1</x:v>
      </x:c>
      <x:c r="H30" s="5" t="n">
        <x:v>1</x:v>
      </x:c>
      <x:c r="I30" s="5" t="str">
        <x:v>48 (8 × 3 × 2)</x:v>
      </x:c>
      <x:c r="J30" s="5" t="str">
        <x:v>SOURCE QUOTE; unvalidated / superseded assessments</x:v>
      </x:c>
      <x:c r="L30" s="31" t="str">
        <x:v>D01, Markdown line 103; http://nas-1.tail55d152.ts.net:4100/static/2S_CONSULTING_NORDIC_OUTREACH_STRATEGY.html</x:v>
      </x:c>
    </x:row>
    <x:row r="31" ht="42" customHeight="1">
      <x:c r="A31" s="5" t="str">
        <x:v>D01</x:v>
      </x:c>
      <x:c r="B31" s="5" t="str">
        <x:v>D01-T02</x:v>
      </x:c>
      <x:c r="C31" s="5" t="str">
        <x:v>2.3 FMEA Quantitative Commercial Risk Scoring</x:v>
      </x:c>
      <x:c r="D31" s="5" t="n">
        <x:v>104</x:v>
      </x:c>
      <x:c r="E31" s="5" t="n">
        <x:v>1</x:v>
      </x:c>
      <x:c r="F31" s="5" t="str">
        <x:v>Failure Mode</x:v>
      </x:c>
      <x:c r="G31" s="5" t="n">
        <x:v>1</x:v>
      </x:c>
      <x:c r="H31" s="5" t="n">
        <x:v>1</x:v>
      </x:c>
      <x:c r="I31" s="5" t="str">
        <x:v>Client Technical Skepticism</x:v>
      </x:c>
      <x:c r="J31" s="5" t="str">
        <x:v>SOURCE QUOTE; unvalidated / superseded assessments</x:v>
      </x:c>
      <x:c r="L31" s="31" t="str">
        <x:v>D01, Markdown line 104; http://nas-1.tail55d152.ts.net:4100/static/2S_CONSULTING_NORDIC_OUTREACH_STRATEGY.html</x:v>
      </x:c>
    </x:row>
    <x:row r="32" ht="42" customHeight="1">
      <x:c r="A32" s="5" t="str">
        <x:v>D01</x:v>
      </x:c>
      <x:c r="B32" s="5" t="str">
        <x:v>D01-T02</x:v>
      </x:c>
      <x:c r="C32" s="5" t="str">
        <x:v>2.3 FMEA Quantitative Commercial Risk Scoring</x:v>
      </x:c>
      <x:c r="D32" s="5" t="n">
        <x:v>104</x:v>
      </x:c>
      <x:c r="E32" s="5" t="n">
        <x:v>2</x:v>
      </x:c>
      <x:c r="F32" s="5" t="str">
        <x:v>Severity ($S$)</x:v>
      </x:c>
      <x:c r="G32" s="5" t="n">
        <x:v>1</x:v>
      </x:c>
      <x:c r="H32" s="5" t="n">
        <x:v>1</x:v>
      </x:c>
      <x:c r="I32" s="5" t="str">
        <x:v>7</x:v>
      </x:c>
      <x:c r="J32" s="5" t="str">
        <x:v>SOURCE QUOTE; unvalidated / superseded assessments</x:v>
      </x:c>
      <x:c r="L32" s="31" t="str">
        <x:v>D01, Markdown line 104; http://nas-1.tail55d152.ts.net:4100/static/2S_CONSULTING_NORDIC_OUTREACH_STRATEGY.html</x:v>
      </x:c>
    </x:row>
    <x:row r="33" ht="42" customHeight="1">
      <x:c r="A33" s="5" t="str">
        <x:v>D01</x:v>
      </x:c>
      <x:c r="B33" s="5" t="str">
        <x:v>D01-T02</x:v>
      </x:c>
      <x:c r="C33" s="5" t="str">
        <x:v>2.3 FMEA Quantitative Commercial Risk Scoring</x:v>
      </x:c>
      <x:c r="D33" s="5" t="n">
        <x:v>104</x:v>
      </x:c>
      <x:c r="E33" s="5" t="n">
        <x:v>3</x:v>
      </x:c>
      <x:c r="F33" s="5" t="str">
        <x:v>Occurrence ($O$)</x:v>
      </x:c>
      <x:c r="G33" s="5" t="n">
        <x:v>1</x:v>
      </x:c>
      <x:c r="H33" s="5" t="n">
        <x:v>1</x:v>
      </x:c>
      <x:c r="I33" s="5" t="str">
        <x:v>7</x:v>
      </x:c>
      <x:c r="J33" s="5" t="str">
        <x:v>SOURCE QUOTE; unvalidated / superseded assessments</x:v>
      </x:c>
      <x:c r="L33" s="31" t="str">
        <x:v>D01, Markdown line 104; http://nas-1.tail55d152.ts.net:4100/static/2S_CONSULTING_NORDIC_OUTREACH_STRATEGY.html</x:v>
      </x:c>
    </x:row>
    <x:row r="34" ht="42" customHeight="1">
      <x:c r="A34" s="5" t="str">
        <x:v>D01</x:v>
      </x:c>
      <x:c r="B34" s="5" t="str">
        <x:v>D01-T02</x:v>
      </x:c>
      <x:c r="C34" s="5" t="str">
        <x:v>2.3 FMEA Quantitative Commercial Risk Scoring</x:v>
      </x:c>
      <x:c r="D34" s="5" t="n">
        <x:v>104</x:v>
      </x:c>
      <x:c r="E34" s="5" t="n">
        <x:v>4</x:v>
      </x:c>
      <x:c r="F34" s="5" t="str">
        <x:v>Detection ($D$)</x:v>
      </x:c>
      <x:c r="G34" s="5" t="n">
        <x:v>1</x:v>
      </x:c>
      <x:c r="H34" s="5" t="n">
        <x:v>1</x:v>
      </x:c>
      <x:c r="I34" s="5" t="str">
        <x:v>6</x:v>
      </x:c>
      <x:c r="J34" s="5" t="str">
        <x:v>SOURCE QUOTE; unvalidated / superseded assessments</x:v>
      </x:c>
      <x:c r="L34" s="31" t="str">
        <x:v>D01, Markdown line 104; http://nas-1.tail55d152.ts.net:4100/static/2S_CONSULTING_NORDIC_OUTREACH_STRATEGY.html</x:v>
      </x:c>
    </x:row>
    <x:row r="35" ht="42" customHeight="1">
      <x:c r="A35" s="5" t="str">
        <x:v>D01</x:v>
      </x:c>
      <x:c r="B35" s="5" t="str">
        <x:v>D01-T02</x:v>
      </x:c>
      <x:c r="C35" s="5" t="str">
        <x:v>2.3 FMEA Quantitative Commercial Risk Scoring</x:v>
      </x:c>
      <x:c r="D35" s="5" t="n">
        <x:v>104</x:v>
      </x:c>
      <x:c r="E35" s="5" t="n">
        <x:v>5</x:v>
      </x:c>
      <x:c r="F35" s="5" t="str">
        <x:v>Baseline RPN</x:v>
      </x:c>
      <x:c r="G35" s="5" t="n">
        <x:v>1</x:v>
      </x:c>
      <x:c r="H35" s="5" t="n">
        <x:v>1</x:v>
      </x:c>
      <x:c r="I35" s="5" t="str">
        <x:v>294</x:v>
      </x:c>
      <x:c r="J35" s="5" t="str">
        <x:v>SOURCE QUOTE; unvalidated / superseded assessments</x:v>
      </x:c>
      <x:c r="L35" s="31" t="str">
        <x:v>D01, Markdown line 104; http://nas-1.tail55d152.ts.net:4100/static/2S_CONSULTING_NORDIC_OUTREACH_STRATEGY.html</x:v>
      </x:c>
    </x:row>
    <x:row r="36" ht="42" customHeight="1">
      <x:c r="A36" s="5" t="str">
        <x:v>D01</x:v>
      </x:c>
      <x:c r="B36" s="5" t="str">
        <x:v>D01-T02</x:v>
      </x:c>
      <x:c r="C36" s="5" t="str">
        <x:v>2.3 FMEA Quantitative Commercial Risk Scoring</x:v>
      </x:c>
      <x:c r="D36" s="5" t="n">
        <x:v>104</x:v>
      </x:c>
      <x:c r="E36" s="5" t="n">
        <x:v>6</x:v>
      </x:c>
      <x:c r="F36" s="5" t="str">
        <x:v>Bountytek AB Countermeasure</x:v>
      </x:c>
      <x:c r="G36" s="5" t="n">
        <x:v>1</x:v>
      </x:c>
      <x:c r="H36" s="5" t="n">
        <x:v>1</x:v>
      </x:c>
      <x:c r="I36" s="5" t="str">
        <x:v>Providing 2S audited monographs, Merck S&amp;OP portal, and 48-hr GSPR gap scan</x:v>
      </x:c>
      <x:c r="J36" s="5" t="str">
        <x:v>SOURCE QUOTE; unvalidated / superseded assessments</x:v>
      </x:c>
      <x:c r="L36" s="31" t="str">
        <x:v>D01, Markdown line 104; http://nas-1.tail55d152.ts.net:4100/static/2S_CONSULTING_NORDIC_OUTREACH_STRATEGY.html</x:v>
      </x:c>
    </x:row>
    <x:row r="37" ht="42" customHeight="1">
      <x:c r="A37" s="5" t="str">
        <x:v>D01</x:v>
      </x:c>
      <x:c r="B37" s="5" t="str">
        <x:v>D01-T02</x:v>
      </x:c>
      <x:c r="C37" s="5" t="str">
        <x:v>2.3 FMEA Quantitative Commercial Risk Scoring</x:v>
      </x:c>
      <x:c r="D37" s="5" t="n">
        <x:v>104</x:v>
      </x:c>
      <x:c r="E37" s="5" t="n">
        <x:v>7</x:v>
      </x:c>
      <x:c r="F37" s="5" t="str">
        <x:v>Residual RPN</x:v>
      </x:c>
      <x:c r="G37" s="5" t="n">
        <x:v>1</x:v>
      </x:c>
      <x:c r="H37" s="5" t="n">
        <x:v>1</x:v>
      </x:c>
      <x:c r="I37" s="5" t="str">
        <x:v>42 (7 × 2 × 3)</x:v>
      </x:c>
      <x:c r="J37" s="5" t="str">
        <x:v>SOURCE QUOTE; unvalidated / superseded assessments</x:v>
      </x:c>
      <x:c r="L37" s="31" t="str">
        <x:v>D01, Markdown line 104; http://nas-1.tail55d152.ts.net:4100/static/2S_CONSULTING_NORDIC_OUTREACH_STRATEGY.html</x:v>
      </x:c>
    </x:row>
    <x:row r="38" ht="42" customHeight="1">
      <x:c r="A38" s="5" t="str">
        <x:v>D01</x:v>
      </x:c>
      <x:c r="B38" s="5" t="str">
        <x:v>D01-T02</x:v>
      </x:c>
      <x:c r="C38" s="5" t="str">
        <x:v>2.3 FMEA Quantitative Commercial Risk Scoring</x:v>
      </x:c>
      <x:c r="D38" s="5" t="n">
        <x:v>105</x:v>
      </x:c>
      <x:c r="E38" s="5" t="n">
        <x:v>1</x:v>
      </x:c>
      <x:c r="F38" s="5" t="str">
        <x:v>Failure Mode</x:v>
      </x:c>
      <x:c r="G38" s="5" t="n">
        <x:v>1</x:v>
      </x:c>
      <x:c r="H38" s="5" t="n">
        <x:v>1</x:v>
      </x:c>
      <x:c r="I38" s="5" t="str">
        <x:v>Foreign Vendor Perception Barrier</x:v>
      </x:c>
      <x:c r="J38" s="5" t="str">
        <x:v>SOURCE QUOTE; unvalidated / superseded assessments</x:v>
      </x:c>
      <x:c r="L38" s="31" t="str">
        <x:v>D01, Markdown line 105; http://nas-1.tail55d152.ts.net:4100/static/2S_CONSULTING_NORDIC_OUTREACH_STRATEGY.html</x:v>
      </x:c>
    </x:row>
    <x:row r="39" ht="42" customHeight="1">
      <x:c r="A39" s="5" t="str">
        <x:v>D01</x:v>
      </x:c>
      <x:c r="B39" s="5" t="str">
        <x:v>D01-T02</x:v>
      </x:c>
      <x:c r="C39" s="5" t="str">
        <x:v>2.3 FMEA Quantitative Commercial Risk Scoring</x:v>
      </x:c>
      <x:c r="D39" s="5" t="n">
        <x:v>105</x:v>
      </x:c>
      <x:c r="E39" s="5" t="n">
        <x:v>2</x:v>
      </x:c>
      <x:c r="F39" s="5" t="str">
        <x:v>Severity ($S$)</x:v>
      </x:c>
      <x:c r="G39" s="5" t="n">
        <x:v>1</x:v>
      </x:c>
      <x:c r="H39" s="5" t="n">
        <x:v>1</x:v>
      </x:c>
      <x:c r="I39" s="5" t="str">
        <x:v>7</x:v>
      </x:c>
      <x:c r="J39" s="5" t="str">
        <x:v>SOURCE QUOTE; unvalidated / superseded assessments</x:v>
      </x:c>
      <x:c r="L39" s="31" t="str">
        <x:v>D01, Markdown line 105; http://nas-1.tail55d152.ts.net:4100/static/2S_CONSULTING_NORDIC_OUTREACH_STRATEGY.html</x:v>
      </x:c>
    </x:row>
    <x:row r="40" ht="42" customHeight="1">
      <x:c r="A40" s="5" t="str">
        <x:v>D01</x:v>
      </x:c>
      <x:c r="B40" s="5" t="str">
        <x:v>D01-T02</x:v>
      </x:c>
      <x:c r="C40" s="5" t="str">
        <x:v>2.3 FMEA Quantitative Commercial Risk Scoring</x:v>
      </x:c>
      <x:c r="D40" s="5" t="n">
        <x:v>105</x:v>
      </x:c>
      <x:c r="E40" s="5" t="n">
        <x:v>3</x:v>
      </x:c>
      <x:c r="F40" s="5" t="str">
        <x:v>Occurrence ($O$)</x:v>
      </x:c>
      <x:c r="G40" s="5" t="n">
        <x:v>1</x:v>
      </x:c>
      <x:c r="H40" s="5" t="n">
        <x:v>1</x:v>
      </x:c>
      <x:c r="I40" s="5" t="str">
        <x:v>8</x:v>
      </x:c>
      <x:c r="J40" s="5" t="str">
        <x:v>SOURCE QUOTE; unvalidated / superseded assessments</x:v>
      </x:c>
      <x:c r="L40" s="31" t="str">
        <x:v>D01, Markdown line 105; http://nas-1.tail55d152.ts.net:4100/static/2S_CONSULTING_NORDIC_OUTREACH_STRATEGY.html</x:v>
      </x:c>
    </x:row>
    <x:row r="41" ht="42" customHeight="1">
      <x:c r="A41" s="5" t="str">
        <x:v>D01</x:v>
      </x:c>
      <x:c r="B41" s="5" t="str">
        <x:v>D01-T02</x:v>
      </x:c>
      <x:c r="C41" s="5" t="str">
        <x:v>2.3 FMEA Quantitative Commercial Risk Scoring</x:v>
      </x:c>
      <x:c r="D41" s="5" t="n">
        <x:v>105</x:v>
      </x:c>
      <x:c r="E41" s="5" t="n">
        <x:v>4</x:v>
      </x:c>
      <x:c r="F41" s="5" t="str">
        <x:v>Detection ($D$)</x:v>
      </x:c>
      <x:c r="G41" s="5" t="n">
        <x:v>1</x:v>
      </x:c>
      <x:c r="H41" s="5" t="n">
        <x:v>1</x:v>
      </x:c>
      <x:c r="I41" s="5" t="str">
        <x:v>5</x:v>
      </x:c>
      <x:c r="J41" s="5" t="str">
        <x:v>SOURCE QUOTE; unvalidated / superseded assessments</x:v>
      </x:c>
      <x:c r="L41" s="31" t="str">
        <x:v>D01, Markdown line 105; http://nas-1.tail55d152.ts.net:4100/static/2S_CONSULTING_NORDIC_OUTREACH_STRATEGY.html</x:v>
      </x:c>
    </x:row>
    <x:row r="42" ht="42" customHeight="1">
      <x:c r="A42" s="5" t="str">
        <x:v>D01</x:v>
      </x:c>
      <x:c r="B42" s="5" t="str">
        <x:v>D01-T02</x:v>
      </x:c>
      <x:c r="C42" s="5" t="str">
        <x:v>2.3 FMEA Quantitative Commercial Risk Scoring</x:v>
      </x:c>
      <x:c r="D42" s="5" t="n">
        <x:v>105</x:v>
      </x:c>
      <x:c r="E42" s="5" t="n">
        <x:v>5</x:v>
      </x:c>
      <x:c r="F42" s="5" t="str">
        <x:v>Baseline RPN</x:v>
      </x:c>
      <x:c r="G42" s="5" t="n">
        <x:v>1</x:v>
      </x:c>
      <x:c r="H42" s="5" t="n">
        <x:v>1</x:v>
      </x:c>
      <x:c r="I42" s="5" t="str">
        <x:v>280</x:v>
      </x:c>
      <x:c r="J42" s="5" t="str">
        <x:v>SOURCE QUOTE; unvalidated / superseded assessments</x:v>
      </x:c>
      <x:c r="L42" s="31" t="str">
        <x:v>D01, Markdown line 105; http://nas-1.tail55d152.ts.net:4100/static/2S_CONSULTING_NORDIC_OUTREACH_STRATEGY.html</x:v>
      </x:c>
    </x:row>
    <x:row r="43" ht="42" customHeight="1">
      <x:c r="A43" s="5" t="str">
        <x:v>D01</x:v>
      </x:c>
      <x:c r="B43" s="5" t="str">
        <x:v>D01-T02</x:v>
      </x:c>
      <x:c r="C43" s="5" t="str">
        <x:v>2.3 FMEA Quantitative Commercial Risk Scoring</x:v>
      </x:c>
      <x:c r="D43" s="5" t="n">
        <x:v>105</x:v>
      </x:c>
      <x:c r="E43" s="5" t="n">
        <x:v>6</x:v>
      </x:c>
      <x:c r="F43" s="5" t="str">
        <x:v>Bountytek AB Countermeasure</x:v>
      </x:c>
      <x:c r="G43" s="5" t="n">
        <x:v>1</x:v>
      </x:c>
      <x:c r="H43" s="5" t="n">
        <x:v>1</x:v>
      </x:c>
      <x:c r="I43" s="5" t="str">
        <x:v>Bountytek AB acts as domestic Swedish prime entity with local representation</x:v>
      </x:c>
      <x:c r="J43" s="5" t="str">
        <x:v>SOURCE QUOTE; unvalidated / superseded assessments</x:v>
      </x:c>
      <x:c r="L43" s="31" t="str">
        <x:v>D01, Markdown line 105; http://nas-1.tail55d152.ts.net:4100/static/2S_CONSULTING_NORDIC_OUTREACH_STRATEGY.html</x:v>
      </x:c>
    </x:row>
    <x:row r="44" ht="42" customHeight="1">
      <x:c r="A44" s="5" t="str">
        <x:v>D01</x:v>
      </x:c>
      <x:c r="B44" s="5" t="str">
        <x:v>D01-T02</x:v>
      </x:c>
      <x:c r="C44" s="5" t="str">
        <x:v>2.3 FMEA Quantitative Commercial Risk Scoring</x:v>
      </x:c>
      <x:c r="D44" s="5" t="n">
        <x:v>105</x:v>
      </x:c>
      <x:c r="E44" s="5" t="n">
        <x:v>7</x:v>
      </x:c>
      <x:c r="F44" s="5" t="str">
        <x:v>Residual RPN</x:v>
      </x:c>
      <x:c r="G44" s="5" t="n">
        <x:v>1</x:v>
      </x:c>
      <x:c r="H44" s="5" t="n">
        <x:v>1</x:v>
      </x:c>
      <x:c r="I44" s="5" t="str">
        <x:v>35 (7 × 1 × 5)</x:v>
      </x:c>
      <x:c r="J44" s="5" t="str">
        <x:v>SOURCE QUOTE; unvalidated / superseded assessments</x:v>
      </x:c>
      <x:c r="L44" s="31" t="str">
        <x:v>D01, Markdown line 105; http://nas-1.tail55d152.ts.net:4100/static/2S_CONSULTING_NORDIC_OUTREACH_STRATEGY.html</x:v>
      </x:c>
    </x:row>
    <x:row r="45" ht="42" customHeight="1">
      <x:c r="A45" s="5" t="str">
        <x:v>D01</x:v>
      </x:c>
      <x:c r="B45" s="5" t="str">
        <x:v>D01-T02</x:v>
      </x:c>
      <x:c r="C45" s="5" t="str">
        <x:v>2.3 FMEA Quantitative Commercial Risk Scoring</x:v>
      </x:c>
      <x:c r="D45" s="5" t="n">
        <x:v>106</x:v>
      </x:c>
      <x:c r="E45" s="5" t="n">
        <x:v>1</x:v>
      </x:c>
      <x:c r="F45" s="5" t="str">
        <x:v>Failure Mode</x:v>
      </x:c>
      <x:c r="G45" s="5" t="n">
        <x:v>1</x:v>
      </x:c>
      <x:c r="H45" s="5" t="n">
        <x:v>1</x:v>
      </x:c>
      <x:c r="I45" s="5" t="str">
        <x:v>Internal Stakeholder Defensive Block</x:v>
      </x:c>
      <x:c r="J45" s="5" t="str">
        <x:v>SOURCE QUOTE; unvalidated / superseded assessments</x:v>
      </x:c>
      <x:c r="L45" s="31" t="str">
        <x:v>D01, Markdown line 106; http://nas-1.tail55d152.ts.net:4100/static/2S_CONSULTING_NORDIC_OUTREACH_STRATEGY.html</x:v>
      </x:c>
    </x:row>
    <x:row r="46" ht="42" customHeight="1">
      <x:c r="A46" s="5" t="str">
        <x:v>D01</x:v>
      </x:c>
      <x:c r="B46" s="5" t="str">
        <x:v>D01-T02</x:v>
      </x:c>
      <x:c r="C46" s="5" t="str">
        <x:v>2.3 FMEA Quantitative Commercial Risk Scoring</x:v>
      </x:c>
      <x:c r="D46" s="5" t="n">
        <x:v>106</x:v>
      </x:c>
      <x:c r="E46" s="5" t="n">
        <x:v>2</x:v>
      </x:c>
      <x:c r="F46" s="5" t="str">
        <x:v>Severity ($S$)</x:v>
      </x:c>
      <x:c r="G46" s="5" t="n">
        <x:v>1</x:v>
      </x:c>
      <x:c r="H46" s="5" t="n">
        <x:v>1</x:v>
      </x:c>
      <x:c r="I46" s="5" t="str">
        <x:v>7</x:v>
      </x:c>
      <x:c r="J46" s="5" t="str">
        <x:v>SOURCE QUOTE; unvalidated / superseded assessments</x:v>
      </x:c>
      <x:c r="L46" s="31" t="str">
        <x:v>D01, Markdown line 106; http://nas-1.tail55d152.ts.net:4100/static/2S_CONSULTING_NORDIC_OUTREACH_STRATEGY.html</x:v>
      </x:c>
    </x:row>
    <x:row r="47" ht="42" customHeight="1">
      <x:c r="A47" s="5" t="str">
        <x:v>D01</x:v>
      </x:c>
      <x:c r="B47" s="5" t="str">
        <x:v>D01-T02</x:v>
      </x:c>
      <x:c r="C47" s="5" t="str">
        <x:v>2.3 FMEA Quantitative Commercial Risk Scoring</x:v>
      </x:c>
      <x:c r="D47" s="5" t="n">
        <x:v>106</x:v>
      </x:c>
      <x:c r="E47" s="5" t="n">
        <x:v>3</x:v>
      </x:c>
      <x:c r="F47" s="5" t="str">
        <x:v>Occurrence ($O$)</x:v>
      </x:c>
      <x:c r="G47" s="5" t="n">
        <x:v>1</x:v>
      </x:c>
      <x:c r="H47" s="5" t="n">
        <x:v>1</x:v>
      </x:c>
      <x:c r="I47" s="5" t="str">
        <x:v>6</x:v>
      </x:c>
      <x:c r="J47" s="5" t="str">
        <x:v>SOURCE QUOTE; unvalidated / superseded assessments</x:v>
      </x:c>
      <x:c r="L47" s="31" t="str">
        <x:v>D01, Markdown line 106; http://nas-1.tail55d152.ts.net:4100/static/2S_CONSULTING_NORDIC_OUTREACH_STRATEGY.html</x:v>
      </x:c>
    </x:row>
    <x:row r="48" ht="42" customHeight="1">
      <x:c r="A48" s="5" t="str">
        <x:v>D01</x:v>
      </x:c>
      <x:c r="B48" s="5" t="str">
        <x:v>D01-T02</x:v>
      </x:c>
      <x:c r="C48" s="5" t="str">
        <x:v>2.3 FMEA Quantitative Commercial Risk Scoring</x:v>
      </x:c>
      <x:c r="D48" s="5" t="n">
        <x:v>106</x:v>
      </x:c>
      <x:c r="E48" s="5" t="n">
        <x:v>4</x:v>
      </x:c>
      <x:c r="F48" s="5" t="str">
        <x:v>Detection ($D$)</x:v>
      </x:c>
      <x:c r="G48" s="5" t="n">
        <x:v>1</x:v>
      </x:c>
      <x:c r="H48" s="5" t="n">
        <x:v>1</x:v>
      </x:c>
      <x:c r="I48" s="5" t="str">
        <x:v>7</x:v>
      </x:c>
      <x:c r="J48" s="5" t="str">
        <x:v>SOURCE QUOTE; unvalidated / superseded assessments</x:v>
      </x:c>
      <x:c r="L48" s="31" t="str">
        <x:v>D01, Markdown line 106; http://nas-1.tail55d152.ts.net:4100/static/2S_CONSULTING_NORDIC_OUTREACH_STRATEGY.html</x:v>
      </x:c>
    </x:row>
    <x:row r="49" ht="42" customHeight="1">
      <x:c r="A49" s="5" t="str">
        <x:v>D01</x:v>
      </x:c>
      <x:c r="B49" s="5" t="str">
        <x:v>D01-T02</x:v>
      </x:c>
      <x:c r="C49" s="5" t="str">
        <x:v>2.3 FMEA Quantitative Commercial Risk Scoring</x:v>
      </x:c>
      <x:c r="D49" s="5" t="n">
        <x:v>106</x:v>
      </x:c>
      <x:c r="E49" s="5" t="n">
        <x:v>5</x:v>
      </x:c>
      <x:c r="F49" s="5" t="str">
        <x:v>Baseline RPN</x:v>
      </x:c>
      <x:c r="G49" s="5" t="n">
        <x:v>1</x:v>
      </x:c>
      <x:c r="H49" s="5" t="n">
        <x:v>1</x:v>
      </x:c>
      <x:c r="I49" s="5" t="str">
        <x:v>294</x:v>
      </x:c>
      <x:c r="J49" s="5" t="str">
        <x:v>SOURCE QUOTE; unvalidated / superseded assessments</x:v>
      </x:c>
      <x:c r="L49" s="31" t="str">
        <x:v>D01, Markdown line 106; http://nas-1.tail55d152.ts.net:4100/static/2S_CONSULTING_NORDIC_OUTREACH_STRATEGY.html</x:v>
      </x:c>
    </x:row>
    <x:row r="50" ht="42" customHeight="1">
      <x:c r="A50" s="5" t="str">
        <x:v>D01</x:v>
      </x:c>
      <x:c r="B50" s="5" t="str">
        <x:v>D01-T02</x:v>
      </x:c>
      <x:c r="C50" s="5" t="str">
        <x:v>2.3 FMEA Quantitative Commercial Risk Scoring</x:v>
      </x:c>
      <x:c r="D50" s="5" t="n">
        <x:v>106</x:v>
      </x:c>
      <x:c r="E50" s="5" t="n">
        <x:v>6</x:v>
      </x:c>
      <x:c r="F50" s="5" t="str">
        <x:v>Bountytek AB Countermeasure</x:v>
      </x:c>
      <x:c r="G50" s="5" t="n">
        <x:v>1</x:v>
      </x:c>
      <x:c r="H50" s="5" t="n">
        <x:v>1</x:v>
      </x:c>
      <x:c r="I50" s="5" t="str">
        <x:v>Co-authoring technical files as surge capacity; zero fault-finding posture</x:v>
      </x:c>
      <x:c r="J50" s="5" t="str">
        <x:v>SOURCE QUOTE; unvalidated / superseded assessments</x:v>
      </x:c>
      <x:c r="L50" s="31" t="str">
        <x:v>D01, Markdown line 106; http://nas-1.tail55d152.ts.net:4100/static/2S_CONSULTING_NORDIC_OUTREACH_STRATEGY.html</x:v>
      </x:c>
    </x:row>
    <x:row r="51" ht="42" customHeight="1">
      <x:c r="A51" s="5" t="str">
        <x:v>D01</x:v>
      </x:c>
      <x:c r="B51" s="5" t="str">
        <x:v>D01-T02</x:v>
      </x:c>
      <x:c r="C51" s="5" t="str">
        <x:v>2.3 FMEA Quantitative Commercial Risk Scoring</x:v>
      </x:c>
      <x:c r="D51" s="5" t="n">
        <x:v>106</x:v>
      </x:c>
      <x:c r="E51" s="5" t="n">
        <x:v>7</x:v>
      </x:c>
      <x:c r="F51" s="5" t="str">
        <x:v>Residual RPN</x:v>
      </x:c>
      <x:c r="G51" s="5" t="n">
        <x:v>1</x:v>
      </x:c>
      <x:c r="H51" s="5" t="n">
        <x:v>1</x:v>
      </x:c>
      <x:c r="I51" s="5" t="str">
        <x:v>42 (7 × 2 × 3)</x:v>
      </x:c>
      <x:c r="J51" s="5" t="str">
        <x:v>SOURCE QUOTE; unvalidated / superseded assessments</x:v>
      </x:c>
      <x:c r="L51" s="31" t="str">
        <x:v>D01, Markdown line 106; http://nas-1.tail55d152.ts.net:4100/static/2S_CONSULTING_NORDIC_OUTREACH_STRATEGY.html</x:v>
      </x:c>
    </x:row>
    <x:row r="52" ht="42" customHeight="1">
      <x:c r="A52" s="5" t="str">
        <x:v>D01</x:v>
      </x:c>
      <x:c r="B52" s="5" t="str">
        <x:v>D01-T03</x:v>
      </x:c>
      <x:c r="C52" s="5" t="str">
        <x:v>3.1 The Two-Track Account Prioritization Matrix</x:v>
      </x:c>
      <x:c r="D52" s="5" t="n">
        <x:v>138</x:v>
      </x:c>
      <x:c r="E52" s="5" t="n">
        <x:v>1</x:v>
      </x:c>
      <x:c r="F52" s="5" t="str">
        <x:v>Segment &amp; Track</x:v>
      </x:c>
      <x:c r="G52" s="5" t="n">
        <x:v>1</x:v>
      </x:c>
      <x:c r="H52" s="5" t="n">
        <x:v>1</x:v>
      </x:c>
      <x:c r="I52" s="5" t="str">
        <x:v>Track A: Tier 1 Titans</x:v>
      </x:c>
      <x:c r="J52" s="5" t="str">
        <x:v>SOURCE QUOTE; unvalidated / superseded assessments</x:v>
      </x:c>
      <x:c r="L52" s="31" t="str">
        <x:v>D01, Markdown line 138; http://nas-1.tail55d152.ts.net:4100/static/2S_CONSULTING_NORDIC_OUTREACH_STRATEGY.html</x:v>
      </x:c>
    </x:row>
    <x:row r="53" ht="42" customHeight="1">
      <x:c r="A53" s="5" t="str">
        <x:v>D01</x:v>
      </x:c>
      <x:c r="B53" s="5" t="str">
        <x:v>D01-T03</x:v>
      </x:c>
      <x:c r="C53" s="5" t="str">
        <x:v>3.1 The Two-Track Account Prioritization Matrix</x:v>
      </x:c>
      <x:c r="D53" s="5" t="n">
        <x:v>138</x:v>
      </x:c>
      <x:c r="E53" s="5" t="n">
        <x:v>2</x:v>
      </x:c>
      <x:c r="F53" s="5" t="str">
        <x:v>Target Firm Typology</x:v>
      </x:c>
      <x:c r="G53" s="5" t="n">
        <x:v>1</x:v>
      </x:c>
      <x:c r="H53" s="5" t="n">
        <x:v>1</x:v>
      </x:c>
      <x:c r="I53" s="5" t="str">
        <x:v>Global MedTech Anchors (*Getinge, Elekta, Sectra*)</x:v>
      </x:c>
      <x:c r="J53" s="5" t="str">
        <x:v>SOURCE QUOTE; unvalidated / superseded assessments</x:v>
      </x:c>
      <x:c r="L53" s="31" t="str">
        <x:v>D01, Markdown line 138; http://nas-1.tail55d152.ts.net:4100/static/2S_CONSULTING_NORDIC_OUTREACH_STRATEGY.html</x:v>
      </x:c>
    </x:row>
    <x:row r="54" ht="42" customHeight="1">
      <x:c r="A54" s="5" t="str">
        <x:v>D01</x:v>
      </x:c>
      <x:c r="B54" s="5" t="str">
        <x:v>D01-T03</x:v>
      </x:c>
      <x:c r="C54" s="5" t="str">
        <x:v>3.1 The Two-Track Account Prioritization Matrix</x:v>
      </x:c>
      <x:c r="D54" s="5" t="n">
        <x:v>138</x:v>
      </x:c>
      <x:c r="E54" s="5" t="n">
        <x:v>3</x:v>
      </x:c>
      <x:c r="F54" s="5" t="str">
        <x:v>Revenue / ARR</x:v>
      </x:c>
      <x:c r="G54" s="5" t="n">
        <x:v>1</x:v>
      </x:c>
      <x:c r="H54" s="5" t="n">
        <x:v>1</x:v>
      </x:c>
      <x:c r="I54" s="5" t="str">
        <x:v>&gt;€500M</x:v>
      </x:c>
      <x:c r="J54" s="5" t="str">
        <x:v>SOURCE QUOTE; unvalidated / superseded assessments</x:v>
      </x:c>
      <x:c r="L54" s="31" t="str">
        <x:v>D01, Markdown line 138; http://nas-1.tail55d152.ts.net:4100/static/2S_CONSULTING_NORDIC_OUTREACH_STRATEGY.html</x:v>
      </x:c>
    </x:row>
    <x:row r="55" ht="42" customHeight="1">
      <x:c r="A55" s="5" t="str">
        <x:v>D01</x:v>
      </x:c>
      <x:c r="B55" s="5" t="str">
        <x:v>D01-T03</x:v>
      </x:c>
      <x:c r="C55" s="5" t="str">
        <x:v>3.1 The Two-Track Account Prioritization Matrix</x:v>
      </x:c>
      <x:c r="D55" s="5" t="n">
        <x:v>138</x:v>
      </x:c>
      <x:c r="E55" s="5" t="n">
        <x:v>4</x:v>
      </x:c>
      <x:c r="F55" s="5" t="str">
        <x:v>Core Operational Friction</x:v>
      </x:c>
      <x:c r="G55" s="5" t="n">
        <x:v>1</x:v>
      </x:c>
      <x:c r="H55" s="5" t="n">
        <x:v>1</x:v>
      </x:c>
      <x:c r="I55" s="5" t="str">
        <x:v>Hardware capex freeze; EU AI Act Annex III high-risk compliance.</x:v>
      </x:c>
      <x:c r="J55" s="5" t="str">
        <x:v>SOURCE QUOTE; unvalidated / superseded assessments</x:v>
      </x:c>
      <x:c r="L55" s="31" t="str">
        <x:v>D01, Markdown line 138; http://nas-1.tail55d152.ts.net:4100/static/2S_CONSULTING_NORDIC_OUTREACH_STRATEGY.html</x:v>
      </x:c>
    </x:row>
    <x:row r="56" ht="42" customHeight="1">
      <x:c r="A56" s="5" t="str">
        <x:v>D01</x:v>
      </x:c>
      <x:c r="B56" s="5" t="str">
        <x:v>D01-T03</x:v>
      </x:c>
      <x:c r="C56" s="5" t="str">
        <x:v>3.1 The Two-Track Account Prioritization Matrix</x:v>
      </x:c>
      <x:c r="D56" s="5" t="n">
        <x:v>138</x:v>
      </x:c>
      <x:c r="E56" s="5" t="n">
        <x:v>5</x:v>
      </x:c>
      <x:c r="F56" s="5" t="str">
        <x:v>Primary Executive Buyer</x:v>
      </x:c>
      <x:c r="G56" s="5" t="n">
        <x:v>1</x:v>
      </x:c>
      <x:c r="H56" s="5" t="n">
        <x:v>1</x:v>
      </x:c>
      <x:c r="I56" s="5" t="str">
        <x:v>VP QA/RA, CTO, Head of AI</x:v>
      </x:c>
      <x:c r="J56" s="5" t="str">
        <x:v>SOURCE QUOTE; unvalidated / superseded assessments</x:v>
      </x:c>
      <x:c r="L56" s="31" t="str">
        <x:v>D01, Markdown line 138; http://nas-1.tail55d152.ts.net:4100/static/2S_CONSULTING_NORDIC_OUTREACH_STRATEGY.html</x:v>
      </x:c>
    </x:row>
    <x:row r="57" ht="42" customHeight="1">
      <x:c r="A57" s="5" t="str">
        <x:v>D01</x:v>
      </x:c>
      <x:c r="B57" s="5" t="str">
        <x:v>D01-T03</x:v>
      </x:c>
      <x:c r="C57" s="5" t="str">
        <x:v>3.1 The Two-Track Account Prioritization Matrix</x:v>
      </x:c>
      <x:c r="D57" s="5" t="n">
        <x:v>138</x:v>
      </x:c>
      <x:c r="E57" s="5" t="n">
        <x:v>6</x:v>
      </x:c>
      <x:c r="F57" s="5" t="str">
        <x:v>Bountytek AB Strategic Wedge Offer</x:v>
      </x:c>
      <x:c r="G57" s="5" t="n">
        <x:v>1</x:v>
      </x:c>
      <x:c r="H57" s="5" t="n">
        <x:v>1</x:v>
      </x:c>
      <x:c r="I57" s="5" t="str">
        <x:v>48-Hr MDR/AI Act Gap Audit; Hospital CFO DaaS Calculator</x:v>
      </x:c>
      <x:c r="J57" s="5" t="str">
        <x:v>SOURCE QUOTE; unvalidated / superseded assessments</x:v>
      </x:c>
      <x:c r="L57" s="31" t="str">
        <x:v>D01, Markdown line 138; http://nas-1.tail55d152.ts.net:4100/static/2S_CONSULTING_NORDIC_OUTREACH_STRATEGY.html</x:v>
      </x:c>
    </x:row>
    <x:row r="58" ht="42" customHeight="1">
      <x:c r="A58" s="5" t="str">
        <x:v>D01</x:v>
      </x:c>
      <x:c r="B58" s="5" t="str">
        <x:v>D01-T03</x:v>
      </x:c>
      <x:c r="C58" s="5" t="str">
        <x:v>3.1 The Two-Track Account Prioritization Matrix</x:v>
      </x:c>
      <x:c r="D58" s="5" t="n">
        <x:v>139</x:v>
      </x:c>
      <x:c r="E58" s="5" t="n">
        <x:v>1</x:v>
      </x:c>
      <x:c r="F58" s="5" t="str">
        <x:v>Segment &amp; Track</x:v>
      </x:c>
      <x:c r="G58" s="5" t="n">
        <x:v>1</x:v>
      </x:c>
      <x:c r="H58" s="5" t="n">
        <x:v>1</x:v>
      </x:c>
      <x:c r="I58" s="5" t="str">
        <x:v>Track A: Tier 2 Mid-Caps</x:v>
      </x:c>
      <x:c r="J58" s="5" t="str">
        <x:v>SOURCE QUOTE; unvalidated / superseded assessments</x:v>
      </x:c>
      <x:c r="L58" s="31" t="str">
        <x:v>D01, Markdown line 139; http://nas-1.tail55d152.ts.net:4100/static/2S_CONSULTING_NORDIC_OUTREACH_STRATEGY.html</x:v>
      </x:c>
    </x:row>
    <x:row r="59" ht="42" customHeight="1">
      <x:c r="A59" s="5" t="str">
        <x:v>D01</x:v>
      </x:c>
      <x:c r="B59" s="5" t="str">
        <x:v>D01-T03</x:v>
      </x:c>
      <x:c r="C59" s="5" t="str">
        <x:v>3.1 The Two-Track Account Prioritization Matrix</x:v>
      </x:c>
      <x:c r="D59" s="5" t="n">
        <x:v>139</x:v>
      </x:c>
      <x:c r="E59" s="5" t="n">
        <x:v>2</x:v>
      </x:c>
      <x:c r="F59" s="5" t="str">
        <x:v>Target Firm Typology</x:v>
      </x:c>
      <x:c r="G59" s="5" t="n">
        <x:v>1</x:v>
      </x:c>
      <x:c r="H59" s="5" t="n">
        <x:v>1</x:v>
      </x:c>
      <x:c r="I59" s="5" t="str">
        <x:v>High-Growth Innovators (*RaySearch, Bactiguard, Mentice*)</x:v>
      </x:c>
      <x:c r="J59" s="5" t="str">
        <x:v>SOURCE QUOTE; unvalidated / superseded assessments</x:v>
      </x:c>
      <x:c r="L59" s="31" t="str">
        <x:v>D01, Markdown line 139; http://nas-1.tail55d152.ts.net:4100/static/2S_CONSULTING_NORDIC_OUTREACH_STRATEGY.html</x:v>
      </x:c>
    </x:row>
    <x:row r="60" ht="42" customHeight="1">
      <x:c r="A60" s="5" t="str">
        <x:v>D01</x:v>
      </x:c>
      <x:c r="B60" s="5" t="str">
        <x:v>D01-T03</x:v>
      </x:c>
      <x:c r="C60" s="5" t="str">
        <x:v>3.1 The Two-Track Account Prioritization Matrix</x:v>
      </x:c>
      <x:c r="D60" s="5" t="n">
        <x:v>139</x:v>
      </x:c>
      <x:c r="E60" s="5" t="n">
        <x:v>3</x:v>
      </x:c>
      <x:c r="F60" s="5" t="str">
        <x:v>Revenue / ARR</x:v>
      </x:c>
      <x:c r="G60" s="5" t="n">
        <x:v>1</x:v>
      </x:c>
      <x:c r="H60" s="5" t="n">
        <x:v>1</x:v>
      </x:c>
      <x:c r="I60" s="5" t="str">
        <x:v>€20M–€500M</x:v>
      </x:c>
      <x:c r="J60" s="5" t="str">
        <x:v>SOURCE QUOTE; unvalidated / superseded assessments</x:v>
      </x:c>
      <x:c r="L60" s="31" t="str">
        <x:v>D01, Markdown line 139; http://nas-1.tail55d152.ts.net:4100/static/2S_CONSULTING_NORDIC_OUTREACH_STRATEGY.html</x:v>
      </x:c>
    </x:row>
    <x:row r="61" ht="42" customHeight="1">
      <x:c r="A61" s="5" t="str">
        <x:v>D01</x:v>
      </x:c>
      <x:c r="B61" s="5" t="str">
        <x:v>D01-T03</x:v>
      </x:c>
      <x:c r="C61" s="5" t="str">
        <x:v>3.1 The Two-Track Account Prioritization Matrix</x:v>
      </x:c>
      <x:c r="D61" s="5" t="n">
        <x:v>139</x:v>
      </x:c>
      <x:c r="E61" s="5" t="n">
        <x:v>4</x:v>
      </x:c>
      <x:c r="F61" s="5" t="str">
        <x:v>Core Operational Friction</x:v>
      </x:c>
      <x:c r="G61" s="5" t="n">
        <x:v>1</x:v>
      </x:c>
      <x:c r="H61" s="5" t="n">
        <x:v>1</x:v>
      </x:c>
      <x:c r="I61" s="5" t="str">
        <x:v>Notified Body MDR review queues; clinical evaluation report (CER) gaps.</x:v>
      </x:c>
      <x:c r="J61" s="5" t="str">
        <x:v>SOURCE QUOTE; unvalidated / superseded assessments</x:v>
      </x:c>
      <x:c r="L61" s="31" t="str">
        <x:v>D01, Markdown line 139; http://nas-1.tail55d152.ts.net:4100/static/2S_CONSULTING_NORDIC_OUTREACH_STRATEGY.html</x:v>
      </x:c>
    </x:row>
    <x:row r="62" ht="42" customHeight="1">
      <x:c r="A62" s="5" t="str">
        <x:v>D01</x:v>
      </x:c>
      <x:c r="B62" s="5" t="str">
        <x:v>D01-T03</x:v>
      </x:c>
      <x:c r="C62" s="5" t="str">
        <x:v>3.1 The Two-Track Account Prioritization Matrix</x:v>
      </x:c>
      <x:c r="D62" s="5" t="n">
        <x:v>139</x:v>
      </x:c>
      <x:c r="E62" s="5" t="n">
        <x:v>5</x:v>
      </x:c>
      <x:c r="F62" s="5" t="str">
        <x:v>Primary Executive Buyer</x:v>
      </x:c>
      <x:c r="G62" s="5" t="n">
        <x:v>1</x:v>
      </x:c>
      <x:c r="H62" s="5" t="n">
        <x:v>1</x:v>
      </x:c>
      <x:c r="I62" s="5" t="str">
        <x:v>VP Quality, VP Regulatory Affairs</x:v>
      </x:c>
      <x:c r="J62" s="5" t="str">
        <x:v>SOURCE QUOTE; unvalidated / superseded assessments</x:v>
      </x:c>
      <x:c r="L62" s="31" t="str">
        <x:v>D01, Markdown line 139; http://nas-1.tail55d152.ts.net:4100/static/2S_CONSULTING_NORDIC_OUTREACH_STRATEGY.html</x:v>
      </x:c>
    </x:row>
    <x:row r="63" ht="42" customHeight="1">
      <x:c r="A63" s="5" t="str">
        <x:v>D01</x:v>
      </x:c>
      <x:c r="B63" s="5" t="str">
        <x:v>D01-T03</x:v>
      </x:c>
      <x:c r="C63" s="5" t="str">
        <x:v>3.1 The Two-Track Account Prioritization Matrix</x:v>
      </x:c>
      <x:c r="D63" s="5" t="n">
        <x:v>139</x:v>
      </x:c>
      <x:c r="E63" s="5" t="n">
        <x:v>6</x:v>
      </x:c>
      <x:c r="F63" s="5" t="str">
        <x:v>Bountytek AB Strategic Wedge Offer</x:v>
      </x:c>
      <x:c r="G63" s="5" t="n">
        <x:v>1</x:v>
      </x:c>
      <x:c r="H63" s="5" t="n">
        <x:v>1</x:v>
      </x:c>
      <x:c r="I63" s="5" t="str">
        <x:v>90-Day "Audit-Ready" CER &amp; Software Remediation Package</x:v>
      </x:c>
      <x:c r="J63" s="5" t="str">
        <x:v>SOURCE QUOTE; unvalidated / superseded assessments</x:v>
      </x:c>
      <x:c r="L63" s="31" t="str">
        <x:v>D01, Markdown line 139; http://nas-1.tail55d152.ts.net:4100/static/2S_CONSULTING_NORDIC_OUTREACH_STRATEGY.html</x:v>
      </x:c>
    </x:row>
    <x:row r="64" ht="42" customHeight="1">
      <x:c r="A64" s="5" t="str">
        <x:v>D01</x:v>
      </x:c>
      <x:c r="B64" s="5" t="str">
        <x:v>D01-T03</x:v>
      </x:c>
      <x:c r="C64" s="5" t="str">
        <x:v>3.1 The Two-Track Account Prioritization Matrix</x:v>
      </x:c>
      <x:c r="D64" s="5" t="n">
        <x:v>140</x:v>
      </x:c>
      <x:c r="E64" s="5" t="n">
        <x:v>1</x:v>
      </x:c>
      <x:c r="F64" s="5" t="str">
        <x:v>Segment &amp; Track</x:v>
      </x:c>
      <x:c r="G64" s="5" t="n">
        <x:v>1</x:v>
      </x:c>
      <x:c r="H64" s="5" t="n">
        <x:v>1</x:v>
      </x:c>
      <x:c r="I64" s="5" t="str">
        <x:v>Track B: Tier 1 Biopharma</x:v>
      </x:c>
      <x:c r="J64" s="5" t="str">
        <x:v>SOURCE QUOTE; unvalidated / superseded assessments</x:v>
      </x:c>
      <x:c r="L64" s="31" t="str">
        <x:v>D01, Markdown line 140; http://nas-1.tail55d152.ts.net:4100/static/2S_CONSULTING_NORDIC_OUTREACH_STRATEGY.html</x:v>
      </x:c>
    </x:row>
    <x:row r="65" ht="42" customHeight="1">
      <x:c r="A65" s="5" t="str">
        <x:v>D01</x:v>
      </x:c>
      <x:c r="B65" s="5" t="str">
        <x:v>D01-T03</x:v>
      </x:c>
      <x:c r="C65" s="5" t="str">
        <x:v>3.1 The Two-Track Account Prioritization Matrix</x:v>
      </x:c>
      <x:c r="D65" s="5" t="n">
        <x:v>140</x:v>
      </x:c>
      <x:c r="E65" s="5" t="n">
        <x:v>2</x:v>
      </x:c>
      <x:c r="F65" s="5" t="str">
        <x:v>Target Firm Typology</x:v>
      </x:c>
      <x:c r="G65" s="5" t="n">
        <x:v>1</x:v>
      </x:c>
      <x:c r="H65" s="5" t="n">
        <x:v>1</x:v>
      </x:c>
      <x:c r="I65" s="5" t="str">
        <x:v>Global/Large Pharma (*Sobi, Novo Nordisk, AstraZeneca*)</x:v>
      </x:c>
      <x:c r="J65" s="5" t="str">
        <x:v>SOURCE QUOTE; unvalidated / superseded assessments</x:v>
      </x:c>
      <x:c r="L65" s="31" t="str">
        <x:v>D01, Markdown line 140; http://nas-1.tail55d152.ts.net:4100/static/2S_CONSULTING_NORDIC_OUTREACH_STRATEGY.html</x:v>
      </x:c>
    </x:row>
    <x:row r="66" ht="42" customHeight="1">
      <x:c r="A66" s="5" t="str">
        <x:v>D01</x:v>
      </x:c>
      <x:c r="B66" s="5" t="str">
        <x:v>D01-T03</x:v>
      </x:c>
      <x:c r="C66" s="5" t="str">
        <x:v>3.1 The Two-Track Account Prioritization Matrix</x:v>
      </x:c>
      <x:c r="D66" s="5" t="n">
        <x:v>140</x:v>
      </x:c>
      <x:c r="E66" s="5" t="n">
        <x:v>3</x:v>
      </x:c>
      <x:c r="F66" s="5" t="str">
        <x:v>Revenue / ARR</x:v>
      </x:c>
      <x:c r="G66" s="5" t="n">
        <x:v>1</x:v>
      </x:c>
      <x:c r="H66" s="5" t="n">
        <x:v>1</x:v>
      </x:c>
      <x:c r="I66" s="5" t="str">
        <x:v>&gt;€1B</x:v>
      </x:c>
      <x:c r="J66" s="5" t="str">
        <x:v>SOURCE QUOTE; unvalidated / superseded assessments</x:v>
      </x:c>
      <x:c r="L66" s="31" t="str">
        <x:v>D01, Markdown line 140; http://nas-1.tail55d152.ts.net:4100/static/2S_CONSULTING_NORDIC_OUTREACH_STRATEGY.html</x:v>
      </x:c>
    </x:row>
    <x:row r="67" ht="42" customHeight="1">
      <x:c r="A67" s="5" t="str">
        <x:v>D01</x:v>
      </x:c>
      <x:c r="B67" s="5" t="str">
        <x:v>D01-T03</x:v>
      </x:c>
      <x:c r="C67" s="5" t="str">
        <x:v>3.1 The Two-Track Account Prioritization Matrix</x:v>
      </x:c>
      <x:c r="D67" s="5" t="n">
        <x:v>140</x:v>
      </x:c>
      <x:c r="E67" s="5" t="n">
        <x:v>4</x:v>
      </x:c>
      <x:c r="F67" s="5" t="str">
        <x:v>Core Operational Friction</x:v>
      </x:c>
      <x:c r="G67" s="5" t="n">
        <x:v>1</x:v>
      </x:c>
      <x:c r="H67" s="5" t="n">
        <x:v>1</x:v>
      </x:c>
      <x:c r="I67" s="5" t="str">
        <x:v>Public hospital tender clawbacks; supply-chain S&amp;OP stockouts.</x:v>
      </x:c>
      <x:c r="J67" s="5" t="str">
        <x:v>SOURCE QUOTE; unvalidated / superseded assessments</x:v>
      </x:c>
      <x:c r="L67" s="31" t="str">
        <x:v>D01, Markdown line 140; http://nas-1.tail55d152.ts.net:4100/static/2S_CONSULTING_NORDIC_OUTREACH_STRATEGY.html</x:v>
      </x:c>
    </x:row>
    <x:row r="68" ht="42" customHeight="1">
      <x:c r="A68" s="5" t="str">
        <x:v>D01</x:v>
      </x:c>
      <x:c r="B68" s="5" t="str">
        <x:v>D01-T03</x:v>
      </x:c>
      <x:c r="C68" s="5" t="str">
        <x:v>3.1 The Two-Track Account Prioritization Matrix</x:v>
      </x:c>
      <x:c r="D68" s="5" t="n">
        <x:v>140</x:v>
      </x:c>
      <x:c r="E68" s="5" t="n">
        <x:v>5</x:v>
      </x:c>
      <x:c r="F68" s="5" t="str">
        <x:v>Primary Executive Buyer</x:v>
      </x:c>
      <x:c r="G68" s="5" t="n">
        <x:v>1</x:v>
      </x:c>
      <x:c r="H68" s="5" t="n">
        <x:v>1</x:v>
      </x:c>
      <x:c r="I68" s="5" t="str">
        <x:v>Chief Commercial Officer, VP Supply Chain</x:v>
      </x:c>
      <x:c r="J68" s="5" t="str">
        <x:v>SOURCE QUOTE; unvalidated / superseded assessments</x:v>
      </x:c>
      <x:c r="L68" s="31" t="str">
        <x:v>D01, Markdown line 140; http://nas-1.tail55d152.ts.net:4100/static/2S_CONSULTING_NORDIC_OUTREACH_STRATEGY.html</x:v>
      </x:c>
    </x:row>
    <x:row r="69" ht="42" customHeight="1">
      <x:c r="A69" s="5" t="str">
        <x:v>D01</x:v>
      </x:c>
      <x:c r="B69" s="5" t="str">
        <x:v>D01-T03</x:v>
      </x:c>
      <x:c r="C69" s="5" t="str">
        <x:v>3.1 The Two-Track Account Prioritization Matrix</x:v>
      </x:c>
      <x:c r="D69" s="5" t="n">
        <x:v>140</x:v>
      </x:c>
      <x:c r="E69" s="5" t="n">
        <x:v>6</x:v>
      </x:c>
      <x:c r="F69" s="5" t="str">
        <x:v>Bountytek AB Strategic Wedge Offer</x:v>
      </x:c>
      <x:c r="G69" s="5" t="n">
        <x:v>1</x:v>
      </x:c>
      <x:c r="H69" s="5" t="n">
        <x:v>1</x:v>
      </x:c>
      <x:c r="I69" s="5" t="str">
        <x:v>Enterprise S&amp;OP Gross-to-Net Tender Leakage Diagnostic</x:v>
      </x:c>
      <x:c r="J69" s="5" t="str">
        <x:v>SOURCE QUOTE; unvalidated / superseded assessments</x:v>
      </x:c>
      <x:c r="L69" s="31" t="str">
        <x:v>D01, Markdown line 140; http://nas-1.tail55d152.ts.net:4100/static/2S_CONSULTING_NORDIC_OUTREACH_STRATEGY.html</x:v>
      </x:c>
    </x:row>
    <x:row r="70" ht="42" customHeight="1">
      <x:c r="A70" s="5" t="str">
        <x:v>D01</x:v>
      </x:c>
      <x:c r="B70" s="5" t="str">
        <x:v>D01-T03</x:v>
      </x:c>
      <x:c r="C70" s="5" t="str">
        <x:v>3.1 The Two-Track Account Prioritization Matrix</x:v>
      </x:c>
      <x:c r="D70" s="5" t="n">
        <x:v>141</x:v>
      </x:c>
      <x:c r="E70" s="5" t="n">
        <x:v>1</x:v>
      </x:c>
      <x:c r="F70" s="5" t="str">
        <x:v>Segment &amp; Track</x:v>
      </x:c>
      <x:c r="G70" s="5" t="n">
        <x:v>1</x:v>
      </x:c>
      <x:c r="H70" s="5" t="n">
        <x:v>1</x:v>
      </x:c>
      <x:c r="I70" s="5" t="str">
        <x:v>Track B: Tier 2 Chemical CDMO</x:v>
      </x:c>
      <x:c r="J70" s="5" t="str">
        <x:v>SOURCE QUOTE; unvalidated / superseded assessments</x:v>
      </x:c>
      <x:c r="L70" s="31" t="str">
        <x:v>D01, Markdown line 141; http://nas-1.tail55d152.ts.net:4100/static/2S_CONSULTING_NORDIC_OUTREACH_STRATEGY.html</x:v>
      </x:c>
    </x:row>
    <x:row r="71" ht="42" customHeight="1">
      <x:c r="A71" s="5" t="str">
        <x:v>D01</x:v>
      </x:c>
      <x:c r="B71" s="5" t="str">
        <x:v>D01-T03</x:v>
      </x:c>
      <x:c r="C71" s="5" t="str">
        <x:v>3.1 The Two-Track Account Prioritization Matrix</x:v>
      </x:c>
      <x:c r="D71" s="5" t="n">
        <x:v>141</x:v>
      </x:c>
      <x:c r="E71" s="5" t="n">
        <x:v>2</x:v>
      </x:c>
      <x:c r="F71" s="5" t="str">
        <x:v>Target Firm Typology</x:v>
      </x:c>
      <x:c r="G71" s="5" t="n">
        <x:v>1</x:v>
      </x:c>
      <x:c r="H71" s="5" t="n">
        <x:v>1</x:v>
      </x:c>
      <x:c r="I71" s="5" t="str">
        <x:v>Active Chemical Synthesis (*Cambrex, PolyPeptide, Recipharm*)</x:v>
      </x:c>
      <x:c r="J71" s="5" t="str">
        <x:v>SOURCE QUOTE; unvalidated / superseded assessments</x:v>
      </x:c>
      <x:c r="L71" s="31" t="str">
        <x:v>D01, Markdown line 141; http://nas-1.tail55d152.ts.net:4100/static/2S_CONSULTING_NORDIC_OUTREACH_STRATEGY.html</x:v>
      </x:c>
    </x:row>
    <x:row r="72" ht="42" customHeight="1">
      <x:c r="A72" s="5" t="str">
        <x:v>D01</x:v>
      </x:c>
      <x:c r="B72" s="5" t="str">
        <x:v>D01-T03</x:v>
      </x:c>
      <x:c r="C72" s="5" t="str">
        <x:v>3.1 The Two-Track Account Prioritization Matrix</x:v>
      </x:c>
      <x:c r="D72" s="5" t="n">
        <x:v>141</x:v>
      </x:c>
      <x:c r="E72" s="5" t="n">
        <x:v>3</x:v>
      </x:c>
      <x:c r="F72" s="5" t="str">
        <x:v>Revenue / ARR</x:v>
      </x:c>
      <x:c r="G72" s="5" t="n">
        <x:v>1</x:v>
      </x:c>
      <x:c r="H72" s="5" t="n">
        <x:v>1</x:v>
      </x:c>
      <x:c r="I72" s="5" t="str">
        <x:v>€50M–€1B</x:v>
      </x:c>
      <x:c r="J72" s="5" t="str">
        <x:v>SOURCE QUOTE; unvalidated / superseded assessments</x:v>
      </x:c>
      <x:c r="L72" s="31" t="str">
        <x:v>D01, Markdown line 141; http://nas-1.tail55d152.ts.net:4100/static/2S_CONSULTING_NORDIC_OUTREACH_STRATEGY.html</x:v>
      </x:c>
    </x:row>
    <x:row r="73" ht="42" customHeight="1">
      <x:c r="A73" s="5" t="str">
        <x:v>D01</x:v>
      </x:c>
      <x:c r="B73" s="5" t="str">
        <x:v>D01-T03</x:v>
      </x:c>
      <x:c r="C73" s="5" t="str">
        <x:v>3.1 The Two-Track Account Prioritization Matrix</x:v>
      </x:c>
      <x:c r="D73" s="5" t="n">
        <x:v>141</x:v>
      </x:c>
      <x:c r="E73" s="5" t="n">
        <x:v>4</x:v>
      </x:c>
      <x:c r="F73" s="5" t="str">
        <x:v>Core Operational Friction</x:v>
      </x:c>
      <x:c r="G73" s="5" t="n">
        <x:v>1</x:v>
      </x:c>
      <x:c r="H73" s="5" t="n">
        <x:v>1</x:v>
      </x:c>
      <x:c r="I73" s="5" t="str">
        <x:v>Asian price dumping; high cleanroom changeover and solvent costs.</x:v>
      </x:c>
      <x:c r="J73" s="5" t="str">
        <x:v>SOURCE QUOTE; unvalidated / superseded assessments</x:v>
      </x:c>
      <x:c r="L73" s="31" t="str">
        <x:v>D01, Markdown line 141; http://nas-1.tail55d152.ts.net:4100/static/2S_CONSULTING_NORDIC_OUTREACH_STRATEGY.html</x:v>
      </x:c>
    </x:row>
    <x:row r="74" ht="42" customHeight="1">
      <x:c r="A74" s="5" t="str">
        <x:v>D01</x:v>
      </x:c>
      <x:c r="B74" s="5" t="str">
        <x:v>D01-T03</x:v>
      </x:c>
      <x:c r="C74" s="5" t="str">
        <x:v>3.1 The Two-Track Account Prioritization Matrix</x:v>
      </x:c>
      <x:c r="D74" s="5" t="n">
        <x:v>141</x:v>
      </x:c>
      <x:c r="E74" s="5" t="n">
        <x:v>5</x:v>
      </x:c>
      <x:c r="F74" s="5" t="str">
        <x:v>Primary Executive Buyer</x:v>
      </x:c>
      <x:c r="G74" s="5" t="n">
        <x:v>1</x:v>
      </x:c>
      <x:c r="H74" s="5" t="n">
        <x:v>1</x:v>
      </x:c>
      <x:c r="I74" s="5" t="str">
        <x:v>VP Manufacturing, Plant Director</x:v>
      </x:c>
      <x:c r="J74" s="5" t="str">
        <x:v>SOURCE QUOTE; unvalidated / superseded assessments</x:v>
      </x:c>
      <x:c r="L74" s="31" t="str">
        <x:v>D01, Markdown line 141; http://nas-1.tail55d152.ts.net:4100/static/2S_CONSULTING_NORDIC_OUTREACH_STRATEGY.html</x:v>
      </x:c>
    </x:row>
    <x:row r="75" ht="42" customHeight="1">
      <x:c r="A75" s="5" t="str">
        <x:v>D01</x:v>
      </x:c>
      <x:c r="B75" s="5" t="str">
        <x:v>D01-T03</x:v>
      </x:c>
      <x:c r="C75" s="5" t="str">
        <x:v>3.1 The Two-Track Account Prioritization Matrix</x:v>
      </x:c>
      <x:c r="D75" s="5" t="n">
        <x:v>141</x:v>
      </x:c>
      <x:c r="E75" s="5" t="n">
        <x:v>6</x:v>
      </x:c>
      <x:c r="F75" s="5" t="str">
        <x:v>Bountytek AB Strategic Wedge Offer</x:v>
      </x:c>
      <x:c r="G75" s="5" t="n">
        <x:v>1</x:v>
      </x:c>
      <x:c r="H75" s="5" t="n">
        <x:v>1</x:v>
      </x:c>
      <x:c r="I75" s="5" t="str">
        <x:v>30-Day API Batch Yield &amp; Cleanroom Turnaround Diagnostic</x:v>
      </x:c>
      <x:c r="J75" s="5" t="str">
        <x:v>SOURCE QUOTE; unvalidated / superseded assessments</x:v>
      </x:c>
      <x:c r="L75" s="31" t="str">
        <x:v>D01, Markdown line 141; http://nas-1.tail55d152.ts.net:4100/static/2S_CONSULTING_NORDIC_OUTREACH_STRATEGY.html</x:v>
      </x:c>
    </x:row>
    <x:row r="76" ht="42" customHeight="1">
      <x:c r="A76" s="5" t="str">
        <x:v>D01</x:v>
      </x:c>
      <x:c r="B76" s="5" t="str">
        <x:v>D01-T03</x:v>
      </x:c>
      <x:c r="C76" s="5" t="str">
        <x:v>3.1 The Two-Track Account Prioritization Matrix</x:v>
      </x:c>
      <x:c r="D76" s="5" t="n">
        <x:v>142</x:v>
      </x:c>
      <x:c r="E76" s="5" t="n">
        <x:v>1</x:v>
      </x:c>
      <x:c r="F76" s="5" t="str">
        <x:v>Segment &amp; Track</x:v>
      </x:c>
      <x:c r="G76" s="5" t="n">
        <x:v>1</x:v>
      </x:c>
      <x:c r="H76" s="5" t="n">
        <x:v>1</x:v>
      </x:c>
      <x:c r="I76" s="5" t="str">
        <x:v>Track B: Tier 3 Clinical Biotech</x:v>
      </x:c>
      <x:c r="J76" s="5" t="str">
        <x:v>SOURCE QUOTE; unvalidated / superseded assessments</x:v>
      </x:c>
      <x:c r="L76" s="31" t="str">
        <x:v>D01, Markdown line 142; http://nas-1.tail55d152.ts.net:4100/static/2S_CONSULTING_NORDIC_OUTREACH_STRATEGY.html</x:v>
      </x:c>
    </x:row>
    <x:row r="77" ht="42" customHeight="1">
      <x:c r="A77" s="5" t="str">
        <x:v>D01</x:v>
      </x:c>
      <x:c r="B77" s="5" t="str">
        <x:v>D01-T03</x:v>
      </x:c>
      <x:c r="C77" s="5" t="str">
        <x:v>3.1 The Two-Track Account Prioritization Matrix</x:v>
      </x:c>
      <x:c r="D77" s="5" t="n">
        <x:v>142</x:v>
      </x:c>
      <x:c r="E77" s="5" t="n">
        <x:v>2</x:v>
      </x:c>
      <x:c r="F77" s="5" t="str">
        <x:v>Target Firm Typology</x:v>
      </x:c>
      <x:c r="G77" s="5" t="n">
        <x:v>1</x:v>
      </x:c>
      <x:c r="H77" s="5" t="n">
        <x:v>1</x:v>
      </x:c>
      <x:c r="I77" s="5" t="str">
        <x:v>Clinical-Stage Developers (*Camurus, BioInvent, Alligator*)</x:v>
      </x:c>
      <x:c r="J77" s="5" t="str">
        <x:v>SOURCE QUOTE; unvalidated / superseded assessments</x:v>
      </x:c>
      <x:c r="L77" s="31" t="str">
        <x:v>D01, Markdown line 142; http://nas-1.tail55d152.ts.net:4100/static/2S_CONSULTING_NORDIC_OUTREACH_STRATEGY.html</x:v>
      </x:c>
    </x:row>
    <x:row r="78" ht="42" customHeight="1">
      <x:c r="A78" s="5" t="str">
        <x:v>D01</x:v>
      </x:c>
      <x:c r="B78" s="5" t="str">
        <x:v>D01-T03</x:v>
      </x:c>
      <x:c r="C78" s="5" t="str">
        <x:v>3.1 The Two-Track Account Prioritization Matrix</x:v>
      </x:c>
      <x:c r="D78" s="5" t="n">
        <x:v>142</x:v>
      </x:c>
      <x:c r="E78" s="5" t="n">
        <x:v>3</x:v>
      </x:c>
      <x:c r="F78" s="5" t="str">
        <x:v>Revenue / ARR</x:v>
      </x:c>
      <x:c r="G78" s="5" t="n">
        <x:v>1</x:v>
      </x:c>
      <x:c r="H78" s="5" t="n">
        <x:v>1</x:v>
      </x:c>
      <x:c r="I78" s="5" t="str">
        <x:v>Pre-Rev to €150M</x:v>
      </x:c>
      <x:c r="J78" s="5" t="str">
        <x:v>SOURCE QUOTE; unvalidated / superseded assessments</x:v>
      </x:c>
      <x:c r="L78" s="31" t="str">
        <x:v>D01, Markdown line 142; http://nas-1.tail55d152.ts.net:4100/static/2S_CONSULTING_NORDIC_OUTREACH_STRATEGY.html</x:v>
      </x:c>
    </x:row>
    <x:row r="79" ht="42" customHeight="1">
      <x:c r="A79" s="5" t="str">
        <x:v>D01</x:v>
      </x:c>
      <x:c r="B79" s="5" t="str">
        <x:v>D01-T03</x:v>
      </x:c>
      <x:c r="C79" s="5" t="str">
        <x:v>3.1 The Two-Track Account Prioritization Matrix</x:v>
      </x:c>
      <x:c r="D79" s="5" t="n">
        <x:v>142</x:v>
      </x:c>
      <x:c r="E79" s="5" t="n">
        <x:v>4</x:v>
      </x:c>
      <x:c r="F79" s="5" t="str">
        <x:v>Core Operational Friction</x:v>
      </x:c>
      <x:c r="G79" s="5" t="n">
        <x:v>1</x:v>
      </x:c>
      <x:c r="H79" s="5" t="n">
        <x:v>1</x:v>
      </x:c>
      <x:c r="I79" s="5" t="str">
        <x:v>High trial burn rate (€25,000/day); slow Nordic patient recruitment.</x:v>
      </x:c>
      <x:c r="J79" s="5" t="str">
        <x:v>SOURCE QUOTE; unvalidated / superseded assessments</x:v>
      </x:c>
      <x:c r="L79" s="31" t="str">
        <x:v>D01, Markdown line 142; http://nas-1.tail55d152.ts.net:4100/static/2S_CONSULTING_NORDIC_OUTREACH_STRATEGY.html</x:v>
      </x:c>
    </x:row>
    <x:row r="80" ht="42" customHeight="1">
      <x:c r="A80" s="5" t="str">
        <x:v>D01</x:v>
      </x:c>
      <x:c r="B80" s="5" t="str">
        <x:v>D01-T03</x:v>
      </x:c>
      <x:c r="C80" s="5" t="str">
        <x:v>3.1 The Two-Track Account Prioritization Matrix</x:v>
      </x:c>
      <x:c r="D80" s="5" t="n">
        <x:v>142</x:v>
      </x:c>
      <x:c r="E80" s="5" t="n">
        <x:v>5</x:v>
      </x:c>
      <x:c r="F80" s="5" t="str">
        <x:v>Primary Executive Buyer</x:v>
      </x:c>
      <x:c r="G80" s="5" t="n">
        <x:v>1</x:v>
      </x:c>
      <x:c r="H80" s="5" t="n">
        <x:v>1</x:v>
      </x:c>
      <x:c r="I80" s="5" t="str">
        <x:v>Chief Medical Officer, VP Clinical Ops</x:v>
      </x:c>
      <x:c r="J80" s="5" t="str">
        <x:v>SOURCE QUOTE; unvalidated / superseded assessments</x:v>
      </x:c>
      <x:c r="L80" s="31" t="str">
        <x:v>D01, Markdown line 142; http://nas-1.tail55d152.ts.net:4100/static/2S_CONSULTING_NORDIC_OUTREACH_STRATEGY.html</x:v>
      </x:c>
    </x:row>
    <x:row r="81" ht="42" customHeight="1">
      <x:c r="A81" s="5" t="str">
        <x:v>D01</x:v>
      </x:c>
      <x:c r="B81" s="5" t="str">
        <x:v>D01-T03</x:v>
      </x:c>
      <x:c r="C81" s="5" t="str">
        <x:v>3.1 The Two-Track Account Prioritization Matrix</x:v>
      </x:c>
      <x:c r="D81" s="5" t="n">
        <x:v>142</x:v>
      </x:c>
      <x:c r="E81" s="5" t="n">
        <x:v>6</x:v>
      </x:c>
      <x:c r="F81" s="5" t="str">
        <x:v>Bountytek AB Strategic Wedge Offer</x:v>
      </x:c>
      <x:c r="G81" s="5" t="n">
        <x:v>1</x:v>
      </x:c>
      <x:c r="H81" s="5" t="n">
        <x:v>1</x:v>
      </x:c>
      <x:c r="I81" s="5" t="str">
        <x:v>HCare360 NLP Scandinavian Clinical Cohort Acceleration</x:v>
      </x:c>
      <x:c r="J81" s="5" t="str">
        <x:v>SOURCE QUOTE; unvalidated / superseded assessments</x:v>
      </x:c>
      <x:c r="L81" s="31" t="str">
        <x:v>D01, Markdown line 142; http://nas-1.tail55d152.ts.net:4100/static/2S_CONSULTING_NORDIC_OUTREACH_STRATEGY.html</x:v>
      </x:c>
    </x:row>
    <x:row r="82" ht="42" customHeight="1">
      <x:c r="A82" s="5" t="str">
        <x:v>D01</x:v>
      </x:c>
      <x:c r="B82" s="5" t="str">
        <x:v>D01-T04</x:v>
      </x:c>
      <x:c r="C82" s="5" t="str">
        <x:v>6.1 Buying Committee Persona Breakdown</x:v>
      </x:c>
      <x:c r="D82" s="5" t="n">
        <x:v>373</x:v>
      </x:c>
      <x:c r="E82" s="5" t="n">
        <x:v>1</x:v>
      </x:c>
      <x:c r="F82" s="5" t="str">
        <x:v>Executive Persona</x:v>
      </x:c>
      <x:c r="G82" s="5" t="n">
        <x:v>1</x:v>
      </x:c>
      <x:c r="H82" s="5" t="n">
        <x:v>1</x:v>
      </x:c>
      <x:c r="I82" s="5" t="str">
        <x:v>VP Quality Assurance / Regulatory Affairs</x:v>
      </x:c>
      <x:c r="J82" s="5" t="str">
        <x:v>SOURCE QUOTE; unvalidated / superseded assessments</x:v>
      </x:c>
      <x:c r="L82" s="31" t="str">
        <x:v>D01, Markdown line 373; http://nas-1.tail55d152.ts.net:4100/static/2S_CONSULTING_NORDIC_OUTREACH_STRATEGY.html</x:v>
      </x:c>
    </x:row>
    <x:row r="83" ht="42" customHeight="1">
      <x:c r="A83" s="5" t="str">
        <x:v>D01</x:v>
      </x:c>
      <x:c r="B83" s="5" t="str">
        <x:v>D01-T04</x:v>
      </x:c>
      <x:c r="C83" s="5" t="str">
        <x:v>6.1 Buying Committee Persona Breakdown</x:v>
      </x:c>
      <x:c r="D83" s="5" t="n">
        <x:v>373</x:v>
      </x:c>
      <x:c r="E83" s="5" t="n">
        <x:v>2</x:v>
      </x:c>
      <x:c r="F83" s="5" t="str">
        <x:v>Primary Psychological Driver</x:v>
      </x:c>
      <x:c r="G83" s="5" t="n">
        <x:v>1</x:v>
      </x:c>
      <x:c r="H83" s="5" t="n">
        <x:v>1</x:v>
      </x:c>
      <x:c r="I83" s="5" t="str">
        <x:v>Regulatory certainty and personal accountability under MDR Article 15 (PRRC).</x:v>
      </x:c>
      <x:c r="J83" s="5" t="str">
        <x:v>SOURCE QUOTE; unvalidated / superseded assessments</x:v>
      </x:c>
      <x:c r="L83" s="31" t="str">
        <x:v>D01, Markdown line 373; http://nas-1.tail55d152.ts.net:4100/static/2S_CONSULTING_NORDIC_OUTREACH_STRATEGY.html</x:v>
      </x:c>
    </x:row>
    <x:row r="84" ht="42" customHeight="1">
      <x:c r="A84" s="5" t="str">
        <x:v>D01</x:v>
      </x:c>
      <x:c r="B84" s="5" t="str">
        <x:v>D01-T04</x:v>
      </x:c>
      <x:c r="C84" s="5" t="str">
        <x:v>6.1 Buying Committee Persona Breakdown</x:v>
      </x:c>
      <x:c r="D84" s="5" t="n">
        <x:v>373</x:v>
      </x:c>
      <x:c r="E84" s="5" t="n">
        <x:v>3</x:v>
      </x:c>
      <x:c r="F84" s="5" t="str">
        <x:v>Greatest Fear / Vulnerability</x:v>
      </x:c>
      <x:c r="G84" s="5" t="n">
        <x:v>1</x:v>
      </x:c>
      <x:c r="H84" s="5" t="n">
        <x:v>1</x:v>
      </x:c>
      <x:c r="I84" s="5" t="str">
        <x:v>Audit non-conformity halting commercial shipments or delaying CE-mark renewal.</x:v>
      </x:c>
      <x:c r="J84" s="5" t="str">
        <x:v>SOURCE QUOTE; unvalidated / superseded assessments</x:v>
      </x:c>
      <x:c r="L84" s="31" t="str">
        <x:v>D01, Markdown line 373; http://nas-1.tail55d152.ts.net:4100/static/2S_CONSULTING_NORDIC_OUTREACH_STRATEGY.html</x:v>
      </x:c>
    </x:row>
    <x:row r="85" ht="42" customHeight="1">
      <x:c r="A85" s="5" t="str">
        <x:v>D01</x:v>
      </x:c>
      <x:c r="B85" s="5" t="str">
        <x:v>D01-T04</x:v>
      </x:c>
      <x:c r="C85" s="5" t="str">
        <x:v>6.1 Buying Committee Persona Breakdown</x:v>
      </x:c>
      <x:c r="D85" s="5" t="n">
        <x:v>373</x:v>
      </x:c>
      <x:c r="E85" s="5" t="n">
        <x:v>4</x:v>
      </x:c>
      <x:c r="F85" s="5" t="str">
        <x:v>Winning Opening Value Narrative</x:v>
      </x:c>
      <x:c r="G85" s="5" t="n">
        <x:v>1</x:v>
      </x:c>
      <x:c r="H85" s="5" t="n">
        <x:v>1</x:v>
      </x:c>
      <x:c r="I85" s="5" t="str">
        <x:v>"Bountytek AB acts as your domestic surge execution team to pre-clear technical files before your Notified Body audits."</x:v>
      </x:c>
      <x:c r="J85" s="5" t="str">
        <x:v>SOURCE QUOTE; unvalidated / superseded assessments</x:v>
      </x:c>
      <x:c r="L85" s="31" t="str">
        <x:v>D01, Markdown line 373; http://nas-1.tail55d152.ts.net:4100/static/2S_CONSULTING_NORDIC_OUTREACH_STRATEGY.html</x:v>
      </x:c>
    </x:row>
    <x:row r="86" ht="42" customHeight="1">
      <x:c r="A86" s="5" t="str">
        <x:v>D01</x:v>
      </x:c>
      <x:c r="B86" s="5" t="str">
        <x:v>D01-T04</x:v>
      </x:c>
      <x:c r="C86" s="5" t="str">
        <x:v>6.1 Buying Committee Persona Breakdown</x:v>
      </x:c>
      <x:c r="D86" s="5" t="n">
        <x:v>374</x:v>
      </x:c>
      <x:c r="E86" s="5" t="n">
        <x:v>1</x:v>
      </x:c>
      <x:c r="F86" s="5" t="str">
        <x:v>Executive Persona</x:v>
      </x:c>
      <x:c r="G86" s="5" t="n">
        <x:v>1</x:v>
      </x:c>
      <x:c r="H86" s="5" t="n">
        <x:v>1</x:v>
      </x:c>
      <x:c r="I86" s="5" t="str">
        <x:v>Chief Technology Officer / Head of AI</x:v>
      </x:c>
      <x:c r="J86" s="5" t="str">
        <x:v>SOURCE QUOTE; unvalidated / superseded assessments</x:v>
      </x:c>
      <x:c r="L86" s="31" t="str">
        <x:v>D01, Markdown line 374; http://nas-1.tail55d152.ts.net:4100/static/2S_CONSULTING_NORDIC_OUTREACH_STRATEGY.html</x:v>
      </x:c>
    </x:row>
    <x:row r="87" ht="42" customHeight="1">
      <x:c r="A87" s="5" t="str">
        <x:v>D01</x:v>
      </x:c>
      <x:c r="B87" s="5" t="str">
        <x:v>D01-T04</x:v>
      </x:c>
      <x:c r="C87" s="5" t="str">
        <x:v>6.1 Buying Committee Persona Breakdown</x:v>
      </x:c>
      <x:c r="D87" s="5" t="n">
        <x:v>374</x:v>
      </x:c>
      <x:c r="E87" s="5" t="n">
        <x:v>2</x:v>
      </x:c>
      <x:c r="F87" s="5" t="str">
        <x:v>Primary Psychological Driver</x:v>
      </x:c>
      <x:c r="G87" s="5" t="n">
        <x:v>1</x:v>
      </x:c>
      <x:c r="H87" s="5" t="n">
        <x:v>1</x:v>
      </x:c>
      <x:c r="I87" s="5" t="str">
        <x:v>Engineering elegance and algorithmic integrity.</x:v>
      </x:c>
      <x:c r="J87" s="5" t="str">
        <x:v>SOURCE QUOTE; unvalidated / superseded assessments</x:v>
      </x:c>
      <x:c r="L87" s="31" t="str">
        <x:v>D01, Markdown line 374; http://nas-1.tail55d152.ts.net:4100/static/2S_CONSULTING_NORDIC_OUTREACH_STRATEGY.html</x:v>
      </x:c>
    </x:row>
    <x:row r="88" ht="42" customHeight="1">
      <x:c r="A88" s="5" t="str">
        <x:v>D01</x:v>
      </x:c>
      <x:c r="B88" s="5" t="str">
        <x:v>D01-T04</x:v>
      </x:c>
      <x:c r="C88" s="5" t="str">
        <x:v>6.1 Buying Committee Persona Breakdown</x:v>
      </x:c>
      <x:c r="D88" s="5" t="n">
        <x:v>374</x:v>
      </x:c>
      <x:c r="E88" s="5" t="n">
        <x:v>3</x:v>
      </x:c>
      <x:c r="F88" s="5" t="str">
        <x:v>Greatest Fear / Vulnerability</x:v>
      </x:c>
      <x:c r="G88" s="5" t="n">
        <x:v>1</x:v>
      </x:c>
      <x:c r="H88" s="5" t="n">
        <x:v>1</x:v>
      </x:c>
      <x:c r="I88" s="5" t="str">
        <x:v>Software classified as Class IIb/III high-risk AI, imposing impossible documentation overhead.</x:v>
      </x:c>
      <x:c r="J88" s="5" t="str">
        <x:v>SOURCE QUOTE; unvalidated / superseded assessments</x:v>
      </x:c>
      <x:c r="L88" s="31" t="str">
        <x:v>D01, Markdown line 374; http://nas-1.tail55d152.ts.net:4100/static/2S_CONSULTING_NORDIC_OUTREACH_STRATEGY.html</x:v>
      </x:c>
    </x:row>
    <x:row r="89" ht="42" customHeight="1">
      <x:c r="A89" s="5" t="str">
        <x:v>D01</x:v>
      </x:c>
      <x:c r="B89" s="5" t="str">
        <x:v>D01-T04</x:v>
      </x:c>
      <x:c r="C89" s="5" t="str">
        <x:v>6.1 Buying Committee Persona Breakdown</x:v>
      </x:c>
      <x:c r="D89" s="5" t="n">
        <x:v>374</x:v>
      </x:c>
      <x:c r="E89" s="5" t="n">
        <x:v>4</x:v>
      </x:c>
      <x:c r="F89" s="5" t="str">
        <x:v>Winning Opening Value Narrative</x:v>
      </x:c>
      <x:c r="G89" s="5" t="n">
        <x:v>1</x:v>
      </x:c>
      <x:c r="H89" s="5" t="n">
        <x:v>1</x:v>
      </x:c>
      <x:c r="I89" s="5" t="str">
        <x:v>"We validate your algorithms on Numantra's sovereign Finnish cloud infrastructure with automated EU AI Act audit logs."</x:v>
      </x:c>
      <x:c r="J89" s="5" t="str">
        <x:v>SOURCE QUOTE; unvalidated / superseded assessments</x:v>
      </x:c>
      <x:c r="L89" s="31" t="str">
        <x:v>D01, Markdown line 374; http://nas-1.tail55d152.ts.net:4100/static/2S_CONSULTING_NORDIC_OUTREACH_STRATEGY.html</x:v>
      </x:c>
    </x:row>
    <x:row r="90" ht="42" customHeight="1">
      <x:c r="A90" s="5" t="str">
        <x:v>D01</x:v>
      </x:c>
      <x:c r="B90" s="5" t="str">
        <x:v>D01-T04</x:v>
      </x:c>
      <x:c r="C90" s="5" t="str">
        <x:v>6.1 Buying Committee Persona Breakdown</x:v>
      </x:c>
      <x:c r="D90" s="5" t="n">
        <x:v>375</x:v>
      </x:c>
      <x:c r="E90" s="5" t="n">
        <x:v>1</x:v>
      </x:c>
      <x:c r="F90" s="5" t="str">
        <x:v>Executive Persona</x:v>
      </x:c>
      <x:c r="G90" s="5" t="n">
        <x:v>1</x:v>
      </x:c>
      <x:c r="H90" s="5" t="n">
        <x:v>1</x:v>
      </x:c>
      <x:c r="I90" s="5" t="str">
        <x:v>Chief Commercial Officer / VP Sales</x:v>
      </x:c>
      <x:c r="J90" s="5" t="str">
        <x:v>SOURCE QUOTE; unvalidated / superseded assessments</x:v>
      </x:c>
      <x:c r="L90" s="31" t="str">
        <x:v>D01, Markdown line 375; http://nas-1.tail55d152.ts.net:4100/static/2S_CONSULTING_NORDIC_OUTREACH_STRATEGY.html</x:v>
      </x:c>
    </x:row>
    <x:row r="91" ht="42" customHeight="1">
      <x:c r="A91" s="5" t="str">
        <x:v>D01</x:v>
      </x:c>
      <x:c r="B91" s="5" t="str">
        <x:v>D01-T04</x:v>
      </x:c>
      <x:c r="C91" s="5" t="str">
        <x:v>6.1 Buying Committee Persona Breakdown</x:v>
      </x:c>
      <x:c r="D91" s="5" t="n">
        <x:v>375</x:v>
      </x:c>
      <x:c r="E91" s="5" t="n">
        <x:v>2</x:v>
      </x:c>
      <x:c r="F91" s="5" t="str">
        <x:v>Primary Psychological Driver</x:v>
      </x:c>
      <x:c r="G91" s="5" t="n">
        <x:v>1</x:v>
      </x:c>
      <x:c r="H91" s="5" t="n">
        <x:v>1</x:v>
      </x:c>
      <x:c r="I91" s="5" t="str">
        <x:v>Predictable revenue growth and market share defense.</x:v>
      </x:c>
      <x:c r="J91" s="5" t="str">
        <x:v>SOURCE QUOTE; unvalidated / superseded assessments</x:v>
      </x:c>
      <x:c r="L91" s="31" t="str">
        <x:v>D01, Markdown line 375; http://nas-1.tail55d152.ts.net:4100/static/2S_CONSULTING_NORDIC_OUTREACH_STRATEGY.html</x:v>
      </x:c>
    </x:row>
    <x:row r="92" ht="42" customHeight="1">
      <x:c r="A92" s="5" t="str">
        <x:v>D01</x:v>
      </x:c>
      <x:c r="B92" s="5" t="str">
        <x:v>D01-T04</x:v>
      </x:c>
      <x:c r="C92" s="5" t="str">
        <x:v>6.1 Buying Committee Persona Breakdown</x:v>
      </x:c>
      <x:c r="D92" s="5" t="n">
        <x:v>375</x:v>
      </x:c>
      <x:c r="E92" s="5" t="n">
        <x:v>3</x:v>
      </x:c>
      <x:c r="F92" s="5" t="str">
        <x:v>Greatest Fear / Vulnerability</x:v>
      </x:c>
      <x:c r="G92" s="5" t="n">
        <x:v>1</x:v>
      </x:c>
      <x:c r="H92" s="5" t="n">
        <x:v>1</x:v>
      </x:c>
      <x:c r="I92" s="5" t="str">
        <x:v>Hospital capex freezes blocking equipment tenders; stockout penalties eating margin.</x:v>
      </x:c>
      <x:c r="J92" s="5" t="str">
        <x:v>SOURCE QUOTE; unvalidated / superseded assessments</x:v>
      </x:c>
      <x:c r="L92" s="31" t="str">
        <x:v>D01, Markdown line 375; http://nas-1.tail55d152.ts.net:4100/static/2S_CONSULTING_NORDIC_OUTREACH_STRATEGY.html</x:v>
      </x:c>
    </x:row>
    <x:row r="93" ht="42" customHeight="1">
      <x:c r="A93" s="5" t="str">
        <x:v>D01</x:v>
      </x:c>
      <x:c r="B93" s="5" t="str">
        <x:v>D01-T04</x:v>
      </x:c>
      <x:c r="C93" s="5" t="str">
        <x:v>6.1 Buying Committee Persona Breakdown</x:v>
      </x:c>
      <x:c r="D93" s="5" t="n">
        <x:v>375</x:v>
      </x:c>
      <x:c r="E93" s="5" t="n">
        <x:v>4</x:v>
      </x:c>
      <x:c r="F93" s="5" t="str">
        <x:v>Winning Opening Value Narrative</x:v>
      </x:c>
      <x:c r="G93" s="5" t="n">
        <x:v>1</x:v>
      </x:c>
      <x:c r="H93" s="5" t="n">
        <x:v>1</x:v>
      </x:c>
      <x:c r="I93" s="5" t="str">
        <x:v>"We provide your sales force with an interactive DaaS calculator that proves ICU bed-day cost reduction to hospital CFOs."</x:v>
      </x:c>
      <x:c r="J93" s="5" t="str">
        <x:v>SOURCE QUOTE; unvalidated / superseded assessments</x:v>
      </x:c>
      <x:c r="L93" s="31" t="str">
        <x:v>D01, Markdown line 375; http://nas-1.tail55d152.ts.net:4100/static/2S_CONSULTING_NORDIC_OUTREACH_STRATEGY.html</x:v>
      </x:c>
    </x:row>
    <x:row r="94" ht="42" customHeight="1">
      <x:c r="A94" s="5" t="str">
        <x:v>D01</x:v>
      </x:c>
      <x:c r="B94" s="5" t="str">
        <x:v>D01-T04</x:v>
      </x:c>
      <x:c r="C94" s="5" t="str">
        <x:v>6.1 Buying Committee Persona Breakdown</x:v>
      </x:c>
      <x:c r="D94" s="5" t="n">
        <x:v>376</x:v>
      </x:c>
      <x:c r="E94" s="5" t="n">
        <x:v>1</x:v>
      </x:c>
      <x:c r="F94" s="5" t="str">
        <x:v>Executive Persona</x:v>
      </x:c>
      <x:c r="G94" s="5" t="n">
        <x:v>1</x:v>
      </x:c>
      <x:c r="H94" s="5" t="n">
        <x:v>1</x:v>
      </x:c>
      <x:c r="I94" s="5" t="str">
        <x:v>VP Manufacturing / Plant Director</x:v>
      </x:c>
      <x:c r="J94" s="5" t="str">
        <x:v>SOURCE QUOTE; unvalidated / superseded assessments</x:v>
      </x:c>
      <x:c r="L94" s="31" t="str">
        <x:v>D01, Markdown line 376; http://nas-1.tail55d152.ts.net:4100/static/2S_CONSULTING_NORDIC_OUTREACH_STRATEGY.html</x:v>
      </x:c>
    </x:row>
    <x:row r="95" ht="42" customHeight="1">
      <x:c r="A95" s="5" t="str">
        <x:v>D01</x:v>
      </x:c>
      <x:c r="B95" s="5" t="str">
        <x:v>D01-T04</x:v>
      </x:c>
      <x:c r="C95" s="5" t="str">
        <x:v>6.1 Buying Committee Persona Breakdown</x:v>
      </x:c>
      <x:c r="D95" s="5" t="n">
        <x:v>376</x:v>
      </x:c>
      <x:c r="E95" s="5" t="n">
        <x:v>2</x:v>
      </x:c>
      <x:c r="F95" s="5" t="str">
        <x:v>Primary Psychological Driver</x:v>
      </x:c>
      <x:c r="G95" s="5" t="n">
        <x:v>1</x:v>
      </x:c>
      <x:c r="H95" s="5" t="n">
        <x:v>1</x:v>
      </x:c>
      <x:c r="I95" s="5" t="str">
        <x:v>Operational uptime, batch yield, and cGMP compliance.</x:v>
      </x:c>
      <x:c r="J95" s="5" t="str">
        <x:v>SOURCE QUOTE; unvalidated / superseded assessments</x:v>
      </x:c>
      <x:c r="L95" s="31" t="str">
        <x:v>D01, Markdown line 376; http://nas-1.tail55d152.ts.net:4100/static/2S_CONSULTING_NORDIC_OUTREACH_STRATEGY.html</x:v>
      </x:c>
    </x:row>
    <x:row r="96" ht="42" customHeight="1">
      <x:c r="A96" s="5" t="str">
        <x:v>D01</x:v>
      </x:c>
      <x:c r="B96" s="5" t="str">
        <x:v>D01-T04</x:v>
      </x:c>
      <x:c r="C96" s="5" t="str">
        <x:v>6.1 Buying Committee Persona Breakdown</x:v>
      </x:c>
      <x:c r="D96" s="5" t="n">
        <x:v>376</x:v>
      </x:c>
      <x:c r="E96" s="5" t="n">
        <x:v>3</x:v>
      </x:c>
      <x:c r="F96" s="5" t="str">
        <x:v>Greatest Fear / Vulnerability</x:v>
      </x:c>
      <x:c r="G96" s="5" t="n">
        <x:v>1</x:v>
      </x:c>
      <x:c r="H96" s="5" t="n">
        <x:v>1</x:v>
      </x:c>
      <x:c r="I96" s="5" t="str">
        <x:v>Unplanned reactor downtime, failed cleaning validations, and Asian API price dumping.</x:v>
      </x:c>
      <x:c r="J96" s="5" t="str">
        <x:v>SOURCE QUOTE; unvalidated / superseded assessments</x:v>
      </x:c>
      <x:c r="L96" s="31" t="str">
        <x:v>D01, Markdown line 376; http://nas-1.tail55d152.ts.net:4100/static/2S_CONSULTING_NORDIC_OUTREACH_STRATEGY.html</x:v>
      </x:c>
    </x:row>
    <x:row r="97" ht="42" customHeight="1">
      <x:c r="A97" s="5" t="str">
        <x:v>D01</x:v>
      </x:c>
      <x:c r="B97" s="5" t="str">
        <x:v>D01-T04</x:v>
      </x:c>
      <x:c r="C97" s="5" t="str">
        <x:v>6.1 Buying Committee Persona Breakdown</x:v>
      </x:c>
      <x:c r="D97" s="5" t="n">
        <x:v>376</x:v>
      </x:c>
      <x:c r="E97" s="5" t="n">
        <x:v>4</x:v>
      </x:c>
      <x:c r="F97" s="5" t="str">
        <x:v>Winning Opening Value Narrative</x:v>
      </x:c>
      <x:c r="G97" s="5" t="n">
        <x:v>1</x:v>
      </x:c>
      <x:c r="H97" s="5" t="n">
        <x:v>1</x:v>
      </x:c>
      <x:c r="I97" s="5" t="str">
        <x:v>"We slash cleanroom sanitization changeover downtime by 40% and optimize solvent recovery margins."</x:v>
      </x:c>
      <x:c r="J97" s="5" t="str">
        <x:v>SOURCE QUOTE; unvalidated / superseded assessments</x:v>
      </x:c>
      <x:c r="L97" s="31" t="str">
        <x:v>D01, Markdown line 376; http://nas-1.tail55d152.ts.net:4100/static/2S_CONSULTING_NORDIC_OUTREACH_STRATEGY.html</x:v>
      </x:c>
    </x:row>
    <x:row r="98" ht="42" customHeight="1">
      <x:c r="A98" s="5" t="str">
        <x:v>D01</x:v>
      </x:c>
      <x:c r="B98" s="5" t="str">
        <x:v>D01-T04</x:v>
      </x:c>
      <x:c r="C98" s="5" t="str">
        <x:v>6.1 Buying Committee Persona Breakdown</x:v>
      </x:c>
      <x:c r="D98" s="5" t="n">
        <x:v>377</x:v>
      </x:c>
      <x:c r="E98" s="5" t="n">
        <x:v>1</x:v>
      </x:c>
      <x:c r="F98" s="5" t="str">
        <x:v>Executive Persona</x:v>
      </x:c>
      <x:c r="G98" s="5" t="n">
        <x:v>1</x:v>
      </x:c>
      <x:c r="H98" s="5" t="n">
        <x:v>1</x:v>
      </x:c>
      <x:c r="I98" s="5" t="str">
        <x:v>Chief Medical Officer / VP Clinical</x:v>
      </x:c>
      <x:c r="J98" s="5" t="str">
        <x:v>SOURCE QUOTE; unvalidated / superseded assessments</x:v>
      </x:c>
      <x:c r="L98" s="31" t="str">
        <x:v>D01, Markdown line 377; http://nas-1.tail55d152.ts.net:4100/static/2S_CONSULTING_NORDIC_OUTREACH_STRATEGY.html</x:v>
      </x:c>
    </x:row>
    <x:row r="99" ht="42" customHeight="1">
      <x:c r="A99" s="5" t="str">
        <x:v>D01</x:v>
      </x:c>
      <x:c r="B99" s="5" t="str">
        <x:v>D01-T04</x:v>
      </x:c>
      <x:c r="C99" s="5" t="str">
        <x:v>6.1 Buying Committee Persona Breakdown</x:v>
      </x:c>
      <x:c r="D99" s="5" t="n">
        <x:v>377</x:v>
      </x:c>
      <x:c r="E99" s="5" t="n">
        <x:v>2</x:v>
      </x:c>
      <x:c r="F99" s="5" t="str">
        <x:v>Primary Psychological Driver</x:v>
      </x:c>
      <x:c r="G99" s="5" t="n">
        <x:v>1</x:v>
      </x:c>
      <x:c r="H99" s="5" t="n">
        <x:v>1</x:v>
      </x:c>
      <x:c r="I99" s="5" t="str">
        <x:v>Accelerating clinical trial milestones to secure next financing round.</x:v>
      </x:c>
      <x:c r="J99" s="5" t="str">
        <x:v>SOURCE QUOTE; unvalidated / superseded assessments</x:v>
      </x:c>
      <x:c r="L99" s="31" t="str">
        <x:v>D01, Markdown line 377; http://nas-1.tail55d152.ts.net:4100/static/2S_CONSULTING_NORDIC_OUTREACH_STRATEGY.html</x:v>
      </x:c>
    </x:row>
    <x:row r="100" ht="42" customHeight="1">
      <x:c r="A100" s="5" t="str">
        <x:v>D01</x:v>
      </x:c>
      <x:c r="B100" s="5" t="str">
        <x:v>D01-T04</x:v>
      </x:c>
      <x:c r="C100" s="5" t="str">
        <x:v>6.1 Buying Committee Persona Breakdown</x:v>
      </x:c>
      <x:c r="D100" s="5" t="n">
        <x:v>377</x:v>
      </x:c>
      <x:c r="E100" s="5" t="n">
        <x:v>3</x:v>
      </x:c>
      <x:c r="F100" s="5" t="str">
        <x:v>Greatest Fear / Vulnerability</x:v>
      </x:c>
      <x:c r="G100" s="5" t="n">
        <x:v>1</x:v>
      </x:c>
      <x:c r="H100" s="5" t="n">
        <x:v>1</x:v>
      </x:c>
      <x:c r="I100" s="5" t="str">
        <x:v>Patient recruitment delays burning €25,000/day while cash runway shrinks.</x:v>
      </x:c>
      <x:c r="J100" s="5" t="str">
        <x:v>SOURCE QUOTE; unvalidated / superseded assessments</x:v>
      </x:c>
      <x:c r="L100" s="31" t="str">
        <x:v>D01, Markdown line 377; http://nas-1.tail55d152.ts.net:4100/static/2S_CONSULTING_NORDIC_OUTREACH_STRATEGY.html</x:v>
      </x:c>
    </x:row>
    <x:row r="101" ht="42" customHeight="1">
      <x:c r="A101" s="5" t="str">
        <x:v>D01</x:v>
      </x:c>
      <x:c r="B101" s="5" t="str">
        <x:v>D01-T04</x:v>
      </x:c>
      <x:c r="C101" s="5" t="str">
        <x:v>6.1 Buying Committee Persona Breakdown</x:v>
      </x:c>
      <x:c r="D101" s="5" t="n">
        <x:v>377</x:v>
      </x:c>
      <x:c r="E101" s="5" t="n">
        <x:v>4</x:v>
      </x:c>
      <x:c r="F101" s="5" t="str">
        <x:v>Winning Opening Value Narrative</x:v>
      </x:c>
      <x:c r="G101" s="5" t="n">
        <x:v>1</x:v>
      </x:c>
      <x:c r="H101" s="5" t="n">
        <x:v>1</x:v>
      </x:c>
      <x:c r="I101" s="5" t="str">
        <x:v>"Our multilingual NLP engine pre-screens patient cohorts across Nordic university clinics in 14 days."</x:v>
      </x:c>
      <x:c r="J101" s="5" t="str">
        <x:v>SOURCE QUOTE; unvalidated / superseded assessments</x:v>
      </x:c>
      <x:c r="L101" s="31" t="str">
        <x:v>D01, Markdown line 377; http://nas-1.tail55d152.ts.net:4100/static/2S_CONSULTING_NORDIC_OUTREACH_STRATEGY.html</x:v>
      </x:c>
    </x:row>
    <x:row r="102" ht="42" customHeight="1">
      <x:c r="A102" s="5" t="str">
        <x:v>D01</x:v>
      </x:c>
      <x:c r="B102" s="5" t="str">
        <x:v>D01-T05</x:v>
      </x:c>
      <x:c r="C102" s="5" t="str">
        <x:v>8. The Complete 6-Wedge Offer Portfolio (&lt;€35,000 Entry Points)</x:v>
      </x:c>
      <x:c r="D102" s="5" t="n">
        <x:v>510</x:v>
      </x:c>
      <x:c r="E102" s="5" t="n">
        <x:v>1</x:v>
      </x:c>
      <x:c r="F102" s="5" t="str">
        <x:v>Wedge Offer &amp; Code</x:v>
      </x:c>
      <x:c r="G102" s="5" t="n">
        <x:v>1</x:v>
      </x:c>
      <x:c r="H102" s="5" t="n">
        <x:v>1</x:v>
      </x:c>
      <x:c r="I102" s="5" t="str">
        <x:v>Wedge 1: 48-Hr MDR/AI Act Gap Scan</x:v>
      </x:c>
      <x:c r="J102" s="5" t="str">
        <x:v>SOURCE QUOTE; unvalidated / superseded assessments</x:v>
      </x:c>
      <x:c r="L102" s="31" t="str">
        <x:v>D01, Markdown line 510; http://nas-1.tail55d152.ts.net:4100/static/2S_CONSULTING_NORDIC_OUTREACH_STRATEGY.html</x:v>
      </x:c>
    </x:row>
    <x:row r="103" ht="42" customHeight="1">
      <x:c r="A103" s="5" t="str">
        <x:v>D01</x:v>
      </x:c>
      <x:c r="B103" s="5" t="str">
        <x:v>D01-T05</x:v>
      </x:c>
      <x:c r="C103" s="5" t="str">
        <x:v>8. The Complete 6-Wedge Offer Portfolio (&lt;€35,000 Entry Points)</x:v>
      </x:c>
      <x:c r="D103" s="5" t="n">
        <x:v>510</x:v>
      </x:c>
      <x:c r="E103" s="5" t="n">
        <x:v>2</x:v>
      </x:c>
      <x:c r="F103" s="5" t="str">
        <x:v>Target Buyer</x:v>
      </x:c>
      <x:c r="G103" s="5" t="n">
        <x:v>1</x:v>
      </x:c>
      <x:c r="H103" s="5" t="n">
        <x:v>1</x:v>
      </x:c>
      <x:c r="I103" s="5" t="str">
        <x:v>VP QA/RA, CTO</x:v>
      </x:c>
      <x:c r="J103" s="5" t="str">
        <x:v>SOURCE QUOTE; unvalidated / superseded assessments</x:v>
      </x:c>
      <x:c r="L103" s="31" t="str">
        <x:v>D01, Markdown line 510; http://nas-1.tail55d152.ts.net:4100/static/2S_CONSULTING_NORDIC_OUTREACH_STRATEGY.html</x:v>
      </x:c>
    </x:row>
    <x:row r="104" ht="42" customHeight="1">
      <x:c r="A104" s="5" t="str">
        <x:v>D01</x:v>
      </x:c>
      <x:c r="B104" s="5" t="str">
        <x:v>D01-T05</x:v>
      </x:c>
      <x:c r="C104" s="5" t="str">
        <x:v>8. The Complete 6-Wedge Offer Portfolio (&lt;€35,000 Entry Points)</x:v>
      </x:c>
      <x:c r="D104" s="5" t="n">
        <x:v>510</x:v>
      </x:c>
      <x:c r="E104" s="5" t="n">
        <x:v>3</x:v>
      </x:c>
      <x:c r="F104" s="5" t="str">
        <x:v>Fixed Investment</x:v>
      </x:c>
      <x:c r="G104" s="5" t="n">
        <x:v>1</x:v>
      </x:c>
      <x:c r="H104" s="5" t="n">
        <x:v>1</x:v>
      </x:c>
      <x:c r="I104" s="5" t="str">
        <x:v>€28,000 / SEK 320k</x:v>
      </x:c>
      <x:c r="J104" s="5" t="str">
        <x:v>SOURCE QUOTE; unvalidated / superseded assessments</x:v>
      </x:c>
      <x:c r="L104" s="31" t="str">
        <x:v>D01, Markdown line 510; http://nas-1.tail55d152.ts.net:4100/static/2S_CONSULTING_NORDIC_OUTREACH_STRATEGY.html</x:v>
      </x:c>
    </x:row>
    <x:row r="105" ht="42" customHeight="1">
      <x:c r="A105" s="5" t="str">
        <x:v>D01</x:v>
      </x:c>
      <x:c r="B105" s="5" t="str">
        <x:v>D01-T05</x:v>
      </x:c>
      <x:c r="C105" s="5" t="str">
        <x:v>8. The Complete 6-Wedge Offer Portfolio (&lt;€35,000 Entry Points)</x:v>
      </x:c>
      <x:c r="D105" s="5" t="n">
        <x:v>510</x:v>
      </x:c>
      <x:c r="E105" s="5" t="n">
        <x:v>4</x:v>
      </x:c>
      <x:c r="F105" s="5" t="str">
        <x:v>Delivery Timeline</x:v>
      </x:c>
      <x:c r="G105" s="5" t="n">
        <x:v>1</x:v>
      </x:c>
      <x:c r="H105" s="5" t="n">
        <x:v>1</x:v>
      </x:c>
      <x:c r="I105" s="5" t="str">
        <x:v>5 Business Days</x:v>
      </x:c>
      <x:c r="J105" s="5" t="str">
        <x:v>SOURCE QUOTE; unvalidated / superseded assessments</x:v>
      </x:c>
      <x:c r="L105" s="31" t="str">
        <x:v>D01, Markdown line 510; http://nas-1.tail55d152.ts.net:4100/static/2S_CONSULTING_NORDIC_OUTREACH_STRATEGY.html</x:v>
      </x:c>
    </x:row>
    <x:row r="106" ht="42" customHeight="1">
      <x:c r="A106" s="5" t="str">
        <x:v>D01</x:v>
      </x:c>
      <x:c r="B106" s="5" t="str">
        <x:v>D01-T05</x:v>
      </x:c>
      <x:c r="C106" s="5" t="str">
        <x:v>8. The Complete 6-Wedge Offer Portfolio (&lt;€35,000 Entry Points)</x:v>
      </x:c>
      <x:c r="D106" s="5" t="n">
        <x:v>510</x:v>
      </x:c>
      <x:c r="E106" s="5" t="n">
        <x:v>5</x:v>
      </x:c>
      <x:c r="F106" s="5" t="str">
        <x:v>Core Deliverables &amp; Artifacts</x:v>
      </x:c>
      <x:c r="G106" s="5" t="n">
        <x:v>1</x:v>
      </x:c>
      <x:c r="H106" s="5" t="n">
        <x:v>1</x:v>
      </x:c>
      <x:c r="I106" s="5" t="str">
        <x:v>Comprehensive GSPR &amp; MDCG 2019-16 gap matrix; red-flag non-conformity list; remediation roadmap.</x:v>
      </x:c>
      <x:c r="J106" s="5" t="str">
        <x:v>SOURCE QUOTE; unvalidated / superseded assessments</x:v>
      </x:c>
      <x:c r="L106" s="31" t="str">
        <x:v>D01, Markdown line 510; http://nas-1.tail55d152.ts.net:4100/static/2S_CONSULTING_NORDIC_OUTREACH_STRATEGY.html</x:v>
      </x:c>
    </x:row>
    <x:row r="107" ht="42" customHeight="1">
      <x:c r="A107" s="5" t="str">
        <x:v>D01</x:v>
      </x:c>
      <x:c r="B107" s="5" t="str">
        <x:v>D01-T05</x:v>
      </x:c>
      <x:c r="C107" s="5" t="str">
        <x:v>8. The Complete 6-Wedge Offer Portfolio (&lt;€35,000 Entry Points)</x:v>
      </x:c>
      <x:c r="D107" s="5" t="n">
        <x:v>510</x:v>
      </x:c>
      <x:c r="E107" s="5" t="n">
        <x:v>6</x:v>
      </x:c>
      <x:c r="F107" s="5" t="str">
        <x:v>Primary Customer ROI</x:v>
      </x:c>
      <x:c r="G107" s="5" t="n">
        <x:v>1</x:v>
      </x:c>
      <x:c r="H107" s="5" t="n">
        <x:v>1</x:v>
      </x:c>
      <x:c r="I107" s="5" t="str">
        <x:v>Prevents 6–12 month Notified Body re-submission delay (€250k+ saved).</x:v>
      </x:c>
      <x:c r="J107" s="5" t="str">
        <x:v>SOURCE QUOTE; unvalidated / superseded assessments</x:v>
      </x:c>
      <x:c r="L107" s="31" t="str">
        <x:v>D01, Markdown line 510; http://nas-1.tail55d152.ts.net:4100/static/2S_CONSULTING_NORDIC_OUTREACH_STRATEGY.html</x:v>
      </x:c>
    </x:row>
    <x:row r="108" ht="42" customHeight="1">
      <x:c r="A108" s="5" t="str">
        <x:v>D01</x:v>
      </x:c>
      <x:c r="B108" s="5" t="str">
        <x:v>D01-T05</x:v>
      </x:c>
      <x:c r="C108" s="5" t="str">
        <x:v>8. The Complete 6-Wedge Offer Portfolio (&lt;€35,000 Entry Points)</x:v>
      </x:c>
      <x:c r="D108" s="5" t="n">
        <x:v>511</x:v>
      </x:c>
      <x:c r="E108" s="5" t="n">
        <x:v>1</x:v>
      </x:c>
      <x:c r="F108" s="5" t="str">
        <x:v>Wedge Offer &amp; Code</x:v>
      </x:c>
      <x:c r="G108" s="5" t="n">
        <x:v>1</x:v>
      </x:c>
      <x:c r="H108" s="5" t="n">
        <x:v>1</x:v>
      </x:c>
      <x:c r="I108" s="5" t="str">
        <x:v>Wedge 2: Hospital CFO DaaS Calculator</x:v>
      </x:c>
      <x:c r="J108" s="5" t="str">
        <x:v>SOURCE QUOTE; unvalidated / superseded assessments</x:v>
      </x:c>
      <x:c r="L108" s="31" t="str">
        <x:v>D01, Markdown line 511; http://nas-1.tail55d152.ts.net:4100/static/2S_CONSULTING_NORDIC_OUTREACH_STRATEGY.html</x:v>
      </x:c>
    </x:row>
    <x:row r="109" ht="42" customHeight="1">
      <x:c r="A109" s="5" t="str">
        <x:v>D01</x:v>
      </x:c>
      <x:c r="B109" s="5" t="str">
        <x:v>D01-T05</x:v>
      </x:c>
      <x:c r="C109" s="5" t="str">
        <x:v>8. The Complete 6-Wedge Offer Portfolio (&lt;€35,000 Entry Points)</x:v>
      </x:c>
      <x:c r="D109" s="5" t="n">
        <x:v>511</x:v>
      </x:c>
      <x:c r="E109" s="5" t="n">
        <x:v>2</x:v>
      </x:c>
      <x:c r="F109" s="5" t="str">
        <x:v>Target Buyer</x:v>
      </x:c>
      <x:c r="G109" s="5" t="n">
        <x:v>1</x:v>
      </x:c>
      <x:c r="H109" s="5" t="n">
        <x:v>1</x:v>
      </x:c>
      <x:c r="I109" s="5" t="str">
        <x:v>CCO, VP Sales</x:v>
      </x:c>
      <x:c r="J109" s="5" t="str">
        <x:v>SOURCE QUOTE; unvalidated / superseded assessments</x:v>
      </x:c>
      <x:c r="L109" s="31" t="str">
        <x:v>D01, Markdown line 511; http://nas-1.tail55d152.ts.net:4100/static/2S_CONSULTING_NORDIC_OUTREACH_STRATEGY.html</x:v>
      </x:c>
    </x:row>
    <x:row r="110" ht="42" customHeight="1">
      <x:c r="A110" s="5" t="str">
        <x:v>D01</x:v>
      </x:c>
      <x:c r="B110" s="5" t="str">
        <x:v>D01-T05</x:v>
      </x:c>
      <x:c r="C110" s="5" t="str">
        <x:v>8. The Complete 6-Wedge Offer Portfolio (&lt;€35,000 Entry Points)</x:v>
      </x:c>
      <x:c r="D110" s="5" t="n">
        <x:v>511</x:v>
      </x:c>
      <x:c r="E110" s="5" t="n">
        <x:v>3</x:v>
      </x:c>
      <x:c r="F110" s="5" t="str">
        <x:v>Fixed Investment</x:v>
      </x:c>
      <x:c r="G110" s="5" t="n">
        <x:v>1</x:v>
      </x:c>
      <x:c r="H110" s="5" t="n">
        <x:v>1</x:v>
      </x:c>
      <x:c r="I110" s="5" t="str">
        <x:v>€28,000 / SEK 320k</x:v>
      </x:c>
      <x:c r="J110" s="5" t="str">
        <x:v>SOURCE QUOTE; unvalidated / superseded assessments</x:v>
      </x:c>
      <x:c r="L110" s="31" t="str">
        <x:v>D01, Markdown line 511; http://nas-1.tail55d152.ts.net:4100/static/2S_CONSULTING_NORDIC_OUTREACH_STRATEGY.html</x:v>
      </x:c>
    </x:row>
    <x:row r="111" ht="42" customHeight="1">
      <x:c r="A111" s="5" t="str">
        <x:v>D01</x:v>
      </x:c>
      <x:c r="B111" s="5" t="str">
        <x:v>D01-T05</x:v>
      </x:c>
      <x:c r="C111" s="5" t="str">
        <x:v>8. The Complete 6-Wedge Offer Portfolio (&lt;€35,000 Entry Points)</x:v>
      </x:c>
      <x:c r="D111" s="5" t="n">
        <x:v>511</x:v>
      </x:c>
      <x:c r="E111" s="5" t="n">
        <x:v>4</x:v>
      </x:c>
      <x:c r="F111" s="5" t="str">
        <x:v>Delivery Timeline</x:v>
      </x:c>
      <x:c r="G111" s="5" t="n">
        <x:v>1</x:v>
      </x:c>
      <x:c r="H111" s="5" t="n">
        <x:v>1</x:v>
      </x:c>
      <x:c r="I111" s="5" t="str">
        <x:v>10 Business Days</x:v>
      </x:c>
      <x:c r="J111" s="5" t="str">
        <x:v>SOURCE QUOTE; unvalidated / superseded assessments</x:v>
      </x:c>
      <x:c r="L111" s="31" t="str">
        <x:v>D01, Markdown line 511; http://nas-1.tail55d152.ts.net:4100/static/2S_CONSULTING_NORDIC_OUTREACH_STRATEGY.html</x:v>
      </x:c>
    </x:row>
    <x:row r="112" ht="42" customHeight="1">
      <x:c r="A112" s="5" t="str">
        <x:v>D01</x:v>
      </x:c>
      <x:c r="B112" s="5" t="str">
        <x:v>D01-T05</x:v>
      </x:c>
      <x:c r="C112" s="5" t="str">
        <x:v>8. The Complete 6-Wedge Offer Portfolio (&lt;€35,000 Entry Points)</x:v>
      </x:c>
      <x:c r="D112" s="5" t="n">
        <x:v>511</x:v>
      </x:c>
      <x:c r="E112" s="5" t="n">
        <x:v>5</x:v>
      </x:c>
      <x:c r="F112" s="5" t="str">
        <x:v>Core Deliverables &amp; Artifacts</x:v>
      </x:c>
      <x:c r="G112" s="5" t="n">
        <x:v>1</x:v>
      </x:c>
      <x:c r="H112" s="5" t="n">
        <x:v>1</x:v>
      </x:c>
      <x:c r="I112" s="5" t="str">
        <x:v>Interactive HEOR economic model; ICU bed-day reduction simulator; commercial sales presentation deck.</x:v>
      </x:c>
      <x:c r="J112" s="5" t="str">
        <x:v>SOURCE QUOTE; unvalidated / superseded assessments</x:v>
      </x:c>
      <x:c r="L112" s="31" t="str">
        <x:v>D01, Markdown line 511; http://nas-1.tail55d152.ts.net:4100/static/2S_CONSULTING_NORDIC_OUTREACH_STRATEGY.html</x:v>
      </x:c>
    </x:row>
    <x:row r="113" ht="42" customHeight="1">
      <x:c r="A113" s="5" t="str">
        <x:v>D01</x:v>
      </x:c>
      <x:c r="B113" s="5" t="str">
        <x:v>D01-T05</x:v>
      </x:c>
      <x:c r="C113" s="5" t="str">
        <x:v>8. The Complete 6-Wedge Offer Portfolio (&lt;€35,000 Entry Points)</x:v>
      </x:c>
      <x:c r="D113" s="5" t="n">
        <x:v>511</x:v>
      </x:c>
      <x:c r="E113" s="5" t="n">
        <x:v>6</x:v>
      </x:c>
      <x:c r="F113" s="5" t="str">
        <x:v>Primary Customer ROI</x:v>
      </x:c>
      <x:c r="G113" s="5" t="n">
        <x:v>1</x:v>
      </x:c>
      <x:c r="H113" s="5" t="n">
        <x:v>1</x:v>
      </x:c>
      <x:c r="I113" s="5" t="str">
        <x:v>Unfreezes hospital procurement capex; lifts tender win rates by 3.2x.</x:v>
      </x:c>
      <x:c r="J113" s="5" t="str">
        <x:v>SOURCE QUOTE; unvalidated / superseded assessments</x:v>
      </x:c>
      <x:c r="L113" s="31" t="str">
        <x:v>D01, Markdown line 511; http://nas-1.tail55d152.ts.net:4100/static/2S_CONSULTING_NORDIC_OUTREACH_STRATEGY.html</x:v>
      </x:c>
    </x:row>
    <x:row r="114" ht="42" customHeight="1">
      <x:c r="A114" s="5" t="str">
        <x:v>D01</x:v>
      </x:c>
      <x:c r="B114" s="5" t="str">
        <x:v>D01-T05</x:v>
      </x:c>
      <x:c r="C114" s="5" t="str">
        <x:v>8. The Complete 6-Wedge Offer Portfolio (&lt;€35,000 Entry Points)</x:v>
      </x:c>
      <x:c r="D114" s="5" t="n">
        <x:v>512</x:v>
      </x:c>
      <x:c r="E114" s="5" t="n">
        <x:v>1</x:v>
      </x:c>
      <x:c r="F114" s="5" t="str">
        <x:v>Wedge Offer &amp; Code</x:v>
      </x:c>
      <x:c r="G114" s="5" t="n">
        <x:v>1</x:v>
      </x:c>
      <x:c r="H114" s="5" t="n">
        <x:v>1</x:v>
      </x:c>
      <x:c r="I114" s="5" t="str">
        <x:v>Wedge 3: API Yield &amp; Cleanroom Turnaround</x:v>
      </x:c>
      <x:c r="J114" s="5" t="str">
        <x:v>SOURCE QUOTE; unvalidated / superseded assessments</x:v>
      </x:c>
      <x:c r="L114" s="31" t="str">
        <x:v>D01, Markdown line 512; http://nas-1.tail55d152.ts.net:4100/static/2S_CONSULTING_NORDIC_OUTREACH_STRATEGY.html</x:v>
      </x:c>
    </x:row>
    <x:row r="115" ht="42" customHeight="1">
      <x:c r="A115" s="5" t="str">
        <x:v>D01</x:v>
      </x:c>
      <x:c r="B115" s="5" t="str">
        <x:v>D01-T05</x:v>
      </x:c>
      <x:c r="C115" s="5" t="str">
        <x:v>8. The Complete 6-Wedge Offer Portfolio (&lt;€35,000 Entry Points)</x:v>
      </x:c>
      <x:c r="D115" s="5" t="n">
        <x:v>512</x:v>
      </x:c>
      <x:c r="E115" s="5" t="n">
        <x:v>2</x:v>
      </x:c>
      <x:c r="F115" s="5" t="str">
        <x:v>Target Buyer</x:v>
      </x:c>
      <x:c r="G115" s="5" t="n">
        <x:v>1</x:v>
      </x:c>
      <x:c r="H115" s="5" t="n">
        <x:v>1</x:v>
      </x:c>
      <x:c r="I115" s="5" t="str">
        <x:v>Plant Director</x:v>
      </x:c>
      <x:c r="J115" s="5" t="str">
        <x:v>SOURCE QUOTE; unvalidated / superseded assessments</x:v>
      </x:c>
      <x:c r="L115" s="31" t="str">
        <x:v>D01, Markdown line 512; http://nas-1.tail55d152.ts.net:4100/static/2S_CONSULTING_NORDIC_OUTREACH_STRATEGY.html</x:v>
      </x:c>
    </x:row>
    <x:row r="116" ht="42" customHeight="1">
      <x:c r="A116" s="5" t="str">
        <x:v>D01</x:v>
      </x:c>
      <x:c r="B116" s="5" t="str">
        <x:v>D01-T05</x:v>
      </x:c>
      <x:c r="C116" s="5" t="str">
        <x:v>8. The Complete 6-Wedge Offer Portfolio (&lt;€35,000 Entry Points)</x:v>
      </x:c>
      <x:c r="D116" s="5" t="n">
        <x:v>512</x:v>
      </x:c>
      <x:c r="E116" s="5" t="n">
        <x:v>3</x:v>
      </x:c>
      <x:c r="F116" s="5" t="str">
        <x:v>Fixed Investment</x:v>
      </x:c>
      <x:c r="G116" s="5" t="n">
        <x:v>1</x:v>
      </x:c>
      <x:c r="H116" s="5" t="n">
        <x:v>1</x:v>
      </x:c>
      <x:c r="I116" s="5" t="str">
        <x:v>€32,000 / SEK 360k</x:v>
      </x:c>
      <x:c r="J116" s="5" t="str">
        <x:v>SOURCE QUOTE; unvalidated / superseded assessments</x:v>
      </x:c>
      <x:c r="L116" s="31" t="str">
        <x:v>D01, Markdown line 512; http://nas-1.tail55d152.ts.net:4100/static/2S_CONSULTING_NORDIC_OUTREACH_STRATEGY.html</x:v>
      </x:c>
    </x:row>
    <x:row r="117" ht="42" customHeight="1">
      <x:c r="A117" s="5" t="str">
        <x:v>D01</x:v>
      </x:c>
      <x:c r="B117" s="5" t="str">
        <x:v>D01-T05</x:v>
      </x:c>
      <x:c r="C117" s="5" t="str">
        <x:v>8. The Complete 6-Wedge Offer Portfolio (&lt;€35,000 Entry Points)</x:v>
      </x:c>
      <x:c r="D117" s="5" t="n">
        <x:v>512</x:v>
      </x:c>
      <x:c r="E117" s="5" t="n">
        <x:v>4</x:v>
      </x:c>
      <x:c r="F117" s="5" t="str">
        <x:v>Delivery Timeline</x:v>
      </x:c>
      <x:c r="G117" s="5" t="n">
        <x:v>1</x:v>
      </x:c>
      <x:c r="H117" s="5" t="n">
        <x:v>1</x:v>
      </x:c>
      <x:c r="I117" s="5" t="str">
        <x:v>30 Calendar Days</x:v>
      </x:c>
      <x:c r="J117" s="5" t="str">
        <x:v>SOURCE QUOTE; unvalidated / superseded assessments</x:v>
      </x:c>
      <x:c r="L117" s="31" t="str">
        <x:v>D01, Markdown line 512; http://nas-1.tail55d152.ts.net:4100/static/2S_CONSULTING_NORDIC_OUTREACH_STRATEGY.html</x:v>
      </x:c>
    </x:row>
    <x:row r="118" ht="42" customHeight="1">
      <x:c r="A118" s="5" t="str">
        <x:v>D01</x:v>
      </x:c>
      <x:c r="B118" s="5" t="str">
        <x:v>D01-T05</x:v>
      </x:c>
      <x:c r="C118" s="5" t="str">
        <x:v>8. The Complete 6-Wedge Offer Portfolio (&lt;€35,000 Entry Points)</x:v>
      </x:c>
      <x:c r="D118" s="5" t="n">
        <x:v>512</x:v>
      </x:c>
      <x:c r="E118" s="5" t="n">
        <x:v>5</x:v>
      </x:c>
      <x:c r="F118" s="5" t="str">
        <x:v>Core Deliverables &amp; Artifacts</x:v>
      </x:c>
      <x:c r="G118" s="5" t="n">
        <x:v>1</x:v>
      </x:c>
      <x:c r="H118" s="5" t="n">
        <x:v>1</x:v>
      </x:c>
      <x:c r="I118" s="5" t="str">
        <x:v>Activity-based batch cost model; line changeover time-motion study; cleanroom sanitization protocol.</x:v>
      </x:c>
      <x:c r="J118" s="5" t="str">
        <x:v>SOURCE QUOTE; unvalidated / superseded assessments</x:v>
      </x:c>
      <x:c r="L118" s="31" t="str">
        <x:v>D01, Markdown line 512; http://nas-1.tail55d152.ts.net:4100/static/2S_CONSULTING_NORDIC_OUTREACH_STRATEGY.html</x:v>
      </x:c>
    </x:row>
    <x:row r="119" ht="42" customHeight="1">
      <x:c r="A119" s="5" t="str">
        <x:v>D01</x:v>
      </x:c>
      <x:c r="B119" s="5" t="str">
        <x:v>D01-T05</x:v>
      </x:c>
      <x:c r="C119" s="5" t="str">
        <x:v>8. The Complete 6-Wedge Offer Portfolio (&lt;€35,000 Entry Points)</x:v>
      </x:c>
      <x:c r="D119" s="5" t="n">
        <x:v>512</x:v>
      </x:c>
      <x:c r="E119" s="5" t="n">
        <x:v>6</x:v>
      </x:c>
      <x:c r="F119" s="5" t="str">
        <x:v>Primary Customer ROI</x:v>
      </x:c>
      <x:c r="G119" s="5" t="n">
        <x:v>1</x:v>
      </x:c>
      <x:c r="H119" s="5" t="n">
        <x:v>1</x:v>
      </x:c>
      <x:c r="I119" s="5" t="str">
        <x:v>Slashes changeover downtime by 40%; reclaims 12–18 production hrs/wk.</x:v>
      </x:c>
      <x:c r="J119" s="5" t="str">
        <x:v>SOURCE QUOTE; unvalidated / superseded assessments</x:v>
      </x:c>
      <x:c r="L119" s="31" t="str">
        <x:v>D01, Markdown line 512; http://nas-1.tail55d152.ts.net:4100/static/2S_CONSULTING_NORDIC_OUTREACH_STRATEGY.html</x:v>
      </x:c>
    </x:row>
    <x:row r="120" ht="42" customHeight="1">
      <x:c r="A120" s="5" t="str">
        <x:v>D01</x:v>
      </x:c>
      <x:c r="B120" s="5" t="str">
        <x:v>D01-T05</x:v>
      </x:c>
      <x:c r="C120" s="5" t="str">
        <x:v>8. The Complete 6-Wedge Offer Portfolio (&lt;€35,000 Entry Points)</x:v>
      </x:c>
      <x:c r="D120" s="5" t="n">
        <x:v>513</x:v>
      </x:c>
      <x:c r="E120" s="5" t="n">
        <x:v>1</x:v>
      </x:c>
      <x:c r="F120" s="5" t="str">
        <x:v>Wedge Offer &amp; Code</x:v>
      </x:c>
      <x:c r="G120" s="5" t="n">
        <x:v>1</x:v>
      </x:c>
      <x:c r="H120" s="5" t="n">
        <x:v>1</x:v>
      </x:c>
      <x:c r="I120" s="5" t="str">
        <x:v>Wedge 4: Pharma GTN Tender Leakage Audit</x:v>
      </x:c>
      <x:c r="J120" s="5" t="str">
        <x:v>SOURCE QUOTE; unvalidated / superseded assessments</x:v>
      </x:c>
      <x:c r="L120" s="31" t="str">
        <x:v>D01, Markdown line 513; http://nas-1.tail55d152.ts.net:4100/static/2S_CONSULTING_NORDIC_OUTREACH_STRATEGY.html</x:v>
      </x:c>
    </x:row>
    <x:row r="121" ht="42" customHeight="1">
      <x:c r="A121" s="5" t="str">
        <x:v>D01</x:v>
      </x:c>
      <x:c r="B121" s="5" t="str">
        <x:v>D01-T05</x:v>
      </x:c>
      <x:c r="C121" s="5" t="str">
        <x:v>8. The Complete 6-Wedge Offer Portfolio (&lt;€35,000 Entry Points)</x:v>
      </x:c>
      <x:c r="D121" s="5" t="n">
        <x:v>513</x:v>
      </x:c>
      <x:c r="E121" s="5" t="n">
        <x:v>2</x:v>
      </x:c>
      <x:c r="F121" s="5" t="str">
        <x:v>Target Buyer</x:v>
      </x:c>
      <x:c r="G121" s="5" t="n">
        <x:v>1</x:v>
      </x:c>
      <x:c r="H121" s="5" t="n">
        <x:v>1</x:v>
      </x:c>
      <x:c r="I121" s="5" t="str">
        <x:v>CCO, Head Market Access</x:v>
      </x:c>
      <x:c r="J121" s="5" t="str">
        <x:v>SOURCE QUOTE; unvalidated / superseded assessments</x:v>
      </x:c>
      <x:c r="L121" s="31" t="str">
        <x:v>D01, Markdown line 513; http://nas-1.tail55d152.ts.net:4100/static/2S_CONSULTING_NORDIC_OUTREACH_STRATEGY.html</x:v>
      </x:c>
    </x:row>
    <x:row r="122" ht="42" customHeight="1">
      <x:c r="A122" s="5" t="str">
        <x:v>D01</x:v>
      </x:c>
      <x:c r="B122" s="5" t="str">
        <x:v>D01-T05</x:v>
      </x:c>
      <x:c r="C122" s="5" t="str">
        <x:v>8. The Complete 6-Wedge Offer Portfolio (&lt;€35,000 Entry Points)</x:v>
      </x:c>
      <x:c r="D122" s="5" t="n">
        <x:v>513</x:v>
      </x:c>
      <x:c r="E122" s="5" t="n">
        <x:v>3</x:v>
      </x:c>
      <x:c r="F122" s="5" t="str">
        <x:v>Fixed Investment</x:v>
      </x:c>
      <x:c r="G122" s="5" t="n">
        <x:v>1</x:v>
      </x:c>
      <x:c r="H122" s="5" t="n">
        <x:v>1</x:v>
      </x:c>
      <x:c r="I122" s="5" t="str">
        <x:v>€28,000 / SEK 320k</x:v>
      </x:c>
      <x:c r="J122" s="5" t="str">
        <x:v>SOURCE QUOTE; unvalidated / superseded assessments</x:v>
      </x:c>
      <x:c r="L122" s="31" t="str">
        <x:v>D01, Markdown line 513; http://nas-1.tail55d152.ts.net:4100/static/2S_CONSULTING_NORDIC_OUTREACH_STRATEGY.html</x:v>
      </x:c>
    </x:row>
    <x:row r="123" ht="42" customHeight="1">
      <x:c r="A123" s="5" t="str">
        <x:v>D01</x:v>
      </x:c>
      <x:c r="B123" s="5" t="str">
        <x:v>D01-T05</x:v>
      </x:c>
      <x:c r="C123" s="5" t="str">
        <x:v>8. The Complete 6-Wedge Offer Portfolio (&lt;€35,000 Entry Points)</x:v>
      </x:c>
      <x:c r="D123" s="5" t="n">
        <x:v>513</x:v>
      </x:c>
      <x:c r="E123" s="5" t="n">
        <x:v>4</x:v>
      </x:c>
      <x:c r="F123" s="5" t="str">
        <x:v>Delivery Timeline</x:v>
      </x:c>
      <x:c r="G123" s="5" t="n">
        <x:v>1</x:v>
      </x:c>
      <x:c r="H123" s="5" t="n">
        <x:v>1</x:v>
      </x:c>
      <x:c r="I123" s="5" t="str">
        <x:v>21 Calendar Days</x:v>
      </x:c>
      <x:c r="J123" s="5" t="str">
        <x:v>SOURCE QUOTE; unvalidated / superseded assessments</x:v>
      </x:c>
      <x:c r="L123" s="31" t="str">
        <x:v>D01, Markdown line 513; http://nas-1.tail55d152.ts.net:4100/static/2S_CONSULTING_NORDIC_OUTREACH_STRATEGY.html</x:v>
      </x:c>
    </x:row>
    <x:row r="124" ht="42" customHeight="1">
      <x:c r="A124" s="5" t="str">
        <x:v>D01</x:v>
      </x:c>
      <x:c r="B124" s="5" t="str">
        <x:v>D01-T05</x:v>
      </x:c>
      <x:c r="C124" s="5" t="str">
        <x:v>8. The Complete 6-Wedge Offer Portfolio (&lt;€35,000 Entry Points)</x:v>
      </x:c>
      <x:c r="D124" s="5" t="n">
        <x:v>513</x:v>
      </x:c>
      <x:c r="E124" s="5" t="n">
        <x:v>5</x:v>
      </x:c>
      <x:c r="F124" s="5" t="str">
        <x:v>Core Deliverables &amp; Artifacts</x:v>
      </x:c>
      <x:c r="G124" s="5" t="n">
        <x:v>1</x:v>
      </x:c>
      <x:c r="H124" s="5" t="n">
        <x:v>1</x:v>
      </x:c>
      <x:c r="I124" s="5" t="str">
        <x:v>Primary ERP vs Tamro/Oriola stockist reconciliation; tender rebate leakage map; penalty mitigation model.</x:v>
      </x:c>
      <x:c r="J124" s="5" t="str">
        <x:v>SOURCE QUOTE; unvalidated / superseded assessments</x:v>
      </x:c>
      <x:c r="L124" s="31" t="str">
        <x:v>D01, Markdown line 513; http://nas-1.tail55d152.ts.net:4100/static/2S_CONSULTING_NORDIC_OUTREACH_STRATEGY.html</x:v>
      </x:c>
    </x:row>
    <x:row r="125" ht="42" customHeight="1">
      <x:c r="A125" s="5" t="str">
        <x:v>D01</x:v>
      </x:c>
      <x:c r="B125" s="5" t="str">
        <x:v>D01-T05</x:v>
      </x:c>
      <x:c r="C125" s="5" t="str">
        <x:v>8. The Complete 6-Wedge Offer Portfolio (&lt;€35,000 Entry Points)</x:v>
      </x:c>
      <x:c r="D125" s="5" t="n">
        <x:v>513</x:v>
      </x:c>
      <x:c r="E125" s="5" t="n">
        <x:v>6</x:v>
      </x:c>
      <x:c r="F125" s="5" t="str">
        <x:v>Primary Customer ROI</x:v>
      </x:c>
      <x:c r="G125" s="5" t="n">
        <x:v>1</x:v>
      </x:c>
      <x:c r="H125" s="5" t="n">
        <x:v>1</x:v>
      </x:c>
      <x:c r="I125" s="5" t="str">
        <x:v>Recovers 3% to 5% in uncollected gross-to-net tender margin.</x:v>
      </x:c>
      <x:c r="J125" s="5" t="str">
        <x:v>SOURCE QUOTE; unvalidated / superseded assessments</x:v>
      </x:c>
      <x:c r="L125" s="31" t="str">
        <x:v>D01, Markdown line 513; http://nas-1.tail55d152.ts.net:4100/static/2S_CONSULTING_NORDIC_OUTREACH_STRATEGY.html</x:v>
      </x:c>
    </x:row>
    <x:row r="126" ht="42" customHeight="1">
      <x:c r="A126" s="5" t="str">
        <x:v>D01</x:v>
      </x:c>
      <x:c r="B126" s="5" t="str">
        <x:v>D01-T05</x:v>
      </x:c>
      <x:c r="C126" s="5" t="str">
        <x:v>8. The Complete 6-Wedge Offer Portfolio (&lt;€35,000 Entry Points)</x:v>
      </x:c>
      <x:c r="D126" s="5" t="n">
        <x:v>514</x:v>
      </x:c>
      <x:c r="E126" s="5" t="n">
        <x:v>1</x:v>
      </x:c>
      <x:c r="F126" s="5" t="str">
        <x:v>Wedge Offer &amp; Code</x:v>
      </x:c>
      <x:c r="G126" s="5" t="n">
        <x:v>1</x:v>
      </x:c>
      <x:c r="H126" s="5" t="n">
        <x:v>1</x:v>
      </x:c>
      <x:c r="I126" s="5" t="str">
        <x:v>Wedge 5: Clinical Burn &amp; NLP Screening</x:v>
      </x:c>
      <x:c r="J126" s="5" t="str">
        <x:v>SOURCE QUOTE; unvalidated / superseded assessments</x:v>
      </x:c>
      <x:c r="L126" s="31" t="str">
        <x:v>D01, Markdown line 514; http://nas-1.tail55d152.ts.net:4100/static/2S_CONSULTING_NORDIC_OUTREACH_STRATEGY.html</x:v>
      </x:c>
    </x:row>
    <x:row r="127" ht="42" customHeight="1">
      <x:c r="A127" s="5" t="str">
        <x:v>D01</x:v>
      </x:c>
      <x:c r="B127" s="5" t="str">
        <x:v>D01-T05</x:v>
      </x:c>
      <x:c r="C127" s="5" t="str">
        <x:v>8. The Complete 6-Wedge Offer Portfolio (&lt;€35,000 Entry Points)</x:v>
      </x:c>
      <x:c r="D127" s="5" t="n">
        <x:v>514</x:v>
      </x:c>
      <x:c r="E127" s="5" t="n">
        <x:v>2</x:v>
      </x:c>
      <x:c r="F127" s="5" t="str">
        <x:v>Target Buyer</x:v>
      </x:c>
      <x:c r="G127" s="5" t="n">
        <x:v>1</x:v>
      </x:c>
      <x:c r="H127" s="5" t="n">
        <x:v>1</x:v>
      </x:c>
      <x:c r="I127" s="5" t="str">
        <x:v>CMO, VP Clinical</x:v>
      </x:c>
      <x:c r="J127" s="5" t="str">
        <x:v>SOURCE QUOTE; unvalidated / superseded assessments</x:v>
      </x:c>
      <x:c r="L127" s="31" t="str">
        <x:v>D01, Markdown line 514; http://nas-1.tail55d152.ts.net:4100/static/2S_CONSULTING_NORDIC_OUTREACH_STRATEGY.html</x:v>
      </x:c>
    </x:row>
    <x:row r="128" ht="42" customHeight="1">
      <x:c r="A128" s="5" t="str">
        <x:v>D01</x:v>
      </x:c>
      <x:c r="B128" s="5" t="str">
        <x:v>D01-T05</x:v>
      </x:c>
      <x:c r="C128" s="5" t="str">
        <x:v>8. The Complete 6-Wedge Offer Portfolio (&lt;€35,000 Entry Points)</x:v>
      </x:c>
      <x:c r="D128" s="5" t="n">
        <x:v>514</x:v>
      </x:c>
      <x:c r="E128" s="5" t="n">
        <x:v>3</x:v>
      </x:c>
      <x:c r="F128" s="5" t="str">
        <x:v>Fixed Investment</x:v>
      </x:c>
      <x:c r="G128" s="5" t="n">
        <x:v>1</x:v>
      </x:c>
      <x:c r="H128" s="5" t="n">
        <x:v>1</x:v>
      </x:c>
      <x:c r="I128" s="5" t="str">
        <x:v>€35,000 / SEK 400k</x:v>
      </x:c>
      <x:c r="J128" s="5" t="str">
        <x:v>SOURCE QUOTE; unvalidated / superseded assessments</x:v>
      </x:c>
      <x:c r="L128" s="31" t="str">
        <x:v>D01, Markdown line 514; http://nas-1.tail55d152.ts.net:4100/static/2S_CONSULTING_NORDIC_OUTREACH_STRATEGY.html</x:v>
      </x:c>
    </x:row>
    <x:row r="129" ht="42" customHeight="1">
      <x:c r="A129" s="5" t="str">
        <x:v>D01</x:v>
      </x:c>
      <x:c r="B129" s="5" t="str">
        <x:v>D01-T05</x:v>
      </x:c>
      <x:c r="C129" s="5" t="str">
        <x:v>8. The Complete 6-Wedge Offer Portfolio (&lt;€35,000 Entry Points)</x:v>
      </x:c>
      <x:c r="D129" s="5" t="n">
        <x:v>514</x:v>
      </x:c>
      <x:c r="E129" s="5" t="n">
        <x:v>4</x:v>
      </x:c>
      <x:c r="F129" s="5" t="str">
        <x:v>Delivery Timeline</x:v>
      </x:c>
      <x:c r="G129" s="5" t="n">
        <x:v>1</x:v>
      </x:c>
      <x:c r="H129" s="5" t="n">
        <x:v>1</x:v>
      </x:c>
      <x:c r="I129" s="5" t="str">
        <x:v>14 Calendar Days</x:v>
      </x:c>
      <x:c r="J129" s="5" t="str">
        <x:v>SOURCE QUOTE; unvalidated / superseded assessments</x:v>
      </x:c>
      <x:c r="L129" s="31" t="str">
        <x:v>D01, Markdown line 514; http://nas-1.tail55d152.ts.net:4100/static/2S_CONSULTING_NORDIC_OUTREACH_STRATEGY.html</x:v>
      </x:c>
    </x:row>
    <x:row r="130" ht="42" customHeight="1">
      <x:c r="A130" s="5" t="str">
        <x:v>D01</x:v>
      </x:c>
      <x:c r="B130" s="5" t="str">
        <x:v>D01-T05</x:v>
      </x:c>
      <x:c r="C130" s="5" t="str">
        <x:v>8. The Complete 6-Wedge Offer Portfolio (&lt;€35,000 Entry Points)</x:v>
      </x:c>
      <x:c r="D130" s="5" t="n">
        <x:v>514</x:v>
      </x:c>
      <x:c r="E130" s="5" t="n">
        <x:v>5</x:v>
      </x:c>
      <x:c r="F130" s="5" t="str">
        <x:v>Core Deliverables &amp; Artifacts</x:v>
      </x:c>
      <x:c r="G130" s="5" t="n">
        <x:v>1</x:v>
      </x:c>
      <x:c r="H130" s="5" t="n">
        <x:v>1</x:v>
      </x:c>
      <x:c r="I130" s="5" t="str">
        <x:v>Multilingual NLP screening report; Scandinavian university clinic cohort map; protocol bottleneck teardown.</x:v>
      </x:c>
      <x:c r="J130" s="5" t="str">
        <x:v>SOURCE QUOTE; unvalidated / superseded assessments</x:v>
      </x:c>
      <x:c r="L130" s="31" t="str">
        <x:v>D01, Markdown line 514; http://nas-1.tail55d152.ts.net:4100/static/2S_CONSULTING_NORDIC_OUTREACH_STRATEGY.html</x:v>
      </x:c>
    </x:row>
    <x:row r="131" ht="42" customHeight="1">
      <x:c r="A131" s="5" t="str">
        <x:v>D01</x:v>
      </x:c>
      <x:c r="B131" s="5" t="str">
        <x:v>D01-T05</x:v>
      </x:c>
      <x:c r="C131" s="5" t="str">
        <x:v>8. The Complete 6-Wedge Offer Portfolio (&lt;€35,000 Entry Points)</x:v>
      </x:c>
      <x:c r="D131" s="5" t="n">
        <x:v>514</x:v>
      </x:c>
      <x:c r="E131" s="5" t="n">
        <x:v>6</x:v>
      </x:c>
      <x:c r="F131" s="5" t="str">
        <x:v>Primary Customer ROI</x:v>
      </x:c>
      <x:c r="G131" s="5" t="n">
        <x:v>1</x:v>
      </x:c>
      <x:c r="H131" s="5" t="n">
        <x:v>1</x:v>
      </x:c>
      <x:c r="I131" s="5" t="str">
        <x:v>Shaves 2.5 months off trial recruitment, saving €1.8M in idle burn.</x:v>
      </x:c>
      <x:c r="J131" s="5" t="str">
        <x:v>SOURCE QUOTE; unvalidated / superseded assessments</x:v>
      </x:c>
      <x:c r="L131" s="31" t="str">
        <x:v>D01, Markdown line 514; http://nas-1.tail55d152.ts.net:4100/static/2S_CONSULTING_NORDIC_OUTREACH_STRATEGY.html</x:v>
      </x:c>
    </x:row>
    <x:row r="132" ht="42" customHeight="1">
      <x:c r="A132" s="5" t="str">
        <x:v>D01</x:v>
      </x:c>
      <x:c r="B132" s="5" t="str">
        <x:v>D01-T05</x:v>
      </x:c>
      <x:c r="C132" s="5" t="str">
        <x:v>8. The Complete 6-Wedge Offer Portfolio (&lt;€35,000 Entry Points)</x:v>
      </x:c>
      <x:c r="D132" s="5" t="n">
        <x:v>515</x:v>
      </x:c>
      <x:c r="E132" s="5" t="n">
        <x:v>1</x:v>
      </x:c>
      <x:c r="F132" s="5" t="str">
        <x:v>Wedge Offer &amp; Code</x:v>
      </x:c>
      <x:c r="G132" s="5" t="n">
        <x:v>1</x:v>
      </x:c>
      <x:c r="H132" s="5" t="n">
        <x:v>1</x:v>
      </x:c>
      <x:c r="I132" s="5" t="str">
        <x:v>Wedge 6: Adversarial Audit Simulation</x:v>
      </x:c>
      <x:c r="J132" s="5" t="str">
        <x:v>SOURCE QUOTE; unvalidated / superseded assessments</x:v>
      </x:c>
      <x:c r="L132" s="31" t="str">
        <x:v>D01, Markdown line 515; http://nas-1.tail55d152.ts.net:4100/static/2S_CONSULTING_NORDIC_OUTREACH_STRATEGY.html</x:v>
      </x:c>
    </x:row>
    <x:row r="133" ht="42" customHeight="1">
      <x:c r="A133" s="5" t="str">
        <x:v>D01</x:v>
      </x:c>
      <x:c r="B133" s="5" t="str">
        <x:v>D01-T05</x:v>
      </x:c>
      <x:c r="C133" s="5" t="str">
        <x:v>8. The Complete 6-Wedge Offer Portfolio (&lt;€35,000 Entry Points)</x:v>
      </x:c>
      <x:c r="D133" s="5" t="n">
        <x:v>515</x:v>
      </x:c>
      <x:c r="E133" s="5" t="n">
        <x:v>2</x:v>
      </x:c>
      <x:c r="F133" s="5" t="str">
        <x:v>Target Buyer</x:v>
      </x:c>
      <x:c r="G133" s="5" t="n">
        <x:v>1</x:v>
      </x:c>
      <x:c r="H133" s="5" t="n">
        <x:v>1</x:v>
      </x:c>
      <x:c r="I133" s="5" t="str">
        <x:v>VP Quality, COO</x:v>
      </x:c>
      <x:c r="J133" s="5" t="str">
        <x:v>SOURCE QUOTE; unvalidated / superseded assessments</x:v>
      </x:c>
      <x:c r="L133" s="31" t="str">
        <x:v>D01, Markdown line 515; http://nas-1.tail55d152.ts.net:4100/static/2S_CONSULTING_NORDIC_OUTREACH_STRATEGY.html</x:v>
      </x:c>
    </x:row>
    <x:row r="134" ht="42" customHeight="1">
      <x:c r="A134" s="5" t="str">
        <x:v>D01</x:v>
      </x:c>
      <x:c r="B134" s="5" t="str">
        <x:v>D01-T05</x:v>
      </x:c>
      <x:c r="C134" s="5" t="str">
        <x:v>8. The Complete 6-Wedge Offer Portfolio (&lt;€35,000 Entry Points)</x:v>
      </x:c>
      <x:c r="D134" s="5" t="n">
        <x:v>515</x:v>
      </x:c>
      <x:c r="E134" s="5" t="n">
        <x:v>3</x:v>
      </x:c>
      <x:c r="F134" s="5" t="str">
        <x:v>Fixed Investment</x:v>
      </x:c>
      <x:c r="G134" s="5" t="n">
        <x:v>1</x:v>
      </x:c>
      <x:c r="H134" s="5" t="n">
        <x:v>1</x:v>
      </x:c>
      <x:c r="I134" s="5" t="str">
        <x:v>€35,000 / SEK 400k</x:v>
      </x:c>
      <x:c r="J134" s="5" t="str">
        <x:v>SOURCE QUOTE; unvalidated / superseded assessments</x:v>
      </x:c>
      <x:c r="L134" s="31" t="str">
        <x:v>D01, Markdown line 515; http://nas-1.tail55d152.ts.net:4100/static/2S_CONSULTING_NORDIC_OUTREACH_STRATEGY.html</x:v>
      </x:c>
    </x:row>
    <x:row r="135" ht="42" customHeight="1">
      <x:c r="A135" s="5" t="str">
        <x:v>D01</x:v>
      </x:c>
      <x:c r="B135" s="5" t="str">
        <x:v>D01-T05</x:v>
      </x:c>
      <x:c r="C135" s="5" t="str">
        <x:v>8. The Complete 6-Wedge Offer Portfolio (&lt;€35,000 Entry Points)</x:v>
      </x:c>
      <x:c r="D135" s="5" t="n">
        <x:v>515</x:v>
      </x:c>
      <x:c r="E135" s="5" t="n">
        <x:v>4</x:v>
      </x:c>
      <x:c r="F135" s="5" t="str">
        <x:v>Delivery Timeline</x:v>
      </x:c>
      <x:c r="G135" s="5" t="n">
        <x:v>1</x:v>
      </x:c>
      <x:c r="H135" s="5" t="n">
        <x:v>1</x:v>
      </x:c>
      <x:c r="I135" s="5" t="str">
        <x:v>10 Business Days</x:v>
      </x:c>
      <x:c r="J135" s="5" t="str">
        <x:v>SOURCE QUOTE; unvalidated / superseded assessments</x:v>
      </x:c>
      <x:c r="L135" s="31" t="str">
        <x:v>D01, Markdown line 515; http://nas-1.tail55d152.ts.net:4100/static/2S_CONSULTING_NORDIC_OUTREACH_STRATEGY.html</x:v>
      </x:c>
    </x:row>
    <x:row r="136" ht="42" customHeight="1">
      <x:c r="A136" s="5" t="str">
        <x:v>D01</x:v>
      </x:c>
      <x:c r="B136" s="5" t="str">
        <x:v>D01-T05</x:v>
      </x:c>
      <x:c r="C136" s="5" t="str">
        <x:v>8. The Complete 6-Wedge Offer Portfolio (&lt;€35,000 Entry Points)</x:v>
      </x:c>
      <x:c r="D136" s="5" t="n">
        <x:v>515</x:v>
      </x:c>
      <x:c r="E136" s="5" t="n">
        <x:v>5</x:v>
      </x:c>
      <x:c r="F136" s="5" t="str">
        <x:v>Core Deliverables &amp; Artifacts</x:v>
      </x:c>
      <x:c r="G136" s="5" t="n">
        <x:v>1</x:v>
      </x:c>
      <x:c r="H136" s="5" t="n">
        <x:v>1</x:v>
      </x:c>
      <x:c r="I136" s="5" t="str">
        <x:v>Mock ISO 13485 / cGMP Annex 1 unannounced audit; 30-day corrective action plan (CAPA); executive briefing.</x:v>
      </x:c>
      <x:c r="J136" s="5" t="str">
        <x:v>SOURCE QUOTE; unvalidated / superseded assessments</x:v>
      </x:c>
      <x:c r="L136" s="31" t="str">
        <x:v>D01, Markdown line 515; http://nas-1.tail55d152.ts.net:4100/static/2S_CONSULTING_NORDIC_OUTREACH_STRATEGY.html</x:v>
      </x:c>
    </x:row>
    <x:row r="137" ht="42" customHeight="1">
      <x:c r="A137" s="5" t="str">
        <x:v>D01</x:v>
      </x:c>
      <x:c r="B137" s="5" t="str">
        <x:v>D01-T05</x:v>
      </x:c>
      <x:c r="C137" s="5" t="str">
        <x:v>8. The Complete 6-Wedge Offer Portfolio (&lt;€35,000 Entry Points)</x:v>
      </x:c>
      <x:c r="D137" s="5" t="n">
        <x:v>515</x:v>
      </x:c>
      <x:c r="E137" s="5" t="n">
        <x:v>6</x:v>
      </x:c>
      <x:c r="F137" s="5" t="str">
        <x:v>Primary Customer ROI</x:v>
      </x:c>
      <x:c r="G137" s="5" t="n">
        <x:v>1</x:v>
      </x:c>
      <x:c r="H137" s="5" t="n">
        <x:v>1</x:v>
      </x:c>
      <x:c r="I137" s="5" t="str">
        <x:v>Ensures zero major non-conformities during official regulatory audit.</x:v>
      </x:c>
      <x:c r="J137" s="5" t="str">
        <x:v>SOURCE QUOTE; unvalidated / superseded assessments</x:v>
      </x:c>
      <x:c r="L137" s="31" t="str">
        <x:v>D01, Markdown line 515; http://nas-1.tail55d152.ts.net:4100/static/2S_CONSULTING_NORDIC_OUTREACH_STRATEGY.html</x:v>
      </x:c>
    </x:row>
    <x:row r="138" ht="42" customHeight="1">
      <x:c r="A138" s="5" t="str">
        <x:v>D01</x:v>
      </x:c>
      <x:c r="B138" s="5" t="str">
        <x:v>D01-T06</x:v>
      </x:c>
      <x:c r="C138" s="5" t="str">
        <x:v>11.1 Cumulative 90-Day Revenue Projection</x:v>
      </x:c>
      <x:c r="D138" s="5" t="n">
        <x:v>614</x:v>
      </x:c>
      <x:c r="E138" s="5" t="n">
        <x:v>1</x:v>
      </x:c>
      <x:c r="F138" s="5" t="str">
        <x:v>Milestone Period</x:v>
      </x:c>
      <x:c r="G138" s="5" t="n">
        <x:v>1</x:v>
      </x:c>
      <x:c r="H138" s="5" t="n">
        <x:v>1</x:v>
      </x:c>
      <x:c r="I138" s="5" t="str">
        <x:v>Month 1 (Days 1–30)</x:v>
      </x:c>
      <x:c r="J138" s="5" t="str">
        <x:v>SOURCE QUOTE; unvalidated / superseded assessments</x:v>
      </x:c>
      <x:c r="L138" s="31" t="str">
        <x:v>D01, Markdown line 614; http://nas-1.tail55d152.ts.net:4100/static/2S_CONSULTING_NORDIC_OUTREACH_STRATEGY.html</x:v>
      </x:c>
    </x:row>
    <x:row r="139" ht="42" customHeight="1">
      <x:c r="A139" s="5" t="str">
        <x:v>D01</x:v>
      </x:c>
      <x:c r="B139" s="5" t="str">
        <x:v>D01-T06</x:v>
      </x:c>
      <x:c r="C139" s="5" t="str">
        <x:v>11.1 Cumulative 90-Day Revenue Projection</x:v>
      </x:c>
      <x:c r="D139" s="5" t="n">
        <x:v>614</x:v>
      </x:c>
      <x:c r="E139" s="5" t="n">
        <x:v>2</x:v>
      </x:c>
      <x:c r="F139" s="5" t="str">
        <x:v>Target Accounts Touched</x:v>
      </x:c>
      <x:c r="G139" s="5" t="n">
        <x:v>1</x:v>
      </x:c>
      <x:c r="H139" s="5" t="n">
        <x:v>1</x:v>
      </x:c>
      <x:c r="I139" s="5" t="str">
        <x:v>80 accounts</x:v>
      </x:c>
      <x:c r="J139" s="5" t="str">
        <x:v>SOURCE QUOTE; unvalidated / superseded assessments</x:v>
      </x:c>
      <x:c r="L139" s="31" t="str">
        <x:v>D01, Markdown line 614; http://nas-1.tail55d152.ts.net:4100/static/2S_CONSULTING_NORDIC_OUTREACH_STRATEGY.html</x:v>
      </x:c>
    </x:row>
    <x:row r="140" ht="42" customHeight="1">
      <x:c r="A140" s="5" t="str">
        <x:v>D01</x:v>
      </x:c>
      <x:c r="B140" s="5" t="str">
        <x:v>D01-T06</x:v>
      </x:c>
      <x:c r="C140" s="5" t="str">
        <x:v>11.1 Cumulative 90-Day Revenue Projection</x:v>
      </x:c>
      <x:c r="D140" s="5" t="n">
        <x:v>614</x:v>
      </x:c>
      <x:c r="E140" s="5" t="n">
        <x:v>3</x:v>
      </x:c>
      <x:c r="F140" s="5" t="str">
        <x:v>Discovery Meetings Booked</x:v>
      </x:c>
      <x:c r="G140" s="5" t="n">
        <x:v>1</x:v>
      </x:c>
      <x:c r="H140" s="5" t="n">
        <x:v>1</x:v>
      </x:c>
      <x:c r="I140" s="5" t="str">
        <x:v>12 meetings</x:v>
      </x:c>
      <x:c r="J140" s="5" t="str">
        <x:v>SOURCE QUOTE; unvalidated / superseded assessments</x:v>
      </x:c>
      <x:c r="L140" s="31" t="str">
        <x:v>D01, Markdown line 614; http://nas-1.tail55d152.ts.net:4100/static/2S_CONSULTING_NORDIC_OUTREACH_STRATEGY.html</x:v>
      </x:c>
    </x:row>
    <x:row r="141" ht="42" customHeight="1">
      <x:c r="A141" s="5" t="str">
        <x:v>D01</x:v>
      </x:c>
      <x:c r="B141" s="5" t="str">
        <x:v>D01-T06</x:v>
      </x:c>
      <x:c r="C141" s="5" t="str">
        <x:v>11.1 Cumulative 90-Day Revenue Projection</x:v>
      </x:c>
      <x:c r="D141" s="5" t="n">
        <x:v>614</x:v>
      </x:c>
      <x:c r="E141" s="5" t="n">
        <x:v>4</x:v>
      </x:c>
      <x:c r="F141" s="5" t="str">
        <x:v>Wedges Signed</x:v>
      </x:c>
      <x:c r="G141" s="5" t="n">
        <x:v>1</x:v>
      </x:c>
      <x:c r="H141" s="5" t="n">
        <x:v>1</x:v>
      </x:c>
      <x:c r="I141" s="5" t="str">
        <x:v>2 wedges</x:v>
      </x:c>
      <x:c r="J141" s="5" t="str">
        <x:v>SOURCE QUOTE; unvalidated / superseded assessments</x:v>
      </x:c>
      <x:c r="L141" s="31" t="str">
        <x:v>D01, Markdown line 614; http://nas-1.tail55d152.ts.net:4100/static/2S_CONSULTING_NORDIC_OUTREACH_STRATEGY.html</x:v>
      </x:c>
    </x:row>
    <x:row r="142" ht="42" customHeight="1">
      <x:c r="A142" s="5" t="str">
        <x:v>D01</x:v>
      </x:c>
      <x:c r="B142" s="5" t="str">
        <x:v>D01-T06</x:v>
      </x:c>
      <x:c r="C142" s="5" t="str">
        <x:v>11.1 Cumulative 90-Day Revenue Projection</x:v>
      </x:c>
      <x:c r="D142" s="5" t="n">
        <x:v>614</x:v>
      </x:c>
      <x:c r="E142" s="5" t="n">
        <x:v>5</x:v>
      </x:c>
      <x:c r="F142" s="5" t="str">
        <x:v>Retainers Closed</x:v>
      </x:c>
      <x:c r="G142" s="5" t="n">
        <x:v>1</x:v>
      </x:c>
      <x:c r="H142" s="5" t="n">
        <x:v>1</x:v>
      </x:c>
      <x:c r="I142" s="5" t="str">
        <x:v>0</x:v>
      </x:c>
      <x:c r="J142" s="5" t="str">
        <x:v>SOURCE QUOTE; unvalidated / superseded assessments</x:v>
      </x:c>
      <x:c r="L142" s="31" t="str">
        <x:v>D01, Markdown line 614; http://nas-1.tail55d152.ts.net:4100/static/2S_CONSULTING_NORDIC_OUTREACH_STRATEGY.html</x:v>
      </x:c>
    </x:row>
    <x:row r="143" ht="42" customHeight="1">
      <x:c r="A143" s="5" t="str">
        <x:v>D01</x:v>
      </x:c>
      <x:c r="B143" s="5" t="str">
        <x:v>D01-T06</x:v>
      </x:c>
      <x:c r="C143" s="5" t="str">
        <x:v>11.1 Cumulative 90-Day Revenue Projection</x:v>
      </x:c>
      <x:c r="D143" s="5" t="n">
        <x:v>614</x:v>
      </x:c>
      <x:c r="E143" s="5" t="n">
        <x:v>6</x:v>
      </x:c>
      <x:c r="F143" s="5" t="str">
        <x:v>Monthly Revenue</x:v>
      </x:c>
      <x:c r="G143" s="5" t="n">
        <x:v>1</x:v>
      </x:c>
      <x:c r="H143" s="5" t="n">
        <x:v>1</x:v>
      </x:c>
      <x:c r="I143" s="5" t="str">
        <x:v>€56,000</x:v>
      </x:c>
      <x:c r="J143" s="5" t="str">
        <x:v>SOURCE QUOTE; unvalidated / superseded assessments</x:v>
      </x:c>
      <x:c r="L143" s="31" t="str">
        <x:v>D01, Markdown line 614; http://nas-1.tail55d152.ts.net:4100/static/2S_CONSULTING_NORDIC_OUTREACH_STRATEGY.html</x:v>
      </x:c>
    </x:row>
    <x:row r="144" ht="42" customHeight="1">
      <x:c r="A144" s="5" t="str">
        <x:v>D01</x:v>
      </x:c>
      <x:c r="B144" s="5" t="str">
        <x:v>D01-T06</x:v>
      </x:c>
      <x:c r="C144" s="5" t="str">
        <x:v>11.1 Cumulative 90-Day Revenue Projection</x:v>
      </x:c>
      <x:c r="D144" s="5" t="n">
        <x:v>614</x:v>
      </x:c>
      <x:c r="E144" s="5" t="n">
        <x:v>7</x:v>
      </x:c>
      <x:c r="F144" s="5" t="str">
        <x:v>Cumulative Revenue</x:v>
      </x:c>
      <x:c r="G144" s="5" t="n">
        <x:v>1</x:v>
      </x:c>
      <x:c r="H144" s="5" t="n">
        <x:v>1</x:v>
      </x:c>
      <x:c r="I144" s="5" t="str">
        <x:v>€56,000</x:v>
      </x:c>
      <x:c r="J144" s="5" t="str">
        <x:v>SOURCE QUOTE; unvalidated / superseded assessments</x:v>
      </x:c>
      <x:c r="L144" s="31" t="str">
        <x:v>D01, Markdown line 614; http://nas-1.tail55d152.ts.net:4100/static/2S_CONSULTING_NORDIC_OUTREACH_STRATEGY.html</x:v>
      </x:c>
    </x:row>
    <x:row r="145" ht="42" customHeight="1">
      <x:c r="A145" s="5" t="str">
        <x:v>D01</x:v>
      </x:c>
      <x:c r="B145" s="5" t="str">
        <x:v>D01-T06</x:v>
      </x:c>
      <x:c r="C145" s="5" t="str">
        <x:v>11.1 Cumulative 90-Day Revenue Projection</x:v>
      </x:c>
      <x:c r="D145" s="5" t="n">
        <x:v>615</x:v>
      </x:c>
      <x:c r="E145" s="5" t="n">
        <x:v>1</x:v>
      </x:c>
      <x:c r="F145" s="5" t="str">
        <x:v>Milestone Period</x:v>
      </x:c>
      <x:c r="G145" s="5" t="n">
        <x:v>1</x:v>
      </x:c>
      <x:c r="H145" s="5" t="n">
        <x:v>1</x:v>
      </x:c>
      <x:c r="I145" s="5" t="str">
        <x:v>Month 2 (Days 31–60)</x:v>
      </x:c>
      <x:c r="J145" s="5" t="str">
        <x:v>SOURCE QUOTE; unvalidated / superseded assessments</x:v>
      </x:c>
      <x:c r="L145" s="31" t="str">
        <x:v>D01, Markdown line 615; http://nas-1.tail55d152.ts.net:4100/static/2S_CONSULTING_NORDIC_OUTREACH_STRATEGY.html</x:v>
      </x:c>
    </x:row>
    <x:row r="146" ht="42" customHeight="1">
      <x:c r="A146" s="5" t="str">
        <x:v>D01</x:v>
      </x:c>
      <x:c r="B146" s="5" t="str">
        <x:v>D01-T06</x:v>
      </x:c>
      <x:c r="C146" s="5" t="str">
        <x:v>11.1 Cumulative 90-Day Revenue Projection</x:v>
      </x:c>
      <x:c r="D146" s="5" t="n">
        <x:v>615</x:v>
      </x:c>
      <x:c r="E146" s="5" t="n">
        <x:v>2</x:v>
      </x:c>
      <x:c r="F146" s="5" t="str">
        <x:v>Target Accounts Touched</x:v>
      </x:c>
      <x:c r="G146" s="5" t="n">
        <x:v>1</x:v>
      </x:c>
      <x:c r="H146" s="5" t="n">
        <x:v>1</x:v>
      </x:c>
      <x:c r="I146" s="5" t="str">
        <x:v>120 accounts</x:v>
      </x:c>
      <x:c r="J146" s="5" t="str">
        <x:v>SOURCE QUOTE; unvalidated / superseded assessments</x:v>
      </x:c>
      <x:c r="L146" s="31" t="str">
        <x:v>D01, Markdown line 615; http://nas-1.tail55d152.ts.net:4100/static/2S_CONSULTING_NORDIC_OUTREACH_STRATEGY.html</x:v>
      </x:c>
    </x:row>
    <x:row r="147" ht="42" customHeight="1">
      <x:c r="A147" s="5" t="str">
        <x:v>D01</x:v>
      </x:c>
      <x:c r="B147" s="5" t="str">
        <x:v>D01-T06</x:v>
      </x:c>
      <x:c r="C147" s="5" t="str">
        <x:v>11.1 Cumulative 90-Day Revenue Projection</x:v>
      </x:c>
      <x:c r="D147" s="5" t="n">
        <x:v>615</x:v>
      </x:c>
      <x:c r="E147" s="5" t="n">
        <x:v>3</x:v>
      </x:c>
      <x:c r="F147" s="5" t="str">
        <x:v>Discovery Meetings Booked</x:v>
      </x:c>
      <x:c r="G147" s="5" t="n">
        <x:v>1</x:v>
      </x:c>
      <x:c r="H147" s="5" t="n">
        <x:v>1</x:v>
      </x:c>
      <x:c r="I147" s="5" t="str">
        <x:v>22 meetings</x:v>
      </x:c>
      <x:c r="J147" s="5" t="str">
        <x:v>SOURCE QUOTE; unvalidated / superseded assessments</x:v>
      </x:c>
      <x:c r="L147" s="31" t="str">
        <x:v>D01, Markdown line 615; http://nas-1.tail55d152.ts.net:4100/static/2S_CONSULTING_NORDIC_OUTREACH_STRATEGY.html</x:v>
      </x:c>
    </x:row>
    <x:row r="148" ht="42" customHeight="1">
      <x:c r="A148" s="5" t="str">
        <x:v>D01</x:v>
      </x:c>
      <x:c r="B148" s="5" t="str">
        <x:v>D01-T06</x:v>
      </x:c>
      <x:c r="C148" s="5" t="str">
        <x:v>11.1 Cumulative 90-Day Revenue Projection</x:v>
      </x:c>
      <x:c r="D148" s="5" t="n">
        <x:v>615</x:v>
      </x:c>
      <x:c r="E148" s="5" t="n">
        <x:v>4</x:v>
      </x:c>
      <x:c r="F148" s="5" t="str">
        <x:v>Wedges Signed</x:v>
      </x:c>
      <x:c r="G148" s="5" t="n">
        <x:v>1</x:v>
      </x:c>
      <x:c r="H148" s="5" t="n">
        <x:v>1</x:v>
      </x:c>
      <x:c r="I148" s="5" t="str">
        <x:v>4 wedges</x:v>
      </x:c>
      <x:c r="J148" s="5" t="str">
        <x:v>SOURCE QUOTE; unvalidated / superseded assessments</x:v>
      </x:c>
      <x:c r="L148" s="31" t="str">
        <x:v>D01, Markdown line 615; http://nas-1.tail55d152.ts.net:4100/static/2S_CONSULTING_NORDIC_OUTREACH_STRATEGY.html</x:v>
      </x:c>
    </x:row>
    <x:row r="149" ht="42" customHeight="1">
      <x:c r="A149" s="5" t="str">
        <x:v>D01</x:v>
      </x:c>
      <x:c r="B149" s="5" t="str">
        <x:v>D01-T06</x:v>
      </x:c>
      <x:c r="C149" s="5" t="str">
        <x:v>11.1 Cumulative 90-Day Revenue Projection</x:v>
      </x:c>
      <x:c r="D149" s="5" t="n">
        <x:v>615</x:v>
      </x:c>
      <x:c r="E149" s="5" t="n">
        <x:v>5</x:v>
      </x:c>
      <x:c r="F149" s="5" t="str">
        <x:v>Retainers Closed</x:v>
      </x:c>
      <x:c r="G149" s="5" t="n">
        <x:v>1</x:v>
      </x:c>
      <x:c r="H149" s="5" t="n">
        <x:v>1</x:v>
      </x:c>
      <x:c r="I149" s="5" t="str">
        <x:v>1 retainer</x:v>
      </x:c>
      <x:c r="J149" s="5" t="str">
        <x:v>SOURCE QUOTE; unvalidated / superseded assessments</x:v>
      </x:c>
      <x:c r="L149" s="31" t="str">
        <x:v>D01, Markdown line 615; http://nas-1.tail55d152.ts.net:4100/static/2S_CONSULTING_NORDIC_OUTREACH_STRATEGY.html</x:v>
      </x:c>
    </x:row>
    <x:row r="150" ht="42" customHeight="1">
      <x:c r="A150" s="5" t="str">
        <x:v>D01</x:v>
      </x:c>
      <x:c r="B150" s="5" t="str">
        <x:v>D01-T06</x:v>
      </x:c>
      <x:c r="C150" s="5" t="str">
        <x:v>11.1 Cumulative 90-Day Revenue Projection</x:v>
      </x:c>
      <x:c r="D150" s="5" t="n">
        <x:v>615</x:v>
      </x:c>
      <x:c r="E150" s="5" t="n">
        <x:v>6</x:v>
      </x:c>
      <x:c r="F150" s="5" t="str">
        <x:v>Monthly Revenue</x:v>
      </x:c>
      <x:c r="G150" s="5" t="n">
        <x:v>1</x:v>
      </x:c>
      <x:c r="H150" s="5" t="n">
        <x:v>1</x:v>
      </x:c>
      <x:c r="I150" s="5" t="str">
        <x:v>€185,000</x:v>
      </x:c>
      <x:c r="J150" s="5" t="str">
        <x:v>SOURCE QUOTE; unvalidated / superseded assessments</x:v>
      </x:c>
      <x:c r="L150" s="31" t="str">
        <x:v>D01, Markdown line 615; http://nas-1.tail55d152.ts.net:4100/static/2S_CONSULTING_NORDIC_OUTREACH_STRATEGY.html</x:v>
      </x:c>
    </x:row>
    <x:row r="151" ht="42" customHeight="1">
      <x:c r="A151" s="5" t="str">
        <x:v>D01</x:v>
      </x:c>
      <x:c r="B151" s="5" t="str">
        <x:v>D01-T06</x:v>
      </x:c>
      <x:c r="C151" s="5" t="str">
        <x:v>11.1 Cumulative 90-Day Revenue Projection</x:v>
      </x:c>
      <x:c r="D151" s="5" t="n">
        <x:v>615</x:v>
      </x:c>
      <x:c r="E151" s="5" t="n">
        <x:v>7</x:v>
      </x:c>
      <x:c r="F151" s="5" t="str">
        <x:v>Cumulative Revenue</x:v>
      </x:c>
      <x:c r="G151" s="5" t="n">
        <x:v>1</x:v>
      </x:c>
      <x:c r="H151" s="5" t="n">
        <x:v>1</x:v>
      </x:c>
      <x:c r="I151" s="5" t="str">
        <x:v>€241,000</x:v>
      </x:c>
      <x:c r="J151" s="5" t="str">
        <x:v>SOURCE QUOTE; unvalidated / superseded assessments</x:v>
      </x:c>
      <x:c r="L151" s="31" t="str">
        <x:v>D01, Markdown line 615; http://nas-1.tail55d152.ts.net:4100/static/2S_CONSULTING_NORDIC_OUTREACH_STRATEGY.html</x:v>
      </x:c>
    </x:row>
    <x:row r="152" ht="42" customHeight="1">
      <x:c r="A152" s="5" t="str">
        <x:v>D01</x:v>
      </x:c>
      <x:c r="B152" s="5" t="str">
        <x:v>D01-T06</x:v>
      </x:c>
      <x:c r="C152" s="5" t="str">
        <x:v>11.1 Cumulative 90-Day Revenue Projection</x:v>
      </x:c>
      <x:c r="D152" s="5" t="n">
        <x:v>616</x:v>
      </x:c>
      <x:c r="E152" s="5" t="n">
        <x:v>1</x:v>
      </x:c>
      <x:c r="F152" s="5" t="str">
        <x:v>Milestone Period</x:v>
      </x:c>
      <x:c r="G152" s="5" t="n">
        <x:v>1</x:v>
      </x:c>
      <x:c r="H152" s="5" t="n">
        <x:v>1</x:v>
      </x:c>
      <x:c r="I152" s="5" t="str">
        <x:v>Month 3 (Days 61–90)</x:v>
      </x:c>
      <x:c r="J152" s="5" t="str">
        <x:v>SOURCE QUOTE; unvalidated / superseded assessments</x:v>
      </x:c>
      <x:c r="L152" s="31" t="str">
        <x:v>D01, Markdown line 616; http://nas-1.tail55d152.ts.net:4100/static/2S_CONSULTING_NORDIC_OUTREACH_STRATEGY.html</x:v>
      </x:c>
    </x:row>
    <x:row r="153" ht="42" customHeight="1">
      <x:c r="A153" s="5" t="str">
        <x:v>D01</x:v>
      </x:c>
      <x:c r="B153" s="5" t="str">
        <x:v>D01-T06</x:v>
      </x:c>
      <x:c r="C153" s="5" t="str">
        <x:v>11.1 Cumulative 90-Day Revenue Projection</x:v>
      </x:c>
      <x:c r="D153" s="5" t="n">
        <x:v>616</x:v>
      </x:c>
      <x:c r="E153" s="5" t="n">
        <x:v>2</x:v>
      </x:c>
      <x:c r="F153" s="5" t="str">
        <x:v>Target Accounts Touched</x:v>
      </x:c>
      <x:c r="G153" s="5" t="n">
        <x:v>1</x:v>
      </x:c>
      <x:c r="H153" s="5" t="n">
        <x:v>1</x:v>
      </x:c>
      <x:c r="I153" s="5" t="str">
        <x:v>60 follow-ups</x:v>
      </x:c>
      <x:c r="J153" s="5" t="str">
        <x:v>SOURCE QUOTE; unvalidated / superseded assessments</x:v>
      </x:c>
      <x:c r="L153" s="31" t="str">
        <x:v>D01, Markdown line 616; http://nas-1.tail55d152.ts.net:4100/static/2S_CONSULTING_NORDIC_OUTREACH_STRATEGY.html</x:v>
      </x:c>
    </x:row>
    <x:row r="154" ht="42" customHeight="1">
      <x:c r="A154" s="5" t="str">
        <x:v>D01</x:v>
      </x:c>
      <x:c r="B154" s="5" t="str">
        <x:v>D01-T06</x:v>
      </x:c>
      <x:c r="C154" s="5" t="str">
        <x:v>11.1 Cumulative 90-Day Revenue Projection</x:v>
      </x:c>
      <x:c r="D154" s="5" t="n">
        <x:v>616</x:v>
      </x:c>
      <x:c r="E154" s="5" t="n">
        <x:v>3</x:v>
      </x:c>
      <x:c r="F154" s="5" t="str">
        <x:v>Discovery Meetings Booked</x:v>
      </x:c>
      <x:c r="G154" s="5" t="n">
        <x:v>1</x:v>
      </x:c>
      <x:c r="H154" s="5" t="n">
        <x:v>1</x:v>
      </x:c>
      <x:c r="I154" s="5" t="str">
        <x:v>18 meetings</x:v>
      </x:c>
      <x:c r="J154" s="5" t="str">
        <x:v>SOURCE QUOTE; unvalidated / superseded assessments</x:v>
      </x:c>
      <x:c r="L154" s="31" t="str">
        <x:v>D01, Markdown line 616; http://nas-1.tail55d152.ts.net:4100/static/2S_CONSULTING_NORDIC_OUTREACH_STRATEGY.html</x:v>
      </x:c>
    </x:row>
    <x:row r="155" ht="42" customHeight="1">
      <x:c r="A155" s="5" t="str">
        <x:v>D01</x:v>
      </x:c>
      <x:c r="B155" s="5" t="str">
        <x:v>D01-T06</x:v>
      </x:c>
      <x:c r="C155" s="5" t="str">
        <x:v>11.1 Cumulative 90-Day Revenue Projection</x:v>
      </x:c>
      <x:c r="D155" s="5" t="n">
        <x:v>616</x:v>
      </x:c>
      <x:c r="E155" s="5" t="n">
        <x:v>4</x:v>
      </x:c>
      <x:c r="F155" s="5" t="str">
        <x:v>Wedges Signed</x:v>
      </x:c>
      <x:c r="G155" s="5" t="n">
        <x:v>1</x:v>
      </x:c>
      <x:c r="H155" s="5" t="n">
        <x:v>1</x:v>
      </x:c>
      <x:c r="I155" s="5" t="str">
        <x:v>3 wedges</x:v>
      </x:c>
      <x:c r="J155" s="5" t="str">
        <x:v>SOURCE QUOTE; unvalidated / superseded assessments</x:v>
      </x:c>
      <x:c r="L155" s="31" t="str">
        <x:v>D01, Markdown line 616; http://nas-1.tail55d152.ts.net:4100/static/2S_CONSULTING_NORDIC_OUTREACH_STRATEGY.html</x:v>
      </x:c>
    </x:row>
    <x:row r="156" ht="42" customHeight="1">
      <x:c r="A156" s="5" t="str">
        <x:v>D01</x:v>
      </x:c>
      <x:c r="B156" s="5" t="str">
        <x:v>D01-T06</x:v>
      </x:c>
      <x:c r="C156" s="5" t="str">
        <x:v>11.1 Cumulative 90-Day Revenue Projection</x:v>
      </x:c>
      <x:c r="D156" s="5" t="n">
        <x:v>616</x:v>
      </x:c>
      <x:c r="E156" s="5" t="n">
        <x:v>5</x:v>
      </x:c>
      <x:c r="F156" s="5" t="str">
        <x:v>Retainers Closed</x:v>
      </x:c>
      <x:c r="G156" s="5" t="n">
        <x:v>1</x:v>
      </x:c>
      <x:c r="H156" s="5" t="n">
        <x:v>1</x:v>
      </x:c>
      <x:c r="I156" s="5" t="str">
        <x:v>2 retainers</x:v>
      </x:c>
      <x:c r="J156" s="5" t="str">
        <x:v>SOURCE QUOTE; unvalidated / superseded assessments</x:v>
      </x:c>
      <x:c r="L156" s="31" t="str">
        <x:v>D01, Markdown line 616; http://nas-1.tail55d152.ts.net:4100/static/2S_CONSULTING_NORDIC_OUTREACH_STRATEGY.html</x:v>
      </x:c>
    </x:row>
    <x:row r="157" ht="42" customHeight="1">
      <x:c r="A157" s="5" t="str">
        <x:v>D01</x:v>
      </x:c>
      <x:c r="B157" s="5" t="str">
        <x:v>D01-T06</x:v>
      </x:c>
      <x:c r="C157" s="5" t="str">
        <x:v>11.1 Cumulative 90-Day Revenue Projection</x:v>
      </x:c>
      <x:c r="D157" s="5" t="n">
        <x:v>616</x:v>
      </x:c>
      <x:c r="E157" s="5" t="n">
        <x:v>6</x:v>
      </x:c>
      <x:c r="F157" s="5" t="str">
        <x:v>Monthly Revenue</x:v>
      </x:c>
      <x:c r="G157" s="5" t="n">
        <x:v>1</x:v>
      </x:c>
      <x:c r="H157" s="5" t="n">
        <x:v>1</x:v>
      </x:c>
      <x:c r="I157" s="5" t="str">
        <x:v>€320,000</x:v>
      </x:c>
      <x:c r="J157" s="5" t="str">
        <x:v>SOURCE QUOTE; unvalidated / superseded assessments</x:v>
      </x:c>
      <x:c r="L157" s="31" t="str">
        <x:v>D01, Markdown line 616; http://nas-1.tail55d152.ts.net:4100/static/2S_CONSULTING_NORDIC_OUTREACH_STRATEGY.html</x:v>
      </x:c>
    </x:row>
    <x:row r="158" ht="42" customHeight="1">
      <x:c r="A158" s="5" t="str">
        <x:v>D01</x:v>
      </x:c>
      <x:c r="B158" s="5" t="str">
        <x:v>D01-T06</x:v>
      </x:c>
      <x:c r="C158" s="5" t="str">
        <x:v>11.1 Cumulative 90-Day Revenue Projection</x:v>
      </x:c>
      <x:c r="D158" s="5" t="n">
        <x:v>616</x:v>
      </x:c>
      <x:c r="E158" s="5" t="n">
        <x:v>7</x:v>
      </x:c>
      <x:c r="F158" s="5" t="str">
        <x:v>Cumulative Revenue</x:v>
      </x:c>
      <x:c r="G158" s="5" t="n">
        <x:v>1</x:v>
      </x:c>
      <x:c r="H158" s="5" t="n">
        <x:v>1</x:v>
      </x:c>
      <x:c r="I158" s="5" t="str">
        <x:v>€561,000</x:v>
      </x:c>
      <x:c r="J158" s="5" t="str">
        <x:v>SOURCE QUOTE; unvalidated / superseded assessments</x:v>
      </x:c>
      <x:c r="L158" s="31" t="str">
        <x:v>D01, Markdown line 616; http://nas-1.tail55d152.ts.net:4100/static/2S_CONSULTING_NORDIC_OUTREACH_STRATEGY.html</x:v>
      </x:c>
    </x:row>
    <x:row r="159" ht="42" customHeight="1">
      <x:c r="A159" s="5" t="str">
        <x:v>D01</x:v>
      </x:c>
      <x:c r="B159" s="5" t="str">
        <x:v>D01-T06</x:v>
      </x:c>
      <x:c r="C159" s="5" t="str">
        <x:v>11.1 Cumulative 90-Day Revenue Projection</x:v>
      </x:c>
      <x:c r="D159" s="5" t="n">
        <x:v>617</x:v>
      </x:c>
      <x:c r="E159" s="5" t="n">
        <x:v>1</x:v>
      </x:c>
      <x:c r="F159" s="5" t="str">
        <x:v>Milestone Period</x:v>
      </x:c>
      <x:c r="G159" s="5" t="n">
        <x:v>1</x:v>
      </x:c>
      <x:c r="H159" s="5" t="n">
        <x:v>1</x:v>
      </x:c>
      <x:c r="I159" s="5" t="str">
        <x:v>Total 90-Day Run</x:v>
      </x:c>
      <x:c r="J159" s="5" t="str">
        <x:v>SOURCE QUOTE; unvalidated / superseded assessments</x:v>
      </x:c>
      <x:c r="L159" s="31" t="str">
        <x:v>D01, Markdown line 617; http://nas-1.tail55d152.ts.net:4100/static/2S_CONSULTING_NORDIC_OUTREACH_STRATEGY.html</x:v>
      </x:c>
    </x:row>
    <x:row r="160" ht="42" customHeight="1">
      <x:c r="A160" s="5" t="str">
        <x:v>D01</x:v>
      </x:c>
      <x:c r="B160" s="5" t="str">
        <x:v>D01-T06</x:v>
      </x:c>
      <x:c r="C160" s="5" t="str">
        <x:v>11.1 Cumulative 90-Day Revenue Projection</x:v>
      </x:c>
      <x:c r="D160" s="5" t="n">
        <x:v>617</x:v>
      </x:c>
      <x:c r="E160" s="5" t="n">
        <x:v>2</x:v>
      </x:c>
      <x:c r="F160" s="5" t="str">
        <x:v>Target Accounts Touched</x:v>
      </x:c>
      <x:c r="G160" s="5" t="n">
        <x:v>1</x:v>
      </x:c>
      <x:c r="H160" s="5" t="n">
        <x:v>1</x:v>
      </x:c>
      <x:c r="I160" s="5" t="str">
        <x:v>260 touches</x:v>
      </x:c>
      <x:c r="J160" s="5" t="str">
        <x:v>SOURCE QUOTE; unvalidated / superseded assessments</x:v>
      </x:c>
      <x:c r="L160" s="31" t="str">
        <x:v>D01, Markdown line 617; http://nas-1.tail55d152.ts.net:4100/static/2S_CONSULTING_NORDIC_OUTREACH_STRATEGY.html</x:v>
      </x:c>
    </x:row>
    <x:row r="161" ht="42" customHeight="1">
      <x:c r="A161" s="5" t="str">
        <x:v>D01</x:v>
      </x:c>
      <x:c r="B161" s="5" t="str">
        <x:v>D01-T06</x:v>
      </x:c>
      <x:c r="C161" s="5" t="str">
        <x:v>11.1 Cumulative 90-Day Revenue Projection</x:v>
      </x:c>
      <x:c r="D161" s="5" t="n">
        <x:v>617</x:v>
      </x:c>
      <x:c r="E161" s="5" t="n">
        <x:v>3</x:v>
      </x:c>
      <x:c r="F161" s="5" t="str">
        <x:v>Discovery Meetings Booked</x:v>
      </x:c>
      <x:c r="G161" s="5" t="n">
        <x:v>1</x:v>
      </x:c>
      <x:c r="H161" s="5" t="n">
        <x:v>1</x:v>
      </x:c>
      <x:c r="I161" s="5" t="str">
        <x:v>52 meetings</x:v>
      </x:c>
      <x:c r="J161" s="5" t="str">
        <x:v>SOURCE QUOTE; unvalidated / superseded assessments</x:v>
      </x:c>
      <x:c r="L161" s="31" t="str">
        <x:v>D01, Markdown line 617; http://nas-1.tail55d152.ts.net:4100/static/2S_CONSULTING_NORDIC_OUTREACH_STRATEGY.html</x:v>
      </x:c>
    </x:row>
    <x:row r="162" ht="42" customHeight="1">
      <x:c r="A162" s="5" t="str">
        <x:v>D01</x:v>
      </x:c>
      <x:c r="B162" s="5" t="str">
        <x:v>D01-T06</x:v>
      </x:c>
      <x:c r="C162" s="5" t="str">
        <x:v>11.1 Cumulative 90-Day Revenue Projection</x:v>
      </x:c>
      <x:c r="D162" s="5" t="n">
        <x:v>617</x:v>
      </x:c>
      <x:c r="E162" s="5" t="n">
        <x:v>4</x:v>
      </x:c>
      <x:c r="F162" s="5" t="str">
        <x:v>Wedges Signed</x:v>
      </x:c>
      <x:c r="G162" s="5" t="n">
        <x:v>1</x:v>
      </x:c>
      <x:c r="H162" s="5" t="n">
        <x:v>1</x:v>
      </x:c>
      <x:c r="I162" s="5" t="str">
        <x:v>9 wedges</x:v>
      </x:c>
      <x:c r="J162" s="5" t="str">
        <x:v>SOURCE QUOTE; unvalidated / superseded assessments</x:v>
      </x:c>
      <x:c r="L162" s="31" t="str">
        <x:v>D01, Markdown line 617; http://nas-1.tail55d152.ts.net:4100/static/2S_CONSULTING_NORDIC_OUTREACH_STRATEGY.html</x:v>
      </x:c>
    </x:row>
    <x:row r="163" ht="42" customHeight="1">
      <x:c r="A163" s="5" t="str">
        <x:v>D01</x:v>
      </x:c>
      <x:c r="B163" s="5" t="str">
        <x:v>D01-T06</x:v>
      </x:c>
      <x:c r="C163" s="5" t="str">
        <x:v>11.1 Cumulative 90-Day Revenue Projection</x:v>
      </x:c>
      <x:c r="D163" s="5" t="n">
        <x:v>617</x:v>
      </x:c>
      <x:c r="E163" s="5" t="n">
        <x:v>5</x:v>
      </x:c>
      <x:c r="F163" s="5" t="str">
        <x:v>Retainers Closed</x:v>
      </x:c>
      <x:c r="G163" s="5" t="n">
        <x:v>1</x:v>
      </x:c>
      <x:c r="H163" s="5" t="n">
        <x:v>1</x:v>
      </x:c>
      <x:c r="I163" s="5" t="str">
        <x:v>3 retainers</x:v>
      </x:c>
      <x:c r="J163" s="5" t="str">
        <x:v>SOURCE QUOTE; unvalidated / superseded assessments</x:v>
      </x:c>
      <x:c r="L163" s="31" t="str">
        <x:v>D01, Markdown line 617; http://nas-1.tail55d152.ts.net:4100/static/2S_CONSULTING_NORDIC_OUTREACH_STRATEGY.html</x:v>
      </x:c>
    </x:row>
    <x:row r="164" ht="42" customHeight="1">
      <x:c r="A164" s="5" t="str">
        <x:v>D01</x:v>
      </x:c>
      <x:c r="B164" s="5" t="str">
        <x:v>D01-T06</x:v>
      </x:c>
      <x:c r="C164" s="5" t="str">
        <x:v>11.1 Cumulative 90-Day Revenue Projection</x:v>
      </x:c>
      <x:c r="D164" s="5" t="n">
        <x:v>617</x:v>
      </x:c>
      <x:c r="E164" s="5" t="n">
        <x:v>6</x:v>
      </x:c>
      <x:c r="F164" s="5" t="str">
        <x:v>Monthly Revenue</x:v>
      </x:c>
      <x:c r="G164" s="5" t="n">
        <x:v>1</x:v>
      </x:c>
      <x:c r="H164" s="5" t="n">
        <x:v>1</x:v>
      </x:c>
      <x:c r="I164" s="5" t="str">
        <x:v>—</x:v>
      </x:c>
      <x:c r="J164" s="5" t="str">
        <x:v>SOURCE QUOTE; unvalidated / superseded assessments</x:v>
      </x:c>
      <x:c r="L164" s="31" t="str">
        <x:v>D01, Markdown line 617; http://nas-1.tail55d152.ts.net:4100/static/2S_CONSULTING_NORDIC_OUTREACH_STRATEGY.html</x:v>
      </x:c>
    </x:row>
    <x:row r="165" ht="42" customHeight="1">
      <x:c r="A165" s="5" t="str">
        <x:v>D01</x:v>
      </x:c>
      <x:c r="B165" s="5" t="str">
        <x:v>D01-T06</x:v>
      </x:c>
      <x:c r="C165" s="5" t="str">
        <x:v>11.1 Cumulative 90-Day Revenue Projection</x:v>
      </x:c>
      <x:c r="D165" s="5" t="n">
        <x:v>617</x:v>
      </x:c>
      <x:c r="E165" s="5" t="n">
        <x:v>7</x:v>
      </x:c>
      <x:c r="F165" s="5" t="str">
        <x:v>Cumulative Revenue</x:v>
      </x:c>
      <x:c r="G165" s="5" t="n">
        <x:v>1</x:v>
      </x:c>
      <x:c r="H165" s="5" t="n">
        <x:v>1</x:v>
      </x:c>
      <x:c r="I165" s="5" t="str">
        <x:v>€1,200,000+ ARR</x:v>
      </x:c>
      <x:c r="J165" s="5" t="str">
        <x:v>SOURCE QUOTE; unvalidated / superseded assessments</x:v>
      </x:c>
      <x:c r="L165" s="31" t="str">
        <x:v>D01, Markdown line 617; http://nas-1.tail55d152.ts.net:4100/static/2S_CONSULTING_NORDIC_OUTREACH_STRATEGY.html</x:v>
      </x:c>
    </x:row>
    <x:row r="166" ht="42" customHeight="1">
      <x:c r="A166" s="5" t="str">
        <x:v>D01</x:v>
      </x:c>
      <x:c r="B166" s="5" t="str">
        <x:v>D01-T07</x:v>
      </x:c>
      <x:c r="C166" s="5" t="str">
        <x:v>12.1 Analysis of Competing Hypotheses (ACH) Matrix</x:v>
      </x:c>
      <x:c r="D166" s="5" t="n">
        <x:v>628</x:v>
      </x:c>
      <x:c r="E166" s="5" t="n">
        <x:v>1</x:v>
      </x:c>
      <x:c r="F166" s="5" t="str">
        <x:v>Diagnostic Evidence &amp; Market Realities</x:v>
      </x:c>
      <x:c r="G166" s="5" t="n">
        <x:v>1</x:v>
      </x:c>
      <x:c r="H166" s="5" t="n">
        <x:v>1</x:v>
      </x:c>
      <x:c r="I166" s="5" t="str">
        <x:v>$E_1$: Nordic Gatekeeper Scrutiny (Scandinavian VPs auto-delete generic cold sales templates).</x:v>
      </x:c>
      <x:c r="J166" s="5" t="str">
        <x:v>SOURCE QUOTE; unvalidated / superseded assessments</x:v>
      </x:c>
      <x:c r="L166" s="31" t="str">
        <x:v>D01, Markdown line 628; http://nas-1.tail55d152.ts.net:4100/static/2S_CONSULTING_NORDIC_OUTREACH_STRATEGY.html</x:v>
      </x:c>
    </x:row>
    <x:row r="167" ht="42" customHeight="1">
      <x:c r="A167" s="5" t="str">
        <x:v>D01</x:v>
      </x:c>
      <x:c r="B167" s="5" t="str">
        <x:v>D01-T07</x:v>
      </x:c>
      <x:c r="C167" s="5" t="str">
        <x:v>12.1 Analysis of Competing Hypotheses (ACH) Matrix</x:v>
      </x:c>
      <x:c r="D167" s="5" t="n">
        <x:v>628</x:v>
      </x:c>
      <x:c r="E167" s="5" t="n">
        <x:v>2</x:v>
      </x:c>
      <x:c r="F167" s="5" t="str">
        <x:v>Weight</x:v>
      </x:c>
      <x:c r="G167" s="5" t="n">
        <x:v>1</x:v>
      </x:c>
      <x:c r="H167" s="5" t="n">
        <x:v>1</x:v>
      </x:c>
      <x:c r="I167" s="5" t="str">
        <x:v>1.5</x:v>
      </x:c>
      <x:c r="J167" s="5" t="str">
        <x:v>SOURCE QUOTE; unvalidated / superseded assessments</x:v>
      </x:c>
      <x:c r="L167" s="31" t="str">
        <x:v>D01, Markdown line 628; http://nas-1.tail55d152.ts.net:4100/static/2S_CONSULTING_NORDIC_OUTREACH_STRATEGY.html</x:v>
      </x:c>
    </x:row>
    <x:row r="168" ht="42" customHeight="1">
      <x:c r="A168" s="5" t="str">
        <x:v>D01</x:v>
      </x:c>
      <x:c r="B168" s="5" t="str">
        <x:v>D01-T07</x:v>
      </x:c>
      <x:c r="C168" s="5" t="str">
        <x:v>12.1 Analysis of Competing Hypotheses (ACH) Matrix</x:v>
      </x:c>
      <x:c r="D168" s="5" t="n">
        <x:v>628</x:v>
      </x:c>
      <x:c r="E168" s="5" t="n">
        <x:v>3</x:v>
      </x:c>
      <x:c r="F168" s="5" t="str">
        <x:v>$H_1$ (Mass Email/InMail Blast)</x:v>
      </x:c>
      <x:c r="G168" s="5" t="n">
        <x:v>1</x:v>
      </x:c>
      <x:c r="H168" s="5" t="n">
        <x:v>1</x:v>
      </x:c>
      <x:c r="I168" s="5" t="str">
        <x:v>Inconsistent (-1.5); &lt;0.2% response; burns corporate reputation.</x:v>
      </x:c>
      <x:c r="J168" s="5" t="str">
        <x:v>SOURCE QUOTE; unvalidated / superseded assessments</x:v>
      </x:c>
      <x:c r="L168" s="31" t="str">
        <x:v>D01, Markdown line 628; http://nas-1.tail55d152.ts.net:4100/static/2S_CONSULTING_NORDIC_OUTREACH_STRATEGY.html</x:v>
      </x:c>
    </x:row>
    <x:row r="169" ht="42" customHeight="1">
      <x:c r="A169" s="5" t="str">
        <x:v>D01</x:v>
      </x:c>
      <x:c r="B169" s="5" t="str">
        <x:v>D01-T07</x:v>
      </x:c>
      <x:c r="C169" s="5" t="str">
        <x:v>12.1 Analysis of Competing Hypotheses (ACH) Matrix</x:v>
      </x:c>
      <x:c r="D169" s="5" t="n">
        <x:v>628</x:v>
      </x:c>
      <x:c r="E169" s="5" t="n">
        <x:v>4</x:v>
      </x:c>
      <x:c r="F169" s="5" t="str">
        <x:v>$H_2$ (Passive Inbound &amp; Conferences)</x:v>
      </x:c>
      <x:c r="G169" s="5" t="n">
        <x:v>1</x:v>
      </x:c>
      <x:c r="H169" s="5" t="n">
        <x:v>1</x:v>
      </x:c>
      <x:c r="I169" s="5" t="str">
        <x:v>Neutral (0.0); Avoids gatekeepers but yields zero outbound velocity.</x:v>
      </x:c>
      <x:c r="J169" s="5" t="str">
        <x:v>SOURCE QUOTE; unvalidated / superseded assessments</x:v>
      </x:c>
      <x:c r="L169" s="31" t="str">
        <x:v>D01, Markdown line 628; http://nas-1.tail55d152.ts.net:4100/static/2S_CONSULTING_NORDIC_OUTREACH_STRATEGY.html</x:v>
      </x:c>
    </x:row>
    <x:row r="170" ht="42" customHeight="1">
      <x:c r="A170" s="5" t="str">
        <x:v>D01</x:v>
      </x:c>
      <x:c r="B170" s="5" t="str">
        <x:v>D01-T07</x:v>
      </x:c>
      <x:c r="C170" s="5" t="str">
        <x:v>12.1 Analysis of Competing Hypotheses (ACH) Matrix</x:v>
      </x:c>
      <x:c r="D170" s="5" t="n">
        <x:v>628</x:v>
      </x:c>
      <x:c r="E170" s="5" t="n">
        <x:v>5</x:v>
      </x:c>
      <x:c r="F170" s="5" t="str">
        <x:v>$H_3$ (Bountytek AB Asymmetric ABM)</x:v>
      </x:c>
      <x:c r="G170" s="5" t="n">
        <x:v>1</x:v>
      </x:c>
      <x:c r="H170" s="5" t="n">
        <x:v>1</x:v>
      </x:c>
      <x:c r="I170" s="5" t="str">
        <x:v>Very Consistent (0.0); Domestic Swedish outreach from Bountytek AB bypasses skepticism.</x:v>
      </x:c>
      <x:c r="J170" s="5" t="str">
        <x:v>SOURCE QUOTE; unvalidated / superseded assessments</x:v>
      </x:c>
      <x:c r="L170" s="31" t="str">
        <x:v>D01, Markdown line 628; http://nas-1.tail55d152.ts.net:4100/static/2S_CONSULTING_NORDIC_OUTREACH_STRATEGY.html</x:v>
      </x:c>
    </x:row>
    <x:row r="171" ht="42" customHeight="1">
      <x:c r="A171" s="5" t="str">
        <x:v>D01</x:v>
      </x:c>
      <x:c r="B171" s="5" t="str">
        <x:v>D01-T07</x:v>
      </x:c>
      <x:c r="C171" s="5" t="str">
        <x:v>12.1 Analysis of Competing Hypotheses (ACH) Matrix</x:v>
      </x:c>
      <x:c r="D171" s="5" t="n">
        <x:v>629</x:v>
      </x:c>
      <x:c r="E171" s="5" t="n">
        <x:v>1</x:v>
      </x:c>
      <x:c r="F171" s="5" t="str">
        <x:v>Diagnostic Evidence &amp; Market Realities</x:v>
      </x:c>
      <x:c r="G171" s="5" t="n">
        <x:v>1</x:v>
      </x:c>
      <x:c r="H171" s="5" t="n">
        <x:v>1</x:v>
      </x:c>
      <x:c r="I171" s="5" t="str">
        <x:v>$E_2$: Long Corporate Procurement Cycles (Enterprise consulting retainers take 6–12 months).</x:v>
      </x:c>
      <x:c r="J171" s="5" t="str">
        <x:v>SOURCE QUOTE; unvalidated / superseded assessments</x:v>
      </x:c>
      <x:c r="L171" s="31" t="str">
        <x:v>D01, Markdown line 629; http://nas-1.tail55d152.ts.net:4100/static/2S_CONSULTING_NORDIC_OUTREACH_STRATEGY.html</x:v>
      </x:c>
    </x:row>
    <x:row r="172" ht="42" customHeight="1">
      <x:c r="A172" s="5" t="str">
        <x:v>D01</x:v>
      </x:c>
      <x:c r="B172" s="5" t="str">
        <x:v>D01-T07</x:v>
      </x:c>
      <x:c r="C172" s="5" t="str">
        <x:v>12.1 Analysis of Competing Hypotheses (ACH) Matrix</x:v>
      </x:c>
      <x:c r="D172" s="5" t="n">
        <x:v>629</x:v>
      </x:c>
      <x:c r="E172" s="5" t="n">
        <x:v>2</x:v>
      </x:c>
      <x:c r="F172" s="5" t="str">
        <x:v>Weight</x:v>
      </x:c>
      <x:c r="G172" s="5" t="n">
        <x:v>1</x:v>
      </x:c>
      <x:c r="H172" s="5" t="n">
        <x:v>1</x:v>
      </x:c>
      <x:c r="I172" s="5" t="str">
        <x:v>1.2</x:v>
      </x:c>
      <x:c r="J172" s="5" t="str">
        <x:v>SOURCE QUOTE; unvalidated / superseded assessments</x:v>
      </x:c>
      <x:c r="L172" s="31" t="str">
        <x:v>D01, Markdown line 629; http://nas-1.tail55d152.ts.net:4100/static/2S_CONSULTING_NORDIC_OUTREACH_STRATEGY.html</x:v>
      </x:c>
    </x:row>
    <x:row r="173" ht="42" customHeight="1">
      <x:c r="A173" s="5" t="str">
        <x:v>D01</x:v>
      </x:c>
      <x:c r="B173" s="5" t="str">
        <x:v>D01-T07</x:v>
      </x:c>
      <x:c r="C173" s="5" t="str">
        <x:v>12.1 Analysis of Competing Hypotheses (ACH) Matrix</x:v>
      </x:c>
      <x:c r="D173" s="5" t="n">
        <x:v>629</x:v>
      </x:c>
      <x:c r="E173" s="5" t="n">
        <x:v>3</x:v>
      </x:c>
      <x:c r="F173" s="5" t="str">
        <x:v>$H_1$ (Mass Email/InMail Blast)</x:v>
      </x:c>
      <x:c r="G173" s="5" t="n">
        <x:v>1</x:v>
      </x:c>
      <x:c r="H173" s="5" t="n">
        <x:v>1</x:v>
      </x:c>
      <x:c r="I173" s="5" t="str">
        <x:v>Inconsistent (-1.2); Cannot compress cycles via generic pitches.</x:v>
      </x:c>
      <x:c r="J173" s="5" t="str">
        <x:v>SOURCE QUOTE; unvalidated / superseded assessments</x:v>
      </x:c>
      <x:c r="L173" s="31" t="str">
        <x:v>D01, Markdown line 629; http://nas-1.tail55d152.ts.net:4100/static/2S_CONSULTING_NORDIC_OUTREACH_STRATEGY.html</x:v>
      </x:c>
    </x:row>
    <x:row r="174" ht="42" customHeight="1">
      <x:c r="A174" s="5" t="str">
        <x:v>D01</x:v>
      </x:c>
      <x:c r="B174" s="5" t="str">
        <x:v>D01-T07</x:v>
      </x:c>
      <x:c r="C174" s="5" t="str">
        <x:v>12.1 Analysis of Competing Hypotheses (ACH) Matrix</x:v>
      </x:c>
      <x:c r="D174" s="5" t="n">
        <x:v>629</x:v>
      </x:c>
      <x:c r="E174" s="5" t="n">
        <x:v>4</x:v>
      </x:c>
      <x:c r="F174" s="5" t="str">
        <x:v>$H_2$ (Passive Inbound &amp; Conferences)</x:v>
      </x:c>
      <x:c r="G174" s="5" t="n">
        <x:v>1</x:v>
      </x:c>
      <x:c r="H174" s="5" t="n">
        <x:v>1</x:v>
      </x:c>
      <x:c r="I174" s="5" t="str">
        <x:v>Inconsistent (-1.2); Inbound leads face identical procurement gridlock.</x:v>
      </x:c>
      <x:c r="J174" s="5" t="str">
        <x:v>SOURCE QUOTE; unvalidated / superseded assessments</x:v>
      </x:c>
      <x:c r="L174" s="31" t="str">
        <x:v>D01, Markdown line 629; http://nas-1.tail55d152.ts.net:4100/static/2S_CONSULTING_NORDIC_OUTREACH_STRATEGY.html</x:v>
      </x:c>
    </x:row>
    <x:row r="175" ht="42" customHeight="1">
      <x:c r="A175" s="5" t="str">
        <x:v>D01</x:v>
      </x:c>
      <x:c r="B175" s="5" t="str">
        <x:v>D01-T07</x:v>
      </x:c>
      <x:c r="C175" s="5" t="str">
        <x:v>12.1 Analysis of Competing Hypotheses (ACH) Matrix</x:v>
      </x:c>
      <x:c r="D175" s="5" t="n">
        <x:v>629</x:v>
      </x:c>
      <x:c r="E175" s="5" t="n">
        <x:v>5</x:v>
      </x:c>
      <x:c r="F175" s="5" t="str">
        <x:v>$H_3$ (Bountytek AB Asymmetric ABM)</x:v>
      </x:c>
      <x:c r="G175" s="5" t="n">
        <x:v>1</x:v>
      </x:c>
      <x:c r="H175" s="5" t="n">
        <x:v>1</x:v>
      </x:c>
      <x:c r="I175" s="5" t="str">
        <x:v>Very Consistent (0.0); Wedges (&lt;€35k / SEK 400k) fall under discretionary budget caps.</x:v>
      </x:c>
      <x:c r="J175" s="5" t="str">
        <x:v>SOURCE QUOTE; unvalidated / superseded assessments</x:v>
      </x:c>
      <x:c r="L175" s="31" t="str">
        <x:v>D01, Markdown line 629; http://nas-1.tail55d152.ts.net:4100/static/2S_CONSULTING_NORDIC_OUTREACH_STRATEGY.html</x:v>
      </x:c>
    </x:row>
    <x:row r="176" ht="42" customHeight="1">
      <x:c r="A176" s="5" t="str">
        <x:v>D01</x:v>
      </x:c>
      <x:c r="B176" s="5" t="str">
        <x:v>D01-T07</x:v>
      </x:c>
      <x:c r="C176" s="5" t="str">
        <x:v>12.1 Analysis of Competing Hypotheses (ACH) Matrix</x:v>
      </x:c>
      <x:c r="D176" s="5" t="n">
        <x:v>630</x:v>
      </x:c>
      <x:c r="E176" s="5" t="n">
        <x:v>1</x:v>
      </x:c>
      <x:c r="F176" s="5" t="str">
        <x:v>Diagnostic Evidence &amp; Market Realities</x:v>
      </x:c>
      <x:c r="G176" s="5" t="n">
        <x:v>1</x:v>
      </x:c>
      <x:c r="H176" s="5" t="n">
        <x:v>1</x:v>
      </x:c>
      <x:c r="I176" s="5" t="str">
        <x:v>$E_3$: Regulatory &amp; Manufacturing Pain Latency (Firms act only when audit or tender crisis hits).</x:v>
      </x:c>
      <x:c r="J176" s="5" t="str">
        <x:v>SOURCE QUOTE; unvalidated / superseded assessments</x:v>
      </x:c>
      <x:c r="L176" s="31" t="str">
        <x:v>D01, Markdown line 630; http://nas-1.tail55d152.ts.net:4100/static/2S_CONSULTING_NORDIC_OUTREACH_STRATEGY.html</x:v>
      </x:c>
    </x:row>
    <x:row r="177" ht="42" customHeight="1">
      <x:c r="A177" s="5" t="str">
        <x:v>D01</x:v>
      </x:c>
      <x:c r="B177" s="5" t="str">
        <x:v>D01-T07</x:v>
      </x:c>
      <x:c r="C177" s="5" t="str">
        <x:v>12.1 Analysis of Competing Hypotheses (ACH) Matrix</x:v>
      </x:c>
      <x:c r="D177" s="5" t="n">
        <x:v>630</x:v>
      </x:c>
      <x:c r="E177" s="5" t="n">
        <x:v>2</x:v>
      </x:c>
      <x:c r="F177" s="5" t="str">
        <x:v>Weight</x:v>
      </x:c>
      <x:c r="G177" s="5" t="n">
        <x:v>1</x:v>
      </x:c>
      <x:c r="H177" s="5" t="n">
        <x:v>1</x:v>
      </x:c>
      <x:c r="I177" s="5" t="str">
        <x:v>1.6</x:v>
      </x:c>
      <x:c r="J177" s="5" t="str">
        <x:v>SOURCE QUOTE; unvalidated / superseded assessments</x:v>
      </x:c>
      <x:c r="L177" s="31" t="str">
        <x:v>D01, Markdown line 630; http://nas-1.tail55d152.ts.net:4100/static/2S_CONSULTING_NORDIC_OUTREACH_STRATEGY.html</x:v>
      </x:c>
    </x:row>
    <x:row r="178" ht="42" customHeight="1">
      <x:c r="A178" s="5" t="str">
        <x:v>D01</x:v>
      </x:c>
      <x:c r="B178" s="5" t="str">
        <x:v>D01-T07</x:v>
      </x:c>
      <x:c r="C178" s="5" t="str">
        <x:v>12.1 Analysis of Competing Hypotheses (ACH) Matrix</x:v>
      </x:c>
      <x:c r="D178" s="5" t="n">
        <x:v>630</x:v>
      </x:c>
      <x:c r="E178" s="5" t="n">
        <x:v>3</x:v>
      </x:c>
      <x:c r="F178" s="5" t="str">
        <x:v>$H_1$ (Mass Email/InMail Blast)</x:v>
      </x:c>
      <x:c r="G178" s="5" t="n">
        <x:v>1</x:v>
      </x:c>
      <x:c r="H178" s="5" t="n">
        <x:v>1</x:v>
      </x:c>
      <x:c r="I178" s="5" t="str">
        <x:v>Inconsistent (-1.6); Untimed outreach misses the window of urgency.</x:v>
      </x:c>
      <x:c r="J178" s="5" t="str">
        <x:v>SOURCE QUOTE; unvalidated / superseded assessments</x:v>
      </x:c>
      <x:c r="L178" s="31" t="str">
        <x:v>D01, Markdown line 630; http://nas-1.tail55d152.ts.net:4100/static/2S_CONSULTING_NORDIC_OUTREACH_STRATEGY.html</x:v>
      </x:c>
    </x:row>
    <x:row r="179" ht="42" customHeight="1">
      <x:c r="A179" s="5" t="str">
        <x:v>D01</x:v>
      </x:c>
      <x:c r="B179" s="5" t="str">
        <x:v>D01-T07</x:v>
      </x:c>
      <x:c r="C179" s="5" t="str">
        <x:v>12.1 Analysis of Competing Hypotheses (ACH) Matrix</x:v>
      </x:c>
      <x:c r="D179" s="5" t="n">
        <x:v>630</x:v>
      </x:c>
      <x:c r="E179" s="5" t="n">
        <x:v>4</x:v>
      </x:c>
      <x:c r="F179" s="5" t="str">
        <x:v>$H_2$ (Passive Inbound &amp; Conferences)</x:v>
      </x:c>
      <x:c r="G179" s="5" t="n">
        <x:v>1</x:v>
      </x:c>
      <x:c r="H179" s="5" t="n">
        <x:v>1</x:v>
      </x:c>
      <x:c r="I179" s="5" t="str">
        <x:v>Inconsistent (-1.6); Passive content fails to intercept crisis events.</x:v>
      </x:c>
      <x:c r="J179" s="5" t="str">
        <x:v>SOURCE QUOTE; unvalidated / superseded assessments</x:v>
      </x:c>
      <x:c r="L179" s="31" t="str">
        <x:v>D01, Markdown line 630; http://nas-1.tail55d152.ts.net:4100/static/2S_CONSULTING_NORDIC_OUTREACH_STRATEGY.html</x:v>
      </x:c>
    </x:row>
    <x:row r="180" ht="42" customHeight="1">
      <x:c r="A180" s="5" t="str">
        <x:v>D01</x:v>
      </x:c>
      <x:c r="B180" s="5" t="str">
        <x:v>D01-T07</x:v>
      </x:c>
      <x:c r="C180" s="5" t="str">
        <x:v>12.1 Analysis of Competing Hypotheses (ACH) Matrix</x:v>
      </x:c>
      <x:c r="D180" s="5" t="n">
        <x:v>630</x:v>
      </x:c>
      <x:c r="E180" s="5" t="n">
        <x:v>5</x:v>
      </x:c>
      <x:c r="F180" s="5" t="str">
        <x:v>$H_3$ (Bountytek AB Asymmetric ABM)</x:v>
      </x:c>
      <x:c r="G180" s="5" t="n">
        <x:v>1</x:v>
      </x:c>
      <x:c r="H180" s="5" t="n">
        <x:v>1</x:v>
      </x:c>
      <x:c r="I180" s="5" t="str">
        <x:v>Very Consistent (0.0); Trigger monitoring intercepts audit deadlines &amp; tender notices.</x:v>
      </x:c>
      <x:c r="J180" s="5" t="str">
        <x:v>SOURCE QUOTE; unvalidated / superseded assessments</x:v>
      </x:c>
      <x:c r="L180" s="31" t="str">
        <x:v>D01, Markdown line 630; http://nas-1.tail55d152.ts.net:4100/static/2S_CONSULTING_NORDIC_OUTREACH_STRATEGY.html</x:v>
      </x:c>
    </x:row>
    <x:row r="181" ht="42" customHeight="1">
      <x:c r="A181" s="5" t="str">
        <x:v>D01</x:v>
      </x:c>
      <x:c r="B181" s="5" t="str">
        <x:v>D01-T07</x:v>
      </x:c>
      <x:c r="C181" s="5" t="str">
        <x:v>12.1 Analysis of Competing Hypotheses (ACH) Matrix</x:v>
      </x:c>
      <x:c r="D181" s="5" t="n">
        <x:v>631</x:v>
      </x:c>
      <x:c r="E181" s="5" t="n">
        <x:v>1</x:v>
      </x:c>
      <x:c r="F181" s="5" t="str">
        <x:v>Diagnostic Evidence &amp; Market Realities</x:v>
      </x:c>
      <x:c r="G181" s="5" t="n">
        <x:v>1</x:v>
      </x:c>
      <x:c r="H181" s="5" t="n">
        <x:v>1</x:v>
      </x:c>
      <x:c r="I181" s="5" t="str">
        <x:v>$E_4$: Verified Chemical &amp; Clinical IP Requirement (C-Suite demands published domain proof).</x:v>
      </x:c>
      <x:c r="J181" s="5" t="str">
        <x:v>SOURCE QUOTE; unvalidated / superseded assessments</x:v>
      </x:c>
      <x:c r="L181" s="31" t="str">
        <x:v>D01, Markdown line 631; http://nas-1.tail55d152.ts.net:4100/static/2S_CONSULTING_NORDIC_OUTREACH_STRATEGY.html</x:v>
      </x:c>
    </x:row>
    <x:row r="182" ht="42" customHeight="1">
      <x:c r="A182" s="5" t="str">
        <x:v>D01</x:v>
      </x:c>
      <x:c r="B182" s="5" t="str">
        <x:v>D01-T07</x:v>
      </x:c>
      <x:c r="C182" s="5" t="str">
        <x:v>12.1 Analysis of Competing Hypotheses (ACH) Matrix</x:v>
      </x:c>
      <x:c r="D182" s="5" t="n">
        <x:v>631</x:v>
      </x:c>
      <x:c r="E182" s="5" t="n">
        <x:v>2</x:v>
      </x:c>
      <x:c r="F182" s="5" t="str">
        <x:v>Weight</x:v>
      </x:c>
      <x:c r="G182" s="5" t="n">
        <x:v>1</x:v>
      </x:c>
      <x:c r="H182" s="5" t="n">
        <x:v>1</x:v>
      </x:c>
      <x:c r="I182" s="5" t="str">
        <x:v>1.4</x:v>
      </x:c>
      <x:c r="J182" s="5" t="str">
        <x:v>SOURCE QUOTE; unvalidated / superseded assessments</x:v>
      </x:c>
      <x:c r="L182" s="31" t="str">
        <x:v>D01, Markdown line 631; http://nas-1.tail55d152.ts.net:4100/static/2S_CONSULTING_NORDIC_OUTREACH_STRATEGY.html</x:v>
      </x:c>
    </x:row>
    <x:row r="183" ht="42" customHeight="1">
      <x:c r="A183" s="5" t="str">
        <x:v>D01</x:v>
      </x:c>
      <x:c r="B183" s="5" t="str">
        <x:v>D01-T07</x:v>
      </x:c>
      <x:c r="C183" s="5" t="str">
        <x:v>12.1 Analysis of Competing Hypotheses (ACH) Matrix</x:v>
      </x:c>
      <x:c r="D183" s="5" t="n">
        <x:v>631</x:v>
      </x:c>
      <x:c r="E183" s="5" t="n">
        <x:v>3</x:v>
      </x:c>
      <x:c r="F183" s="5" t="str">
        <x:v>$H_1$ (Mass Email/InMail Blast)</x:v>
      </x:c>
      <x:c r="G183" s="5" t="n">
        <x:v>1</x:v>
      </x:c>
      <x:c r="H183" s="5" t="n">
        <x:v>1</x:v>
      </x:c>
      <x:c r="I183" s="5" t="str">
        <x:v>Inconsistent (-1.4); Generic sales decks lack technical credibility.</x:v>
      </x:c>
      <x:c r="J183" s="5" t="str">
        <x:v>SOURCE QUOTE; unvalidated / superseded assessments</x:v>
      </x:c>
      <x:c r="L183" s="31" t="str">
        <x:v>D01, Markdown line 631; http://nas-1.tail55d152.ts.net:4100/static/2S_CONSULTING_NORDIC_OUTREACH_STRATEGY.html</x:v>
      </x:c>
    </x:row>
    <x:row r="184" ht="42" customHeight="1">
      <x:c r="A184" s="5" t="str">
        <x:v>D01</x:v>
      </x:c>
      <x:c r="B184" s="5" t="str">
        <x:v>D01-T07</x:v>
      </x:c>
      <x:c r="C184" s="5" t="str">
        <x:v>12.1 Analysis of Competing Hypotheses (ACH) Matrix</x:v>
      </x:c>
      <x:c r="D184" s="5" t="n">
        <x:v>631</x:v>
      </x:c>
      <x:c r="E184" s="5" t="n">
        <x:v>4</x:v>
      </x:c>
      <x:c r="F184" s="5" t="str">
        <x:v>$H_2$ (Passive Inbound &amp; Conferences)</x:v>
      </x:c>
      <x:c r="G184" s="5" t="n">
        <x:v>1</x:v>
      </x:c>
      <x:c r="H184" s="5" t="n">
        <x:v>1</x:v>
      </x:c>
      <x:c r="I184" s="5" t="str">
        <x:v>Neutral (0.0); General whitepapers create vague interest only.</x:v>
      </x:c>
      <x:c r="J184" s="5" t="str">
        <x:v>SOURCE QUOTE; unvalidated / superseded assessments</x:v>
      </x:c>
      <x:c r="L184" s="31" t="str">
        <x:v>D01, Markdown line 631; http://nas-1.tail55d152.ts.net:4100/static/2S_CONSULTING_NORDIC_OUTREACH_STRATEGY.html</x:v>
      </x:c>
    </x:row>
    <x:row r="185" ht="42" customHeight="1">
      <x:c r="A185" s="5" t="str">
        <x:v>D01</x:v>
      </x:c>
      <x:c r="B185" s="5" t="str">
        <x:v>D01-T07</x:v>
      </x:c>
      <x:c r="C185" s="5" t="str">
        <x:v>12.1 Analysis of Competing Hypotheses (ACH) Matrix</x:v>
      </x:c>
      <x:c r="D185" s="5" t="n">
        <x:v>631</x:v>
      </x:c>
      <x:c r="E185" s="5" t="n">
        <x:v>5</x:v>
      </x:c>
      <x:c r="F185" s="5" t="str">
        <x:v>$H_3$ (Bountytek AB Asymmetric ABM)</x:v>
      </x:c>
      <x:c r="G185" s="5" t="n">
        <x:v>1</x:v>
      </x:c>
      <x:c r="H185" s="5" t="n">
        <x:v>1</x:v>
      </x:c>
      <x:c r="I185" s="5" t="str">
        <x:v>Very Consistent (0.0); Cites 2S's published monographs and Merck S&amp;OP portal.</x:v>
      </x:c>
      <x:c r="J185" s="5" t="str">
        <x:v>SOURCE QUOTE; unvalidated / superseded assessments</x:v>
      </x:c>
      <x:c r="L185" s="31" t="str">
        <x:v>D01, Markdown line 631; http://nas-1.tail55d152.ts.net:4100/static/2S_CONSULTING_NORDIC_OUTREACH_STRATEGY.html</x:v>
      </x:c>
    </x:row>
    <x:row r="186" ht="42" customHeight="1">
      <x:c r="A186" s="5" t="str">
        <x:v>D01</x:v>
      </x:c>
      <x:c r="B186" s="5" t="str">
        <x:v>D01-T07</x:v>
      </x:c>
      <x:c r="C186" s="5" t="str">
        <x:v>12.1 Analysis of Competing Hypotheses (ACH) Matrix</x:v>
      </x:c>
      <x:c r="D186" s="5" t="n">
        <x:v>632</x:v>
      </x:c>
      <x:c r="E186" s="5" t="n">
        <x:v>1</x:v>
      </x:c>
      <x:c r="F186" s="5" t="str">
        <x:v>Diagnostic Evidence &amp; Market Realities</x:v>
      </x:c>
      <x:c r="G186" s="5" t="n">
        <x:v>1</x:v>
      </x:c>
      <x:c r="H186" s="5" t="n">
        <x:v>1</x:v>
      </x:c>
      <x:c r="I186" s="5" t="str">
        <x:v>$E_5$: Co-Opetition Channel Scalability (Primes possess existing billing MSAs).</x:v>
      </x:c>
      <x:c r="J186" s="5" t="str">
        <x:v>SOURCE QUOTE; unvalidated / superseded assessments</x:v>
      </x:c>
      <x:c r="L186" s="31" t="str">
        <x:v>D01, Markdown line 632; http://nas-1.tail55d152.ts.net:4100/static/2S_CONSULTING_NORDIC_OUTREACH_STRATEGY.html</x:v>
      </x:c>
    </x:row>
    <x:row r="187" ht="42" customHeight="1">
      <x:c r="A187" s="5" t="str">
        <x:v>D01</x:v>
      </x:c>
      <x:c r="B187" s="5" t="str">
        <x:v>D01-T07</x:v>
      </x:c>
      <x:c r="C187" s="5" t="str">
        <x:v>12.1 Analysis of Competing Hypotheses (ACH) Matrix</x:v>
      </x:c>
      <x:c r="D187" s="5" t="n">
        <x:v>632</x:v>
      </x:c>
      <x:c r="E187" s="5" t="n">
        <x:v>2</x:v>
      </x:c>
      <x:c r="F187" s="5" t="str">
        <x:v>Weight</x:v>
      </x:c>
      <x:c r="G187" s="5" t="n">
        <x:v>1</x:v>
      </x:c>
      <x:c r="H187" s="5" t="n">
        <x:v>1</x:v>
      </x:c>
      <x:c r="I187" s="5" t="str">
        <x:v>1.3</x:v>
      </x:c>
      <x:c r="J187" s="5" t="str">
        <x:v>SOURCE QUOTE; unvalidated / superseded assessments</x:v>
      </x:c>
      <x:c r="L187" s="31" t="str">
        <x:v>D01, Markdown line 632; http://nas-1.tail55d152.ts.net:4100/static/2S_CONSULTING_NORDIC_OUTREACH_STRATEGY.html</x:v>
      </x:c>
    </x:row>
    <x:row r="188" ht="42" customHeight="1">
      <x:c r="A188" s="5" t="str">
        <x:v>D01</x:v>
      </x:c>
      <x:c r="B188" s="5" t="str">
        <x:v>D01-T07</x:v>
      </x:c>
      <x:c r="C188" s="5" t="str">
        <x:v>12.1 Analysis of Competing Hypotheses (ACH) Matrix</x:v>
      </x:c>
      <x:c r="D188" s="5" t="n">
        <x:v>632</x:v>
      </x:c>
      <x:c r="E188" s="5" t="n">
        <x:v>3</x:v>
      </x:c>
      <x:c r="F188" s="5" t="str">
        <x:v>$H_1$ (Mass Email/InMail Blast)</x:v>
      </x:c>
      <x:c r="G188" s="5" t="n">
        <x:v>1</x:v>
      </x:c>
      <x:c r="H188" s="5" t="n">
        <x:v>1</x:v>
      </x:c>
      <x:c r="I188" s="5" t="str">
        <x:v>Inconsistent (-1.3); Mass pitching primes generates hostility.</x:v>
      </x:c>
      <x:c r="J188" s="5" t="str">
        <x:v>SOURCE QUOTE; unvalidated / superseded assessments</x:v>
      </x:c>
      <x:c r="L188" s="31" t="str">
        <x:v>D01, Markdown line 632; http://nas-1.tail55d152.ts.net:4100/static/2S_CONSULTING_NORDIC_OUTREACH_STRATEGY.html</x:v>
      </x:c>
    </x:row>
    <x:row r="189" ht="42" customHeight="1">
      <x:c r="A189" s="5" t="str">
        <x:v>D01</x:v>
      </x:c>
      <x:c r="B189" s="5" t="str">
        <x:v>D01-T07</x:v>
      </x:c>
      <x:c r="C189" s="5" t="str">
        <x:v>12.1 Analysis of Competing Hypotheses (ACH) Matrix</x:v>
      </x:c>
      <x:c r="D189" s="5" t="n">
        <x:v>632</x:v>
      </x:c>
      <x:c r="E189" s="5" t="n">
        <x:v>4</x:v>
      </x:c>
      <x:c r="F189" s="5" t="str">
        <x:v>$H_2$ (Passive Inbound &amp; Conferences)</x:v>
      </x:c>
      <x:c r="G189" s="5" t="n">
        <x:v>1</x:v>
      </x:c>
      <x:c r="H189" s="5" t="n">
        <x:v>1</x:v>
      </x:c>
      <x:c r="I189" s="5" t="str">
        <x:v>Inconsistent (-1.3); Passive waiting fails to build partnership trust.</x:v>
      </x:c>
      <x:c r="J189" s="5" t="str">
        <x:v>SOURCE QUOTE; unvalidated / superseded assessments</x:v>
      </x:c>
      <x:c r="L189" s="31" t="str">
        <x:v>D01, Markdown line 632; http://nas-1.tail55d152.ts.net:4100/static/2S_CONSULTING_NORDIC_OUTREACH_STRATEGY.html</x:v>
      </x:c>
    </x:row>
    <x:row r="190" ht="42" customHeight="1">
      <x:c r="A190" s="5" t="str">
        <x:v>D01</x:v>
      </x:c>
      <x:c r="B190" s="5" t="str">
        <x:v>D01-T07</x:v>
      </x:c>
      <x:c r="C190" s="5" t="str">
        <x:v>12.1 Analysis of Competing Hypotheses (ACH) Matrix</x:v>
      </x:c>
      <x:c r="D190" s="5" t="n">
        <x:v>632</x:v>
      </x:c>
      <x:c r="E190" s="5" t="n">
        <x:v>5</x:v>
      </x:c>
      <x:c r="F190" s="5" t="str">
        <x:v>$H_3$ (Bountytek AB Asymmetric ABM)</x:v>
      </x:c>
      <x:c r="G190" s="5" t="n">
        <x:v>1</x:v>
      </x:c>
      <x:c r="H190" s="5" t="n">
        <x:v>1</x:v>
      </x:c>
      <x:c r="I190" s="5" t="str">
        <x:v>Very Consistent (0.0); White-label software certification creates mutual revenue.</x:v>
      </x:c>
      <x:c r="J190" s="5" t="str">
        <x:v>SOURCE QUOTE; unvalidated / superseded assessments</x:v>
      </x:c>
      <x:c r="L190" s="31" t="str">
        <x:v>D01, Markdown line 632; http://nas-1.tail55d152.ts.net:4100/static/2S_CONSULTING_NORDIC_OUTREACH_STRATEGY.html</x:v>
      </x:c>
    </x:row>
    <x:row r="191" ht="42" customHeight="1">
      <x:c r="A191" s="5" t="str">
        <x:v>D01</x:v>
      </x:c>
      <x:c r="B191" s="5" t="str">
        <x:v>D01-T07</x:v>
      </x:c>
      <x:c r="C191" s="5" t="str">
        <x:v>12.1 Analysis of Competing Hypotheses (ACH) Matrix</x:v>
      </x:c>
      <x:c r="D191" s="5" t="n">
        <x:v>633</x:v>
      </x:c>
      <x:c r="E191" s="5" t="n">
        <x:v>1</x:v>
      </x:c>
      <x:c r="F191" s="5" t="str">
        <x:v>Diagnostic Evidence &amp; Market Realities</x:v>
      </x:c>
      <x:c r="G191" s="5" t="n">
        <x:v>1</x:v>
      </x:c>
      <x:c r="H191" s="5" t="n">
        <x:v>1</x:v>
      </x:c>
      <x:c r="I191" s="5" t="str">
        <x:v>$E_6$: Domestic Nordic Legal Entity Requirement (Regional tenders require local F-skatt).</x:v>
      </x:c>
      <x:c r="J191" s="5" t="str">
        <x:v>SOURCE QUOTE; unvalidated / superseded assessments</x:v>
      </x:c>
      <x:c r="L191" s="31" t="str">
        <x:v>D01, Markdown line 633; http://nas-1.tail55d152.ts.net:4100/static/2S_CONSULTING_NORDIC_OUTREACH_STRATEGY.html</x:v>
      </x:c>
    </x:row>
    <x:row r="192" ht="42" customHeight="1">
      <x:c r="A192" s="5" t="str">
        <x:v>D01</x:v>
      </x:c>
      <x:c r="B192" s="5" t="str">
        <x:v>D01-T07</x:v>
      </x:c>
      <x:c r="C192" s="5" t="str">
        <x:v>12.1 Analysis of Competing Hypotheses (ACH) Matrix</x:v>
      </x:c>
      <x:c r="D192" s="5" t="n">
        <x:v>633</x:v>
      </x:c>
      <x:c r="E192" s="5" t="n">
        <x:v>2</x:v>
      </x:c>
      <x:c r="F192" s="5" t="str">
        <x:v>Weight</x:v>
      </x:c>
      <x:c r="G192" s="5" t="n">
        <x:v>1</x:v>
      </x:c>
      <x:c r="H192" s="5" t="n">
        <x:v>1</x:v>
      </x:c>
      <x:c r="I192" s="5" t="str">
        <x:v>1.5</x:v>
      </x:c>
      <x:c r="J192" s="5" t="str">
        <x:v>SOURCE QUOTE; unvalidated / superseded assessments</x:v>
      </x:c>
      <x:c r="L192" s="31" t="str">
        <x:v>D01, Markdown line 633; http://nas-1.tail55d152.ts.net:4100/static/2S_CONSULTING_NORDIC_OUTREACH_STRATEGY.html</x:v>
      </x:c>
    </x:row>
    <x:row r="193" ht="42" customHeight="1">
      <x:c r="A193" s="5" t="str">
        <x:v>D01</x:v>
      </x:c>
      <x:c r="B193" s="5" t="str">
        <x:v>D01-T07</x:v>
      </x:c>
      <x:c r="C193" s="5" t="str">
        <x:v>12.1 Analysis of Competing Hypotheses (ACH) Matrix</x:v>
      </x:c>
      <x:c r="D193" s="5" t="n">
        <x:v>633</x:v>
      </x:c>
      <x:c r="E193" s="5" t="n">
        <x:v>3</x:v>
      </x:c>
      <x:c r="F193" s="5" t="str">
        <x:v>$H_1$ (Mass Email/InMail Blast)</x:v>
      </x:c>
      <x:c r="G193" s="5" t="n">
        <x:v>1</x:v>
      </x:c>
      <x:c r="H193" s="5" t="n">
        <x:v>1</x:v>
      </x:c>
      <x:c r="I193" s="5" t="str">
        <x:v>Inconsistent (-1.5); Foreign entities face disqualification in public bids.</x:v>
      </x:c>
      <x:c r="J193" s="5" t="str">
        <x:v>SOURCE QUOTE; unvalidated / superseded assessments</x:v>
      </x:c>
      <x:c r="L193" s="31" t="str">
        <x:v>D01, Markdown line 633; http://nas-1.tail55d152.ts.net:4100/static/2S_CONSULTING_NORDIC_OUTREACH_STRATEGY.html</x:v>
      </x:c>
    </x:row>
    <x:row r="194" ht="42" customHeight="1">
      <x:c r="A194" s="5" t="str">
        <x:v>D01</x:v>
      </x:c>
      <x:c r="B194" s="5" t="str">
        <x:v>D01-T07</x:v>
      </x:c>
      <x:c r="C194" s="5" t="str">
        <x:v>12.1 Analysis of Competing Hypotheses (ACH) Matrix</x:v>
      </x:c>
      <x:c r="D194" s="5" t="n">
        <x:v>633</x:v>
      </x:c>
      <x:c r="E194" s="5" t="n">
        <x:v>4</x:v>
      </x:c>
      <x:c r="F194" s="5" t="str">
        <x:v>$H_2$ (Passive Inbound &amp; Conferences)</x:v>
      </x:c>
      <x:c r="G194" s="5" t="n">
        <x:v>1</x:v>
      </x:c>
      <x:c r="H194" s="5" t="n">
        <x:v>1</x:v>
      </x:c>
      <x:c r="I194" s="5" t="str">
        <x:v>Inconsistent (-1.5); Foreign entities cannot bid on local tenders.</x:v>
      </x:c>
      <x:c r="J194" s="5" t="str">
        <x:v>SOURCE QUOTE; unvalidated / superseded assessments</x:v>
      </x:c>
      <x:c r="L194" s="31" t="str">
        <x:v>D01, Markdown line 633; http://nas-1.tail55d152.ts.net:4100/static/2S_CONSULTING_NORDIC_OUTREACH_STRATEGY.html</x:v>
      </x:c>
    </x:row>
    <x:row r="195" ht="42" customHeight="1">
      <x:c r="A195" s="5" t="str">
        <x:v>D01</x:v>
      </x:c>
      <x:c r="B195" s="5" t="str">
        <x:v>D01-T07</x:v>
      </x:c>
      <x:c r="C195" s="5" t="str">
        <x:v>12.1 Analysis of Competing Hypotheses (ACH) Matrix</x:v>
      </x:c>
      <x:c r="D195" s="5" t="n">
        <x:v>633</x:v>
      </x:c>
      <x:c r="E195" s="5" t="n">
        <x:v>5</x:v>
      </x:c>
      <x:c r="F195" s="5" t="str">
        <x:v>$H_3$ (Bountytek AB Asymmetric ABM)</x:v>
      </x:c>
      <x:c r="G195" s="5" t="n">
        <x:v>1</x:v>
      </x:c>
      <x:c r="H195" s="5" t="n">
        <x:v>1</x:v>
      </x:c>
      <x:c r="I195" s="5" t="str">
        <x:v>Very Consistent (0.0); Bountytek AB holds domestic Swedish registration.</x:v>
      </x:c>
      <x:c r="J195" s="5" t="str">
        <x:v>SOURCE QUOTE; unvalidated / superseded assessments</x:v>
      </x:c>
      <x:c r="L195" s="31" t="str">
        <x:v>D01, Markdown line 633; http://nas-1.tail55d152.ts.net:4100/static/2S_CONSULTING_NORDIC_OUTREACH_STRATEGY.html</x:v>
      </x:c>
    </x:row>
    <x:row r="196" ht="42" customHeight="1">
      <x:c r="A196" s="5" t="str">
        <x:v>D01</x:v>
      </x:c>
      <x:c r="B196" s="5" t="str">
        <x:v>D01-T07</x:v>
      </x:c>
      <x:c r="C196" s="5" t="str">
        <x:v>12.1 Analysis of Competing Hypotheses (ACH) Matrix</x:v>
      </x:c>
      <x:c r="D196" s="5" t="n">
        <x:v>634</x:v>
      </x:c>
      <x:c r="E196" s="5" t="n">
        <x:v>1</x:v>
      </x:c>
      <x:c r="F196" s="5" t="str">
        <x:v>Diagnostic Evidence &amp; Market Realities</x:v>
      </x:c>
      <x:c r="G196" s="5" t="n">
        <x:v>1</x:v>
      </x:c>
      <x:c r="H196" s="5" t="n">
        <x:v>1</x:v>
      </x:c>
      <x:c r="I196" s="5" t="str">
        <x:v>Weighted Disconfirmation Penalty Score</x:v>
      </x:c>
      <x:c r="J196" s="5" t="str">
        <x:v>SOURCE QUOTE; unvalidated / superseded assessments</x:v>
      </x:c>
      <x:c r="L196" s="31" t="str">
        <x:v>D01, Markdown line 634; http://nas-1.tail55d152.ts.net:4100/static/2S_CONSULTING_NORDIC_OUTREACH_STRATEGY.html</x:v>
      </x:c>
    </x:row>
    <x:row r="197" ht="42" customHeight="1">
      <x:c r="A197" s="5" t="str">
        <x:v>D01</x:v>
      </x:c>
      <x:c r="B197" s="5" t="str">
        <x:v>D01-T07</x:v>
      </x:c>
      <x:c r="C197" s="5" t="str">
        <x:v>12.1 Analysis of Competing Hypotheses (ACH) Matrix</x:v>
      </x:c>
      <x:c r="D197" s="5" t="n">
        <x:v>634</x:v>
      </x:c>
      <x:c r="E197" s="5" t="n">
        <x:v>2</x:v>
      </x:c>
      <x:c r="F197" s="5" t="str">
        <x:v>Weight</x:v>
      </x:c>
      <x:c r="G197" s="5" t="n">
        <x:v>1</x:v>
      </x:c>
      <x:c r="H197" s="5" t="n">
        <x:v>1</x:v>
      </x:c>
      <x:c r="I197" s="5" t="str">
        <x:v>—</x:v>
      </x:c>
      <x:c r="J197" s="5" t="str">
        <x:v>SOURCE QUOTE; unvalidated / superseded assessments</x:v>
      </x:c>
      <x:c r="L197" s="31" t="str">
        <x:v>D01, Markdown line 634; http://nas-1.tail55d152.ts.net:4100/static/2S_CONSULTING_NORDIC_OUTREACH_STRATEGY.html</x:v>
      </x:c>
    </x:row>
    <x:row r="198" ht="42" customHeight="1">
      <x:c r="A198" s="5" t="str">
        <x:v>D01</x:v>
      </x:c>
      <x:c r="B198" s="5" t="str">
        <x:v>D01-T07</x:v>
      </x:c>
      <x:c r="C198" s="5" t="str">
        <x:v>12.1 Analysis of Competing Hypotheses (ACH) Matrix</x:v>
      </x:c>
      <x:c r="D198" s="5" t="n">
        <x:v>634</x:v>
      </x:c>
      <x:c r="E198" s="5" t="n">
        <x:v>3</x:v>
      </x:c>
      <x:c r="F198" s="5" t="str">
        <x:v>$H_1$ (Mass Email/InMail Blast)</x:v>
      </x:c>
      <x:c r="G198" s="5" t="n">
        <x:v>1</x:v>
      </x:c>
      <x:c r="H198" s="5" t="n">
        <x:v>1</x:v>
      </x:c>
      <x:c r="I198" s="5" t="str">
        <x:v>-8.5 (DECISIVELY REFUTED)</x:v>
      </x:c>
      <x:c r="J198" s="5" t="str">
        <x:v>SOURCE QUOTE; unvalidated / superseded assessments</x:v>
      </x:c>
      <x:c r="L198" s="31" t="str">
        <x:v>D01, Markdown line 634; http://nas-1.tail55d152.ts.net:4100/static/2S_CONSULTING_NORDIC_OUTREACH_STRATEGY.html</x:v>
      </x:c>
    </x:row>
    <x:row r="199" ht="42" customHeight="1">
      <x:c r="A199" s="5" t="str">
        <x:v>D01</x:v>
      </x:c>
      <x:c r="B199" s="5" t="str">
        <x:v>D01-T07</x:v>
      </x:c>
      <x:c r="C199" s="5" t="str">
        <x:v>12.1 Analysis of Competing Hypotheses (ACH) Matrix</x:v>
      </x:c>
      <x:c r="D199" s="5" t="n">
        <x:v>634</x:v>
      </x:c>
      <x:c r="E199" s="5" t="n">
        <x:v>4</x:v>
      </x:c>
      <x:c r="F199" s="5" t="str">
        <x:v>$H_2$ (Passive Inbound &amp; Conferences)</x:v>
      </x:c>
      <x:c r="G199" s="5" t="n">
        <x:v>1</x:v>
      </x:c>
      <x:c r="H199" s="5" t="n">
        <x:v>1</x:v>
      </x:c>
      <x:c r="I199" s="5" t="str">
        <x:v>-5.6 (REFUTED)</x:v>
      </x:c>
      <x:c r="J199" s="5" t="str">
        <x:v>SOURCE QUOTE; unvalidated / superseded assessments</x:v>
      </x:c>
      <x:c r="L199" s="31" t="str">
        <x:v>D01, Markdown line 634; http://nas-1.tail55d152.ts.net:4100/static/2S_CONSULTING_NORDIC_OUTREACH_STRATEGY.html</x:v>
      </x:c>
    </x:row>
    <x:row r="200" ht="42" customHeight="1">
      <x:c r="A200" s="5" t="str">
        <x:v>D01</x:v>
      </x:c>
      <x:c r="B200" s="5" t="str">
        <x:v>D01-T07</x:v>
      </x:c>
      <x:c r="C200" s="5" t="str">
        <x:v>12.1 Analysis of Competing Hypotheses (ACH) Matrix</x:v>
      </x:c>
      <x:c r="D200" s="5" t="n">
        <x:v>634</x:v>
      </x:c>
      <x:c r="E200" s="5" t="n">
        <x:v>5</x:v>
      </x:c>
      <x:c r="F200" s="5" t="str">
        <x:v>$H_3$ (Bountytek AB Asymmetric ABM)</x:v>
      </x:c>
      <x:c r="G200" s="5" t="n">
        <x:v>1</x:v>
      </x:c>
      <x:c r="H200" s="5" t="n">
        <x:v>1</x:v>
      </x:c>
      <x:c r="I200" s="5" t="str">
        <x:v>0.0 (DECISIVELY CONFIRMED)</x:v>
      </x:c>
      <x:c r="J200" s="5" t="str">
        <x:v>SOURCE QUOTE; unvalidated / superseded assessments</x:v>
      </x:c>
      <x:c r="L200" s="31" t="str">
        <x:v>D01, Markdown line 634; http://nas-1.tail55d152.ts.net:4100/static/2S_CONSULTING_NORDIC_OUTREACH_STRATEGY.html</x:v>
      </x:c>
    </x:row>
    <x:row r="201" ht="42" customHeight="1">
      <x:c r="A201" s="5" t="str">
        <x:v>D01</x:v>
      </x:c>
      <x:c r="B201" s="5" t="str">
        <x:v>D01-T08</x:v>
      </x:c>
      <x:c r="C201" s="5" t="str">
        <x:v>12.2 NATO STANAG 2017/2018 Admiralty Audit ($\ge \text{B2}$)</x:v>
      </x:c>
      <x:c r="D201" s="5" t="n">
        <x:v>643</x:v>
      </x:c>
      <x:c r="E201" s="5" t="n">
        <x:v>1</x:v>
      </x:c>
      <x:c r="F201" s="5" t="str">
        <x:v>Commercial Entity</x:v>
      </x:c>
      <x:c r="G201" s="5" t="n">
        <x:v>1</x:v>
      </x:c>
      <x:c r="H201" s="5" t="n">
        <x:v>1</x:v>
      </x:c>
      <x:c r="I201" s="5" t="str">
        <x:v>Bountytek AB</x:v>
      </x:c>
      <x:c r="J201" s="5" t="str">
        <x:v>SOURCE QUOTE; unvalidated / superseded assessments</x:v>
      </x:c>
      <x:c r="L201" s="31" t="str">
        <x:v>D01, Markdown line 643; http://nas-1.tail55d152.ts.net:4100/static/2S_CONSULTING_NORDIC_OUTREACH_STRATEGY.html</x:v>
      </x:c>
    </x:row>
    <x:row r="202" ht="42" customHeight="1">
      <x:c r="A202" s="5" t="str">
        <x:v>D01</x:v>
      </x:c>
      <x:c r="B202" s="5" t="str">
        <x:v>D01-T08</x:v>
      </x:c>
      <x:c r="C202" s="5" t="str">
        <x:v>12.2 NATO STANAG 2017/2018 Admiralty Audit ($\ge \text{B2}$)</x:v>
      </x:c>
      <x:c r="D202" s="5" t="n">
        <x:v>643</x:v>
      </x:c>
      <x:c r="E202" s="5" t="n">
        <x:v>2</x:v>
      </x:c>
      <x:c r="F202" s="5" t="str">
        <x:v>Country</x:v>
      </x:c>
      <x:c r="G202" s="5" t="n">
        <x:v>1</x:v>
      </x:c>
      <x:c r="H202" s="5" t="n">
        <x:v>1</x:v>
      </x:c>
      <x:c r="I202" s="5" t="str">
        <x:v>Sweden</x:v>
      </x:c>
      <x:c r="J202" s="5" t="str">
        <x:v>SOURCE QUOTE; unvalidated / superseded assessments</x:v>
      </x:c>
      <x:c r="L202" s="31" t="str">
        <x:v>D01, Markdown line 643; http://nas-1.tail55d152.ts.net:4100/static/2S_CONSULTING_NORDIC_OUTREACH_STRATEGY.html</x:v>
      </x:c>
    </x:row>
    <x:row r="203" ht="42" customHeight="1">
      <x:c r="A203" s="5" t="str">
        <x:v>D01</x:v>
      </x:c>
      <x:c r="B203" s="5" t="str">
        <x:v>D01-T08</x:v>
      </x:c>
      <x:c r="C203" s="5" t="str">
        <x:v>12.2 NATO STANAG 2017/2018 Admiralty Audit ($\ge \text{B2}$)</x:v>
      </x:c>
      <x:c r="D203" s="5" t="n">
        <x:v>643</x:v>
      </x:c>
      <x:c r="E203" s="5" t="n">
        <x:v>3</x:v>
      </x:c>
      <x:c r="F203" s="5" t="str">
        <x:v>Intelligence Source</x:v>
      </x:c>
      <x:c r="G203" s="5" t="n">
        <x:v>1</x:v>
      </x:c>
      <x:c r="H203" s="5" t="n">
        <x:v>1</x:v>
      </x:c>
      <x:c r="I203" s="5" t="str">
        <x:v>Swedish Bolagsverket, Swedish Tax Agency (Skatteverket)</x:v>
      </x:c>
      <x:c r="J203" s="5" t="str">
        <x:v>SOURCE QUOTE; unvalidated / superseded assessments</x:v>
      </x:c>
      <x:c r="L203" s="31" t="str">
        <x:v>D01, Markdown line 643; http://nas-1.tail55d152.ts.net:4100/static/2S_CONSULTING_NORDIC_OUTREACH_STRATEGY.html</x:v>
      </x:c>
    </x:row>
    <x:row r="204" ht="42" customHeight="1">
      <x:c r="A204" s="5" t="str">
        <x:v>D01</x:v>
      </x:c>
      <x:c r="B204" s="5" t="str">
        <x:v>D01-T08</x:v>
      </x:c>
      <x:c r="C204" s="5" t="str">
        <x:v>12.2 NATO STANAG 2017/2018 Admiralty Audit ($\ge \text{B2}$)</x:v>
      </x:c>
      <x:c r="D204" s="5" t="n">
        <x:v>643</x:v>
      </x:c>
      <x:c r="E204" s="5" t="n">
        <x:v>4</x:v>
      </x:c>
      <x:c r="F204" s="5" t="str">
        <x:v>Source Reliability</x:v>
      </x:c>
      <x:c r="G204" s="5" t="n">
        <x:v>1</x:v>
      </x:c>
      <x:c r="H204" s="5" t="n">
        <x:v>1</x:v>
      </x:c>
      <x:c r="I204" s="5" t="str">
        <x:v>A (Completely Reliable)</x:v>
      </x:c>
      <x:c r="J204" s="5" t="str">
        <x:v>SOURCE QUOTE; unvalidated / superseded assessments</x:v>
      </x:c>
      <x:c r="L204" s="31" t="str">
        <x:v>D01, Markdown line 643; http://nas-1.tail55d152.ts.net:4100/static/2S_CONSULTING_NORDIC_OUTREACH_STRATEGY.html</x:v>
      </x:c>
    </x:row>
    <x:row r="205" ht="42" customHeight="1">
      <x:c r="A205" s="5" t="str">
        <x:v>D01</x:v>
      </x:c>
      <x:c r="B205" s="5" t="str">
        <x:v>D01-T08</x:v>
      </x:c>
      <x:c r="C205" s="5" t="str">
        <x:v>12.2 NATO STANAG 2017/2018 Admiralty Audit ($\ge \text{B2}$)</x:v>
      </x:c>
      <x:c r="D205" s="5" t="n">
        <x:v>643</x:v>
      </x:c>
      <x:c r="E205" s="5" t="n">
        <x:v>5</x:v>
      </x:c>
      <x:c r="F205" s="5" t="str">
        <x:v>Information Credibility</x:v>
      </x:c>
      <x:c r="G205" s="5" t="n">
        <x:v>1</x:v>
      </x:c>
      <x:c r="H205" s="5" t="n">
        <x:v>1</x:v>
      </x:c>
      <x:c r="I205" s="5" t="str">
        <x:v>1 (Confirmed by Official Registry)</x:v>
      </x:c>
      <x:c r="J205" s="5" t="str">
        <x:v>SOURCE QUOTE; unvalidated / superseded assessments</x:v>
      </x:c>
      <x:c r="L205" s="31" t="str">
        <x:v>D01, Markdown line 643; http://nas-1.tail55d152.ts.net:4100/static/2S_CONSULTING_NORDIC_OUTREACH_STRATEGY.html</x:v>
      </x:c>
    </x:row>
    <x:row r="206" ht="42" customHeight="1">
      <x:c r="A206" s="5" t="str">
        <x:v>D01</x:v>
      </x:c>
      <x:c r="B206" s="5" t="str">
        <x:v>D01-T08</x:v>
      </x:c>
      <x:c r="C206" s="5" t="str">
        <x:v>12.2 NATO STANAG 2017/2018 Admiralty Audit ($\ge \text{B2}$)</x:v>
      </x:c>
      <x:c r="D206" s="5" t="n">
        <x:v>643</x:v>
      </x:c>
      <x:c r="E206" s="5" t="n">
        <x:v>6</x:v>
      </x:c>
      <x:c r="F206" s="5" t="str">
        <x:v>Combined Admiralty Rating</x:v>
      </x:c>
      <x:c r="G206" s="5" t="n">
        <x:v>1</x:v>
      </x:c>
      <x:c r="H206" s="5" t="n">
        <x:v>1</x:v>
      </x:c>
      <x:c r="I206" s="5" t="str">
        <x:v>A1</x:v>
      </x:c>
      <x:c r="J206" s="5" t="str">
        <x:v>SOURCE QUOTE; unvalidated / superseded assessments</x:v>
      </x:c>
      <x:c r="L206" s="31" t="str">
        <x:v>D01, Markdown line 643; http://nas-1.tail55d152.ts.net:4100/static/2S_CONSULTING_NORDIC_OUTREACH_STRATEGY.html</x:v>
      </x:c>
    </x:row>
    <x:row r="207" ht="42" customHeight="1">
      <x:c r="A207" s="5" t="str">
        <x:v>D01</x:v>
      </x:c>
      <x:c r="B207" s="5" t="str">
        <x:v>D01-T08</x:v>
      </x:c>
      <x:c r="C207" s="5" t="str">
        <x:v>12.2 NATO STANAG 2017/2018 Admiralty Audit ($\ge \text{B2}$)</x:v>
      </x:c>
      <x:c r="D207" s="5" t="n">
        <x:v>643</x:v>
      </x:c>
      <x:c r="E207" s="5" t="n">
        <x:v>7</x:v>
      </x:c>
      <x:c r="F207" s="5" t="str">
        <x:v>Audit Status</x:v>
      </x:c>
      <x:c r="G207" s="5" t="n">
        <x:v>1</x:v>
      </x:c>
      <x:c r="H207" s="5" t="n">
        <x:v>1</x:v>
      </x:c>
      <x:c r="I207" s="5" t="str">
        <x:v>PASS</x:v>
      </x:c>
      <x:c r="J207" s="5" t="str">
        <x:v>SOURCE QUOTE; unvalidated / superseded assessments</x:v>
      </x:c>
      <x:c r="L207" s="31" t="str">
        <x:v>D01, Markdown line 643; http://nas-1.tail55d152.ts.net:4100/static/2S_CONSULTING_NORDIC_OUTREACH_STRATEGY.html</x:v>
      </x:c>
    </x:row>
    <x:row r="208" ht="42" customHeight="1">
      <x:c r="A208" s="5" t="str">
        <x:v>D01</x:v>
      </x:c>
      <x:c r="B208" s="5" t="str">
        <x:v>D01-T08</x:v>
      </x:c>
      <x:c r="C208" s="5" t="str">
        <x:v>12.2 NATO STANAG 2017/2018 Admiralty Audit ($\ge \text{B2}$)</x:v>
      </x:c>
      <x:c r="D208" s="5" t="n">
        <x:v>644</x:v>
      </x:c>
      <x:c r="E208" s="5" t="n">
        <x:v>1</x:v>
      </x:c>
      <x:c r="F208" s="5" t="str">
        <x:v>Commercial Entity</x:v>
      </x:c>
      <x:c r="G208" s="5" t="n">
        <x:v>1</x:v>
      </x:c>
      <x:c r="H208" s="5" t="n">
        <x:v>1</x:v>
      </x:c>
      <x:c r="I208" s="5" t="str">
        <x:v>2S Consulting</x:v>
      </x:c>
      <x:c r="J208" s="5" t="str">
        <x:v>SOURCE QUOTE; unvalidated / superseded assessments</x:v>
      </x:c>
      <x:c r="L208" s="31" t="str">
        <x:v>D01, Markdown line 644; http://nas-1.tail55d152.ts.net:4100/static/2S_CONSULTING_NORDIC_OUTREACH_STRATEGY.html</x:v>
      </x:c>
    </x:row>
    <x:row r="209" ht="42" customHeight="1">
      <x:c r="A209" s="5" t="str">
        <x:v>D01</x:v>
      </x:c>
      <x:c r="B209" s="5" t="str">
        <x:v>D01-T08</x:v>
      </x:c>
      <x:c r="C209" s="5" t="str">
        <x:v>12.2 NATO STANAG 2017/2018 Admiralty Audit ($\ge \text{B2}$)</x:v>
      </x:c>
      <x:c r="D209" s="5" t="n">
        <x:v>644</x:v>
      </x:c>
      <x:c r="E209" s="5" t="n">
        <x:v>2</x:v>
      </x:c>
      <x:c r="F209" s="5" t="str">
        <x:v>Country</x:v>
      </x:c>
      <x:c r="G209" s="5" t="n">
        <x:v>1</x:v>
      </x:c>
      <x:c r="H209" s="5" t="n">
        <x:v>1</x:v>
      </x:c>
      <x:c r="I209" s="5" t="str">
        <x:v>Switzerland</x:v>
      </x:c>
      <x:c r="J209" s="5" t="str">
        <x:v>SOURCE QUOTE; unvalidated / superseded assessments</x:v>
      </x:c>
      <x:c r="L209" s="31" t="str">
        <x:v>D01, Markdown line 644; http://nas-1.tail55d152.ts.net:4100/static/2S_CONSULTING_NORDIC_OUTREACH_STRATEGY.html</x:v>
      </x:c>
    </x:row>
    <x:row r="210" ht="42" customHeight="1">
      <x:c r="A210" s="5" t="str">
        <x:v>D01</x:v>
      </x:c>
      <x:c r="B210" s="5" t="str">
        <x:v>D01-T08</x:v>
      </x:c>
      <x:c r="C210" s="5" t="str">
        <x:v>12.2 NATO STANAG 2017/2018 Admiralty Audit ($\ge \text{B2}$)</x:v>
      </x:c>
      <x:c r="D210" s="5" t="n">
        <x:v>644</x:v>
      </x:c>
      <x:c r="E210" s="5" t="n">
        <x:v>3</x:v>
      </x:c>
      <x:c r="F210" s="5" t="str">
        <x:v>Intelligence Source</x:v>
      </x:c>
      <x:c r="G210" s="5" t="n">
        <x:v>1</x:v>
      </x:c>
      <x:c r="H210" s="5" t="n">
        <x:v>1</x:v>
      </x:c>
      <x:c r="I210" s="5" t="str">
        <x:v>Swiss Commercial Register (CHE-443.084.148, Neuchâtel)</x:v>
      </x:c>
      <x:c r="J210" s="5" t="str">
        <x:v>SOURCE QUOTE; unvalidated / superseded assessments</x:v>
      </x:c>
      <x:c r="L210" s="31" t="str">
        <x:v>D01, Markdown line 644; http://nas-1.tail55d152.ts.net:4100/static/2S_CONSULTING_NORDIC_OUTREACH_STRATEGY.html</x:v>
      </x:c>
    </x:row>
    <x:row r="211" ht="42" customHeight="1">
      <x:c r="A211" s="5" t="str">
        <x:v>D01</x:v>
      </x:c>
      <x:c r="B211" s="5" t="str">
        <x:v>D01-T08</x:v>
      </x:c>
      <x:c r="C211" s="5" t="str">
        <x:v>12.2 NATO STANAG 2017/2018 Admiralty Audit ($\ge \text{B2}$)</x:v>
      </x:c>
      <x:c r="D211" s="5" t="n">
        <x:v>644</x:v>
      </x:c>
      <x:c r="E211" s="5" t="n">
        <x:v>4</x:v>
      </x:c>
      <x:c r="F211" s="5" t="str">
        <x:v>Source Reliability</x:v>
      </x:c>
      <x:c r="G211" s="5" t="n">
        <x:v>1</x:v>
      </x:c>
      <x:c r="H211" s="5" t="n">
        <x:v>1</x:v>
      </x:c>
      <x:c r="I211" s="5" t="str">
        <x:v>A (Completely Reliable)</x:v>
      </x:c>
      <x:c r="J211" s="5" t="str">
        <x:v>SOURCE QUOTE; unvalidated / superseded assessments</x:v>
      </x:c>
      <x:c r="L211" s="31" t="str">
        <x:v>D01, Markdown line 644; http://nas-1.tail55d152.ts.net:4100/static/2S_CONSULTING_NORDIC_OUTREACH_STRATEGY.html</x:v>
      </x:c>
    </x:row>
    <x:row r="212" ht="42" customHeight="1">
      <x:c r="A212" s="5" t="str">
        <x:v>D01</x:v>
      </x:c>
      <x:c r="B212" s="5" t="str">
        <x:v>D01-T08</x:v>
      </x:c>
      <x:c r="C212" s="5" t="str">
        <x:v>12.2 NATO STANAG 2017/2018 Admiralty Audit ($\ge \text{B2}$)</x:v>
      </x:c>
      <x:c r="D212" s="5" t="n">
        <x:v>644</x:v>
      </x:c>
      <x:c r="E212" s="5" t="n">
        <x:v>5</x:v>
      </x:c>
      <x:c r="F212" s="5" t="str">
        <x:v>Information Credibility</x:v>
      </x:c>
      <x:c r="G212" s="5" t="n">
        <x:v>1</x:v>
      </x:c>
      <x:c r="H212" s="5" t="n">
        <x:v>1</x:v>
      </x:c>
      <x:c r="I212" s="5" t="str">
        <x:v>1 (Confirmed by Official Registry)</x:v>
      </x:c>
      <x:c r="J212" s="5" t="str">
        <x:v>SOURCE QUOTE; unvalidated / superseded assessments</x:v>
      </x:c>
      <x:c r="L212" s="31" t="str">
        <x:v>D01, Markdown line 644; http://nas-1.tail55d152.ts.net:4100/static/2S_CONSULTING_NORDIC_OUTREACH_STRATEGY.html</x:v>
      </x:c>
    </x:row>
    <x:row r="213" ht="42" customHeight="1">
      <x:c r="A213" s="5" t="str">
        <x:v>D01</x:v>
      </x:c>
      <x:c r="B213" s="5" t="str">
        <x:v>D01-T08</x:v>
      </x:c>
      <x:c r="C213" s="5" t="str">
        <x:v>12.2 NATO STANAG 2017/2018 Admiralty Audit ($\ge \text{B2}$)</x:v>
      </x:c>
      <x:c r="D213" s="5" t="n">
        <x:v>644</x:v>
      </x:c>
      <x:c r="E213" s="5" t="n">
        <x:v>6</x:v>
      </x:c>
      <x:c r="F213" s="5" t="str">
        <x:v>Combined Admiralty Rating</x:v>
      </x:c>
      <x:c r="G213" s="5" t="n">
        <x:v>1</x:v>
      </x:c>
      <x:c r="H213" s="5" t="n">
        <x:v>1</x:v>
      </x:c>
      <x:c r="I213" s="5" t="str">
        <x:v>A1</x:v>
      </x:c>
      <x:c r="J213" s="5" t="str">
        <x:v>SOURCE QUOTE; unvalidated / superseded assessments</x:v>
      </x:c>
      <x:c r="L213" s="31" t="str">
        <x:v>D01, Markdown line 644; http://nas-1.tail55d152.ts.net:4100/static/2S_CONSULTING_NORDIC_OUTREACH_STRATEGY.html</x:v>
      </x:c>
    </x:row>
    <x:row r="214" ht="42" customHeight="1">
      <x:c r="A214" s="5" t="str">
        <x:v>D01</x:v>
      </x:c>
      <x:c r="B214" s="5" t="str">
        <x:v>D01-T08</x:v>
      </x:c>
      <x:c r="C214" s="5" t="str">
        <x:v>12.2 NATO STANAG 2017/2018 Admiralty Audit ($\ge \text{B2}$)</x:v>
      </x:c>
      <x:c r="D214" s="5" t="n">
        <x:v>644</x:v>
      </x:c>
      <x:c r="E214" s="5" t="n">
        <x:v>7</x:v>
      </x:c>
      <x:c r="F214" s="5" t="str">
        <x:v>Audit Status</x:v>
      </x:c>
      <x:c r="G214" s="5" t="n">
        <x:v>1</x:v>
      </x:c>
      <x:c r="H214" s="5" t="n">
        <x:v>1</x:v>
      </x:c>
      <x:c r="I214" s="5" t="str">
        <x:v>PASS</x:v>
      </x:c>
      <x:c r="J214" s="5" t="str">
        <x:v>SOURCE QUOTE; unvalidated / superseded assessments</x:v>
      </x:c>
      <x:c r="L214" s="31" t="str">
        <x:v>D01, Markdown line 644; http://nas-1.tail55d152.ts.net:4100/static/2S_CONSULTING_NORDIC_OUTREACH_STRATEGY.html</x:v>
      </x:c>
    </x:row>
    <x:row r="215" ht="42" customHeight="1">
      <x:c r="A215" s="5" t="str">
        <x:v>D01</x:v>
      </x:c>
      <x:c r="B215" s="5" t="str">
        <x:v>D01-T08</x:v>
      </x:c>
      <x:c r="C215" s="5" t="str">
        <x:v>12.2 NATO STANAG 2017/2018 Admiralty Audit ($\ge \text{B2}$)</x:v>
      </x:c>
      <x:c r="D215" s="5" t="n">
        <x:v>645</x:v>
      </x:c>
      <x:c r="E215" s="5" t="n">
        <x:v>1</x:v>
      </x:c>
      <x:c r="F215" s="5" t="str">
        <x:v>Commercial Entity</x:v>
      </x:c>
      <x:c r="G215" s="5" t="n">
        <x:v>1</x:v>
      </x:c>
      <x:c r="H215" s="5" t="n">
        <x:v>1</x:v>
      </x:c>
      <x:c r="I215" s="5" t="str">
        <x:v>Numantra Technologies</x:v>
      </x:c>
      <x:c r="J215" s="5" t="str">
        <x:v>SOURCE QUOTE; unvalidated / superseded assessments</x:v>
      </x:c>
      <x:c r="L215" s="31" t="str">
        <x:v>D01, Markdown line 645; http://nas-1.tail55d152.ts.net:4100/static/2S_CONSULTING_NORDIC_OUTREACH_STRATEGY.html</x:v>
      </x:c>
    </x:row>
    <x:row r="216" ht="42" customHeight="1">
      <x:c r="A216" s="5" t="str">
        <x:v>D01</x:v>
      </x:c>
      <x:c r="B216" s="5" t="str">
        <x:v>D01-T08</x:v>
      </x:c>
      <x:c r="C216" s="5" t="str">
        <x:v>12.2 NATO STANAG 2017/2018 Admiralty Audit ($\ge \text{B2}$)</x:v>
      </x:c>
      <x:c r="D216" s="5" t="n">
        <x:v>645</x:v>
      </x:c>
      <x:c r="E216" s="5" t="n">
        <x:v>2</x:v>
      </x:c>
      <x:c r="F216" s="5" t="str">
        <x:v>Country</x:v>
      </x:c>
      <x:c r="G216" s="5" t="n">
        <x:v>1</x:v>
      </x:c>
      <x:c r="H216" s="5" t="n">
        <x:v>1</x:v>
      </x:c>
      <x:c r="I216" s="5" t="str">
        <x:v>Finland</x:v>
      </x:c>
      <x:c r="J216" s="5" t="str">
        <x:v>SOURCE QUOTE; unvalidated / superseded assessments</x:v>
      </x:c>
      <x:c r="L216" s="31" t="str">
        <x:v>D01, Markdown line 645; http://nas-1.tail55d152.ts.net:4100/static/2S_CONSULTING_NORDIC_OUTREACH_STRATEGY.html</x:v>
      </x:c>
    </x:row>
    <x:row r="217" ht="42" customHeight="1">
      <x:c r="A217" s="5" t="str">
        <x:v>D01</x:v>
      </x:c>
      <x:c r="B217" s="5" t="str">
        <x:v>D01-T08</x:v>
      </x:c>
      <x:c r="C217" s="5" t="str">
        <x:v>12.2 NATO STANAG 2017/2018 Admiralty Audit ($\ge \text{B2}$)</x:v>
      </x:c>
      <x:c r="D217" s="5" t="n">
        <x:v>645</x:v>
      </x:c>
      <x:c r="E217" s="5" t="n">
        <x:v>3</x:v>
      </x:c>
      <x:c r="F217" s="5" t="str">
        <x:v>Intelligence Source</x:v>
      </x:c>
      <x:c r="G217" s="5" t="n">
        <x:v>1</x:v>
      </x:c>
      <x:c r="H217" s="5" t="n">
        <x:v>1</x:v>
      </x:c>
      <x:c r="I217" s="5" t="str">
        <x:v>Finnish Patent and Registration Office (PRH), ISO Certs</x:v>
      </x:c>
      <x:c r="J217" s="5" t="str">
        <x:v>SOURCE QUOTE; unvalidated / superseded assessments</x:v>
      </x:c>
      <x:c r="L217" s="31" t="str">
        <x:v>D01, Markdown line 645; http://nas-1.tail55d152.ts.net:4100/static/2S_CONSULTING_NORDIC_OUTREACH_STRATEGY.html</x:v>
      </x:c>
    </x:row>
    <x:row r="218" ht="42" customHeight="1">
      <x:c r="A218" s="5" t="str">
        <x:v>D01</x:v>
      </x:c>
      <x:c r="B218" s="5" t="str">
        <x:v>D01-T08</x:v>
      </x:c>
      <x:c r="C218" s="5" t="str">
        <x:v>12.2 NATO STANAG 2017/2018 Admiralty Audit ($\ge \text{B2}$)</x:v>
      </x:c>
      <x:c r="D218" s="5" t="n">
        <x:v>645</x:v>
      </x:c>
      <x:c r="E218" s="5" t="n">
        <x:v>4</x:v>
      </x:c>
      <x:c r="F218" s="5" t="str">
        <x:v>Source Reliability</x:v>
      </x:c>
      <x:c r="G218" s="5" t="n">
        <x:v>1</x:v>
      </x:c>
      <x:c r="H218" s="5" t="n">
        <x:v>1</x:v>
      </x:c>
      <x:c r="I218" s="5" t="str">
        <x:v>A (Completely Reliable)</x:v>
      </x:c>
      <x:c r="J218" s="5" t="str">
        <x:v>SOURCE QUOTE; unvalidated / superseded assessments</x:v>
      </x:c>
      <x:c r="L218" s="31" t="str">
        <x:v>D01, Markdown line 645; http://nas-1.tail55d152.ts.net:4100/static/2S_CONSULTING_NORDIC_OUTREACH_STRATEGY.html</x:v>
      </x:c>
    </x:row>
    <x:row r="219" ht="42" customHeight="1">
      <x:c r="A219" s="5" t="str">
        <x:v>D01</x:v>
      </x:c>
      <x:c r="B219" s="5" t="str">
        <x:v>D01-T08</x:v>
      </x:c>
      <x:c r="C219" s="5" t="str">
        <x:v>12.2 NATO STANAG 2017/2018 Admiralty Audit ($\ge \text{B2}$)</x:v>
      </x:c>
      <x:c r="D219" s="5" t="n">
        <x:v>645</x:v>
      </x:c>
      <x:c r="E219" s="5" t="n">
        <x:v>5</x:v>
      </x:c>
      <x:c r="F219" s="5" t="str">
        <x:v>Information Credibility</x:v>
      </x:c>
      <x:c r="G219" s="5" t="n">
        <x:v>1</x:v>
      </x:c>
      <x:c r="H219" s="5" t="n">
        <x:v>1</x:v>
      </x:c>
      <x:c r="I219" s="5" t="str">
        <x:v>1 (Confirmed by Official Registry)</x:v>
      </x:c>
      <x:c r="J219" s="5" t="str">
        <x:v>SOURCE QUOTE; unvalidated / superseded assessments</x:v>
      </x:c>
      <x:c r="L219" s="31" t="str">
        <x:v>D01, Markdown line 645; http://nas-1.tail55d152.ts.net:4100/static/2S_CONSULTING_NORDIC_OUTREACH_STRATEGY.html</x:v>
      </x:c>
    </x:row>
    <x:row r="220" ht="42" customHeight="1">
      <x:c r="A220" s="5" t="str">
        <x:v>D01</x:v>
      </x:c>
      <x:c r="B220" s="5" t="str">
        <x:v>D01-T08</x:v>
      </x:c>
      <x:c r="C220" s="5" t="str">
        <x:v>12.2 NATO STANAG 2017/2018 Admiralty Audit ($\ge \text{B2}$)</x:v>
      </x:c>
      <x:c r="D220" s="5" t="n">
        <x:v>645</x:v>
      </x:c>
      <x:c r="E220" s="5" t="n">
        <x:v>6</x:v>
      </x:c>
      <x:c r="F220" s="5" t="str">
        <x:v>Combined Admiralty Rating</x:v>
      </x:c>
      <x:c r="G220" s="5" t="n">
        <x:v>1</x:v>
      </x:c>
      <x:c r="H220" s="5" t="n">
        <x:v>1</x:v>
      </x:c>
      <x:c r="I220" s="5" t="str">
        <x:v>A1</x:v>
      </x:c>
      <x:c r="J220" s="5" t="str">
        <x:v>SOURCE QUOTE; unvalidated / superseded assessments</x:v>
      </x:c>
      <x:c r="L220" s="31" t="str">
        <x:v>D01, Markdown line 645; http://nas-1.tail55d152.ts.net:4100/static/2S_CONSULTING_NORDIC_OUTREACH_STRATEGY.html</x:v>
      </x:c>
    </x:row>
    <x:row r="221" ht="42" customHeight="1">
      <x:c r="A221" s="5" t="str">
        <x:v>D01</x:v>
      </x:c>
      <x:c r="B221" s="5" t="str">
        <x:v>D01-T08</x:v>
      </x:c>
      <x:c r="C221" s="5" t="str">
        <x:v>12.2 NATO STANAG 2017/2018 Admiralty Audit ($\ge \text{B2}$)</x:v>
      </x:c>
      <x:c r="D221" s="5" t="n">
        <x:v>645</x:v>
      </x:c>
      <x:c r="E221" s="5" t="n">
        <x:v>7</x:v>
      </x:c>
      <x:c r="F221" s="5" t="str">
        <x:v>Audit Status</x:v>
      </x:c>
      <x:c r="G221" s="5" t="n">
        <x:v>1</x:v>
      </x:c>
      <x:c r="H221" s="5" t="n">
        <x:v>1</x:v>
      </x:c>
      <x:c r="I221" s="5" t="str">
        <x:v>PASS</x:v>
      </x:c>
      <x:c r="J221" s="5" t="str">
        <x:v>SOURCE QUOTE; unvalidated / superseded assessments</x:v>
      </x:c>
      <x:c r="L221" s="31" t="str">
        <x:v>D01, Markdown line 645; http://nas-1.tail55d152.ts.net:4100/static/2S_CONSULTING_NORDIC_OUTREACH_STRATEGY.html</x:v>
      </x:c>
    </x:row>
    <x:row r="222" ht="42" customHeight="1">
      <x:c r="A222" s="5" t="str">
        <x:v>D01</x:v>
      </x:c>
      <x:c r="B222" s="5" t="str">
        <x:v>D01-T08</x:v>
      </x:c>
      <x:c r="C222" s="5" t="str">
        <x:v>12.2 NATO STANAG 2017/2018 Admiralty Audit ($\ge \text{B2}$)</x:v>
      </x:c>
      <x:c r="D222" s="5" t="n">
        <x:v>646</x:v>
      </x:c>
      <x:c r="E222" s="5" t="n">
        <x:v>1</x:v>
      </x:c>
      <x:c r="F222" s="5" t="str">
        <x:v>Commercial Entity</x:v>
      </x:c>
      <x:c r="G222" s="5" t="n">
        <x:v>1</x:v>
      </x:c>
      <x:c r="H222" s="5" t="n">
        <x:v>1</x:v>
      </x:c>
      <x:c r="I222" s="5" t="str">
        <x:v>Getinge AB</x:v>
      </x:c>
      <x:c r="J222" s="5" t="str">
        <x:v>SOURCE QUOTE; unvalidated / superseded assessments</x:v>
      </x:c>
      <x:c r="L222" s="31" t="str">
        <x:v>D01, Markdown line 646; http://nas-1.tail55d152.ts.net:4100/static/2S_CONSULTING_NORDIC_OUTREACH_STRATEGY.html</x:v>
      </x:c>
    </x:row>
    <x:row r="223" ht="42" customHeight="1">
      <x:c r="A223" s="5" t="str">
        <x:v>D01</x:v>
      </x:c>
      <x:c r="B223" s="5" t="str">
        <x:v>D01-T08</x:v>
      </x:c>
      <x:c r="C223" s="5" t="str">
        <x:v>12.2 NATO STANAG 2017/2018 Admiralty Audit ($\ge \text{B2}$)</x:v>
      </x:c>
      <x:c r="D223" s="5" t="n">
        <x:v>646</x:v>
      </x:c>
      <x:c r="E223" s="5" t="n">
        <x:v>2</x:v>
      </x:c>
      <x:c r="F223" s="5" t="str">
        <x:v>Country</x:v>
      </x:c>
      <x:c r="G223" s="5" t="n">
        <x:v>1</x:v>
      </x:c>
      <x:c r="H223" s="5" t="n">
        <x:v>1</x:v>
      </x:c>
      <x:c r="I223" s="5" t="str">
        <x:v>Sweden</x:v>
      </x:c>
      <x:c r="J223" s="5" t="str">
        <x:v>SOURCE QUOTE; unvalidated / superseded assessments</x:v>
      </x:c>
      <x:c r="L223" s="31" t="str">
        <x:v>D01, Markdown line 646; http://nas-1.tail55d152.ts.net:4100/static/2S_CONSULTING_NORDIC_OUTREACH_STRATEGY.html</x:v>
      </x:c>
    </x:row>
    <x:row r="224" ht="42" customHeight="1">
      <x:c r="A224" s="5" t="str">
        <x:v>D01</x:v>
      </x:c>
      <x:c r="B224" s="5" t="str">
        <x:v>D01-T08</x:v>
      </x:c>
      <x:c r="C224" s="5" t="str">
        <x:v>12.2 NATO STANAG 2017/2018 Admiralty Audit ($\ge \text{B2}$)</x:v>
      </x:c>
      <x:c r="D224" s="5" t="n">
        <x:v>646</x:v>
      </x:c>
      <x:c r="E224" s="5" t="n">
        <x:v>3</x:v>
      </x:c>
      <x:c r="F224" s="5" t="str">
        <x:v>Intelligence Source</x:v>
      </x:c>
      <x:c r="G224" s="5" t="n">
        <x:v>1</x:v>
      </x:c>
      <x:c r="H224" s="5" t="n">
        <x:v>1</x:v>
      </x:c>
      <x:c r="I224" s="5" t="str">
        <x:v>Nasdaq Stockholm, Audited Annual Report 2025</x:v>
      </x:c>
      <x:c r="J224" s="5" t="str">
        <x:v>SOURCE QUOTE; unvalidated / superseded assessments</x:v>
      </x:c>
      <x:c r="L224" s="31" t="str">
        <x:v>D01, Markdown line 646; http://nas-1.tail55d152.ts.net:4100/static/2S_CONSULTING_NORDIC_OUTREACH_STRATEGY.html</x:v>
      </x:c>
    </x:row>
    <x:row r="225" ht="42" customHeight="1">
      <x:c r="A225" s="5" t="str">
        <x:v>D01</x:v>
      </x:c>
      <x:c r="B225" s="5" t="str">
        <x:v>D01-T08</x:v>
      </x:c>
      <x:c r="C225" s="5" t="str">
        <x:v>12.2 NATO STANAG 2017/2018 Admiralty Audit ($\ge \text{B2}$)</x:v>
      </x:c>
      <x:c r="D225" s="5" t="n">
        <x:v>646</x:v>
      </x:c>
      <x:c r="E225" s="5" t="n">
        <x:v>4</x:v>
      </x:c>
      <x:c r="F225" s="5" t="str">
        <x:v>Source Reliability</x:v>
      </x:c>
      <x:c r="G225" s="5" t="n">
        <x:v>1</x:v>
      </x:c>
      <x:c r="H225" s="5" t="n">
        <x:v>1</x:v>
      </x:c>
      <x:c r="I225" s="5" t="str">
        <x:v>A (Completely Reliable)</x:v>
      </x:c>
      <x:c r="J225" s="5" t="str">
        <x:v>SOURCE QUOTE; unvalidated / superseded assessments</x:v>
      </x:c>
      <x:c r="L225" s="31" t="str">
        <x:v>D01, Markdown line 646; http://nas-1.tail55d152.ts.net:4100/static/2S_CONSULTING_NORDIC_OUTREACH_STRATEGY.html</x:v>
      </x:c>
    </x:row>
    <x:row r="226" ht="42" customHeight="1">
      <x:c r="A226" s="5" t="str">
        <x:v>D01</x:v>
      </x:c>
      <x:c r="B226" s="5" t="str">
        <x:v>D01-T08</x:v>
      </x:c>
      <x:c r="C226" s="5" t="str">
        <x:v>12.2 NATO STANAG 2017/2018 Admiralty Audit ($\ge \text{B2}$)</x:v>
      </x:c>
      <x:c r="D226" s="5" t="n">
        <x:v>646</x:v>
      </x:c>
      <x:c r="E226" s="5" t="n">
        <x:v>5</x:v>
      </x:c>
      <x:c r="F226" s="5" t="str">
        <x:v>Information Credibility</x:v>
      </x:c>
      <x:c r="G226" s="5" t="n">
        <x:v>1</x:v>
      </x:c>
      <x:c r="H226" s="5" t="n">
        <x:v>1</x:v>
      </x:c>
      <x:c r="I226" s="5" t="str">
        <x:v>1 (Confirmed by Other Sources)</x:v>
      </x:c>
      <x:c r="J226" s="5" t="str">
        <x:v>SOURCE QUOTE; unvalidated / superseded assessments</x:v>
      </x:c>
      <x:c r="L226" s="31" t="str">
        <x:v>D01, Markdown line 646; http://nas-1.tail55d152.ts.net:4100/static/2S_CONSULTING_NORDIC_OUTREACH_STRATEGY.html</x:v>
      </x:c>
    </x:row>
    <x:row r="227" ht="42" customHeight="1">
      <x:c r="A227" s="5" t="str">
        <x:v>D01</x:v>
      </x:c>
      <x:c r="B227" s="5" t="str">
        <x:v>D01-T08</x:v>
      </x:c>
      <x:c r="C227" s="5" t="str">
        <x:v>12.2 NATO STANAG 2017/2018 Admiralty Audit ($\ge \text{B2}$)</x:v>
      </x:c>
      <x:c r="D227" s="5" t="n">
        <x:v>646</x:v>
      </x:c>
      <x:c r="E227" s="5" t="n">
        <x:v>6</x:v>
      </x:c>
      <x:c r="F227" s="5" t="str">
        <x:v>Combined Admiralty Rating</x:v>
      </x:c>
      <x:c r="G227" s="5" t="n">
        <x:v>1</x:v>
      </x:c>
      <x:c r="H227" s="5" t="n">
        <x:v>1</x:v>
      </x:c>
      <x:c r="I227" s="5" t="str">
        <x:v>A1</x:v>
      </x:c>
      <x:c r="J227" s="5" t="str">
        <x:v>SOURCE QUOTE; unvalidated / superseded assessments</x:v>
      </x:c>
      <x:c r="L227" s="31" t="str">
        <x:v>D01, Markdown line 646; http://nas-1.tail55d152.ts.net:4100/static/2S_CONSULTING_NORDIC_OUTREACH_STRATEGY.html</x:v>
      </x:c>
    </x:row>
    <x:row r="228" ht="42" customHeight="1">
      <x:c r="A228" s="5" t="str">
        <x:v>D01</x:v>
      </x:c>
      <x:c r="B228" s="5" t="str">
        <x:v>D01-T08</x:v>
      </x:c>
      <x:c r="C228" s="5" t="str">
        <x:v>12.2 NATO STANAG 2017/2018 Admiralty Audit ($\ge \text{B2}$)</x:v>
      </x:c>
      <x:c r="D228" s="5" t="n">
        <x:v>646</x:v>
      </x:c>
      <x:c r="E228" s="5" t="n">
        <x:v>7</x:v>
      </x:c>
      <x:c r="F228" s="5" t="str">
        <x:v>Audit Status</x:v>
      </x:c>
      <x:c r="G228" s="5" t="n">
        <x:v>1</x:v>
      </x:c>
      <x:c r="H228" s="5" t="n">
        <x:v>1</x:v>
      </x:c>
      <x:c r="I228" s="5" t="str">
        <x:v>PASS</x:v>
      </x:c>
      <x:c r="J228" s="5" t="str">
        <x:v>SOURCE QUOTE; unvalidated / superseded assessments</x:v>
      </x:c>
      <x:c r="L228" s="31" t="str">
        <x:v>D01, Markdown line 646; http://nas-1.tail55d152.ts.net:4100/static/2S_CONSULTING_NORDIC_OUTREACH_STRATEGY.html</x:v>
      </x:c>
    </x:row>
    <x:row r="229" ht="42" customHeight="1">
      <x:c r="A229" s="5" t="str">
        <x:v>D01</x:v>
      </x:c>
      <x:c r="B229" s="5" t="str">
        <x:v>D01-T08</x:v>
      </x:c>
      <x:c r="C229" s="5" t="str">
        <x:v>12.2 NATO STANAG 2017/2018 Admiralty Audit ($\ge \text{B2}$)</x:v>
      </x:c>
      <x:c r="D229" s="5" t="n">
        <x:v>647</x:v>
      </x:c>
      <x:c r="E229" s="5" t="n">
        <x:v>1</x:v>
      </x:c>
      <x:c r="F229" s="5" t="str">
        <x:v>Commercial Entity</x:v>
      </x:c>
      <x:c r="G229" s="5" t="n">
        <x:v>1</x:v>
      </x:c>
      <x:c r="H229" s="5" t="n">
        <x:v>1</x:v>
      </x:c>
      <x:c r="I229" s="5" t="str">
        <x:v>Elekta AB</x:v>
      </x:c>
      <x:c r="J229" s="5" t="str">
        <x:v>SOURCE QUOTE; unvalidated / superseded assessments</x:v>
      </x:c>
      <x:c r="L229" s="31" t="str">
        <x:v>D01, Markdown line 647; http://nas-1.tail55d152.ts.net:4100/static/2S_CONSULTING_NORDIC_OUTREACH_STRATEGY.html</x:v>
      </x:c>
    </x:row>
    <x:row r="230" ht="42" customHeight="1">
      <x:c r="A230" s="5" t="str">
        <x:v>D01</x:v>
      </x:c>
      <x:c r="B230" s="5" t="str">
        <x:v>D01-T08</x:v>
      </x:c>
      <x:c r="C230" s="5" t="str">
        <x:v>12.2 NATO STANAG 2017/2018 Admiralty Audit ($\ge \text{B2}$)</x:v>
      </x:c>
      <x:c r="D230" s="5" t="n">
        <x:v>647</x:v>
      </x:c>
      <x:c r="E230" s="5" t="n">
        <x:v>2</x:v>
      </x:c>
      <x:c r="F230" s="5" t="str">
        <x:v>Country</x:v>
      </x:c>
      <x:c r="G230" s="5" t="n">
        <x:v>1</x:v>
      </x:c>
      <x:c r="H230" s="5" t="n">
        <x:v>1</x:v>
      </x:c>
      <x:c r="I230" s="5" t="str">
        <x:v>Sweden</x:v>
      </x:c>
      <x:c r="J230" s="5" t="str">
        <x:v>SOURCE QUOTE; unvalidated / superseded assessments</x:v>
      </x:c>
      <x:c r="L230" s="31" t="str">
        <x:v>D01, Markdown line 647; http://nas-1.tail55d152.ts.net:4100/static/2S_CONSULTING_NORDIC_OUTREACH_STRATEGY.html</x:v>
      </x:c>
    </x:row>
    <x:row r="231" ht="42" customHeight="1">
      <x:c r="A231" s="5" t="str">
        <x:v>D01</x:v>
      </x:c>
      <x:c r="B231" s="5" t="str">
        <x:v>D01-T08</x:v>
      </x:c>
      <x:c r="C231" s="5" t="str">
        <x:v>12.2 NATO STANAG 2017/2018 Admiralty Audit ($\ge \text{B2}$)</x:v>
      </x:c>
      <x:c r="D231" s="5" t="n">
        <x:v>647</x:v>
      </x:c>
      <x:c r="E231" s="5" t="n">
        <x:v>3</x:v>
      </x:c>
      <x:c r="F231" s="5" t="str">
        <x:v>Intelligence Source</x:v>
      </x:c>
      <x:c r="G231" s="5" t="n">
        <x:v>1</x:v>
      </x:c>
      <x:c r="H231" s="5" t="n">
        <x:v>1</x:v>
      </x:c>
      <x:c r="I231" s="5" t="str">
        <x:v>Audited Filings, Radiation Therapy Registry</x:v>
      </x:c>
      <x:c r="J231" s="5" t="str">
        <x:v>SOURCE QUOTE; unvalidated / superseded assessments</x:v>
      </x:c>
      <x:c r="L231" s="31" t="str">
        <x:v>D01, Markdown line 647; http://nas-1.tail55d152.ts.net:4100/static/2S_CONSULTING_NORDIC_OUTREACH_STRATEGY.html</x:v>
      </x:c>
    </x:row>
    <x:row r="232" ht="42" customHeight="1">
      <x:c r="A232" s="5" t="str">
        <x:v>D01</x:v>
      </x:c>
      <x:c r="B232" s="5" t="str">
        <x:v>D01-T08</x:v>
      </x:c>
      <x:c r="C232" s="5" t="str">
        <x:v>12.2 NATO STANAG 2017/2018 Admiralty Audit ($\ge \text{B2}$)</x:v>
      </x:c>
      <x:c r="D232" s="5" t="n">
        <x:v>647</x:v>
      </x:c>
      <x:c r="E232" s="5" t="n">
        <x:v>4</x:v>
      </x:c>
      <x:c r="F232" s="5" t="str">
        <x:v>Source Reliability</x:v>
      </x:c>
      <x:c r="G232" s="5" t="n">
        <x:v>1</x:v>
      </x:c>
      <x:c r="H232" s="5" t="n">
        <x:v>1</x:v>
      </x:c>
      <x:c r="I232" s="5" t="str">
        <x:v>A (Completely Reliable)</x:v>
      </x:c>
      <x:c r="J232" s="5" t="str">
        <x:v>SOURCE QUOTE; unvalidated / superseded assessments</x:v>
      </x:c>
      <x:c r="L232" s="31" t="str">
        <x:v>D01, Markdown line 647; http://nas-1.tail55d152.ts.net:4100/static/2S_CONSULTING_NORDIC_OUTREACH_STRATEGY.html</x:v>
      </x:c>
    </x:row>
    <x:row r="233" ht="42" customHeight="1">
      <x:c r="A233" s="5" t="str">
        <x:v>D01</x:v>
      </x:c>
      <x:c r="B233" s="5" t="str">
        <x:v>D01-T08</x:v>
      </x:c>
      <x:c r="C233" s="5" t="str">
        <x:v>12.2 NATO STANAG 2017/2018 Admiralty Audit ($\ge \text{B2}$)</x:v>
      </x:c>
      <x:c r="D233" s="5" t="n">
        <x:v>647</x:v>
      </x:c>
      <x:c r="E233" s="5" t="n">
        <x:v>5</x:v>
      </x:c>
      <x:c r="F233" s="5" t="str">
        <x:v>Information Credibility</x:v>
      </x:c>
      <x:c r="G233" s="5" t="n">
        <x:v>1</x:v>
      </x:c>
      <x:c r="H233" s="5" t="n">
        <x:v>1</x:v>
      </x:c>
      <x:c r="I233" s="5" t="str">
        <x:v>1 (Confirmed by Other Sources)</x:v>
      </x:c>
      <x:c r="J233" s="5" t="str">
        <x:v>SOURCE QUOTE; unvalidated / superseded assessments</x:v>
      </x:c>
      <x:c r="L233" s="31" t="str">
        <x:v>D01, Markdown line 647; http://nas-1.tail55d152.ts.net:4100/static/2S_CONSULTING_NORDIC_OUTREACH_STRATEGY.html</x:v>
      </x:c>
    </x:row>
    <x:row r="234" ht="42" customHeight="1">
      <x:c r="A234" s="5" t="str">
        <x:v>D01</x:v>
      </x:c>
      <x:c r="B234" s="5" t="str">
        <x:v>D01-T08</x:v>
      </x:c>
      <x:c r="C234" s="5" t="str">
        <x:v>12.2 NATO STANAG 2017/2018 Admiralty Audit ($\ge \text{B2}$)</x:v>
      </x:c>
      <x:c r="D234" s="5" t="n">
        <x:v>647</x:v>
      </x:c>
      <x:c r="E234" s="5" t="n">
        <x:v>6</x:v>
      </x:c>
      <x:c r="F234" s="5" t="str">
        <x:v>Combined Admiralty Rating</x:v>
      </x:c>
      <x:c r="G234" s="5" t="n">
        <x:v>1</x:v>
      </x:c>
      <x:c r="H234" s="5" t="n">
        <x:v>1</x:v>
      </x:c>
      <x:c r="I234" s="5" t="str">
        <x:v>A1</x:v>
      </x:c>
      <x:c r="J234" s="5" t="str">
        <x:v>SOURCE QUOTE; unvalidated / superseded assessments</x:v>
      </x:c>
      <x:c r="L234" s="31" t="str">
        <x:v>D01, Markdown line 647; http://nas-1.tail55d152.ts.net:4100/static/2S_CONSULTING_NORDIC_OUTREACH_STRATEGY.html</x:v>
      </x:c>
    </x:row>
    <x:row r="235" ht="42" customHeight="1">
      <x:c r="A235" s="5" t="str">
        <x:v>D01</x:v>
      </x:c>
      <x:c r="B235" s="5" t="str">
        <x:v>D01-T08</x:v>
      </x:c>
      <x:c r="C235" s="5" t="str">
        <x:v>12.2 NATO STANAG 2017/2018 Admiralty Audit ($\ge \text{B2}$)</x:v>
      </x:c>
      <x:c r="D235" s="5" t="n">
        <x:v>647</x:v>
      </x:c>
      <x:c r="E235" s="5" t="n">
        <x:v>7</x:v>
      </x:c>
      <x:c r="F235" s="5" t="str">
        <x:v>Audit Status</x:v>
      </x:c>
      <x:c r="G235" s="5" t="n">
        <x:v>1</x:v>
      </x:c>
      <x:c r="H235" s="5" t="n">
        <x:v>1</x:v>
      </x:c>
      <x:c r="I235" s="5" t="str">
        <x:v>PASS</x:v>
      </x:c>
      <x:c r="J235" s="5" t="str">
        <x:v>SOURCE QUOTE; unvalidated / superseded assessments</x:v>
      </x:c>
      <x:c r="L235" s="31" t="str">
        <x:v>D01, Markdown line 647; http://nas-1.tail55d152.ts.net:4100/static/2S_CONSULTING_NORDIC_OUTREACH_STRATEGY.html</x:v>
      </x:c>
    </x:row>
    <x:row r="236" ht="42" customHeight="1">
      <x:c r="A236" s="5" t="str">
        <x:v>D01</x:v>
      </x:c>
      <x:c r="B236" s="5" t="str">
        <x:v>D01-T08</x:v>
      </x:c>
      <x:c r="C236" s="5" t="str">
        <x:v>12.2 NATO STANAG 2017/2018 Admiralty Audit ($\ge \text{B2}$)</x:v>
      </x:c>
      <x:c r="D236" s="5" t="n">
        <x:v>648</x:v>
      </x:c>
      <x:c r="E236" s="5" t="n">
        <x:v>1</x:v>
      </x:c>
      <x:c r="F236" s="5" t="str">
        <x:v>Commercial Entity</x:v>
      </x:c>
      <x:c r="G236" s="5" t="n">
        <x:v>1</x:v>
      </x:c>
      <x:c r="H236" s="5" t="n">
        <x:v>1</x:v>
      </x:c>
      <x:c r="I236" s="5" t="str">
        <x:v>Vitrolife AB</x:v>
      </x:c>
      <x:c r="J236" s="5" t="str">
        <x:v>SOURCE QUOTE; unvalidated / superseded assessments</x:v>
      </x:c>
      <x:c r="L236" s="31" t="str">
        <x:v>D01, Markdown line 648; http://nas-1.tail55d152.ts.net:4100/static/2S_CONSULTING_NORDIC_OUTREACH_STRATEGY.html</x:v>
      </x:c>
    </x:row>
    <x:row r="237" ht="42" customHeight="1">
      <x:c r="A237" s="5" t="str">
        <x:v>D01</x:v>
      </x:c>
      <x:c r="B237" s="5" t="str">
        <x:v>D01-T08</x:v>
      </x:c>
      <x:c r="C237" s="5" t="str">
        <x:v>12.2 NATO STANAG 2017/2018 Admiralty Audit ($\ge \text{B2}$)</x:v>
      </x:c>
      <x:c r="D237" s="5" t="n">
        <x:v>648</x:v>
      </x:c>
      <x:c r="E237" s="5" t="n">
        <x:v>2</x:v>
      </x:c>
      <x:c r="F237" s="5" t="str">
        <x:v>Country</x:v>
      </x:c>
      <x:c r="G237" s="5" t="n">
        <x:v>1</x:v>
      </x:c>
      <x:c r="H237" s="5" t="n">
        <x:v>1</x:v>
      </x:c>
      <x:c r="I237" s="5" t="str">
        <x:v>Sweden</x:v>
      </x:c>
      <x:c r="J237" s="5" t="str">
        <x:v>SOURCE QUOTE; unvalidated / superseded assessments</x:v>
      </x:c>
      <x:c r="L237" s="31" t="str">
        <x:v>D01, Markdown line 648; http://nas-1.tail55d152.ts.net:4100/static/2S_CONSULTING_NORDIC_OUTREACH_STRATEGY.html</x:v>
      </x:c>
    </x:row>
    <x:row r="238" ht="42" customHeight="1">
      <x:c r="A238" s="5" t="str">
        <x:v>D01</x:v>
      </x:c>
      <x:c r="B238" s="5" t="str">
        <x:v>D01-T08</x:v>
      </x:c>
      <x:c r="C238" s="5" t="str">
        <x:v>12.2 NATO STANAG 2017/2018 Admiralty Audit ($\ge \text{B2}$)</x:v>
      </x:c>
      <x:c r="D238" s="5" t="n">
        <x:v>648</x:v>
      </x:c>
      <x:c r="E238" s="5" t="n">
        <x:v>3</x:v>
      </x:c>
      <x:c r="F238" s="5" t="str">
        <x:v>Intelligence Source</x:v>
      </x:c>
      <x:c r="G238" s="5" t="n">
        <x:v>1</x:v>
      </x:c>
      <x:c r="H238" s="5" t="n">
        <x:v>1</x:v>
      </x:c>
      <x:c r="I238" s="5" t="str">
        <x:v>Nasdaq Stockholm, ESHRE European Registry</x:v>
      </x:c>
      <x:c r="J238" s="5" t="str">
        <x:v>SOURCE QUOTE; unvalidated / superseded assessments</x:v>
      </x:c>
      <x:c r="L238" s="31" t="str">
        <x:v>D01, Markdown line 648; http://nas-1.tail55d152.ts.net:4100/static/2S_CONSULTING_NORDIC_OUTREACH_STRATEGY.html</x:v>
      </x:c>
    </x:row>
    <x:row r="239" ht="42" customHeight="1">
      <x:c r="A239" s="5" t="str">
        <x:v>D01</x:v>
      </x:c>
      <x:c r="B239" s="5" t="str">
        <x:v>D01-T08</x:v>
      </x:c>
      <x:c r="C239" s="5" t="str">
        <x:v>12.2 NATO STANAG 2017/2018 Admiralty Audit ($\ge \text{B2}$)</x:v>
      </x:c>
      <x:c r="D239" s="5" t="n">
        <x:v>648</x:v>
      </x:c>
      <x:c r="E239" s="5" t="n">
        <x:v>4</x:v>
      </x:c>
      <x:c r="F239" s="5" t="str">
        <x:v>Source Reliability</x:v>
      </x:c>
      <x:c r="G239" s="5" t="n">
        <x:v>1</x:v>
      </x:c>
      <x:c r="H239" s="5" t="n">
        <x:v>1</x:v>
      </x:c>
      <x:c r="I239" s="5" t="str">
        <x:v>A (Completely Reliable)</x:v>
      </x:c>
      <x:c r="J239" s="5" t="str">
        <x:v>SOURCE QUOTE; unvalidated / superseded assessments</x:v>
      </x:c>
      <x:c r="L239" s="31" t="str">
        <x:v>D01, Markdown line 648; http://nas-1.tail55d152.ts.net:4100/static/2S_CONSULTING_NORDIC_OUTREACH_STRATEGY.html</x:v>
      </x:c>
    </x:row>
    <x:row r="240" ht="42" customHeight="1">
      <x:c r="A240" s="5" t="str">
        <x:v>D01</x:v>
      </x:c>
      <x:c r="B240" s="5" t="str">
        <x:v>D01-T08</x:v>
      </x:c>
      <x:c r="C240" s="5" t="str">
        <x:v>12.2 NATO STANAG 2017/2018 Admiralty Audit ($\ge \text{B2}$)</x:v>
      </x:c>
      <x:c r="D240" s="5" t="n">
        <x:v>648</x:v>
      </x:c>
      <x:c r="E240" s="5" t="n">
        <x:v>5</x:v>
      </x:c>
      <x:c r="F240" s="5" t="str">
        <x:v>Information Credibility</x:v>
      </x:c>
      <x:c r="G240" s="5" t="n">
        <x:v>1</x:v>
      </x:c>
      <x:c r="H240" s="5" t="n">
        <x:v>1</x:v>
      </x:c>
      <x:c r="I240" s="5" t="str">
        <x:v>1 (Confirmed by Other Sources)</x:v>
      </x:c>
      <x:c r="J240" s="5" t="str">
        <x:v>SOURCE QUOTE; unvalidated / superseded assessments</x:v>
      </x:c>
      <x:c r="L240" s="31" t="str">
        <x:v>D01, Markdown line 648; http://nas-1.tail55d152.ts.net:4100/static/2S_CONSULTING_NORDIC_OUTREACH_STRATEGY.html</x:v>
      </x:c>
    </x:row>
    <x:row r="241" ht="42" customHeight="1">
      <x:c r="A241" s="5" t="str">
        <x:v>D01</x:v>
      </x:c>
      <x:c r="B241" s="5" t="str">
        <x:v>D01-T08</x:v>
      </x:c>
      <x:c r="C241" s="5" t="str">
        <x:v>12.2 NATO STANAG 2017/2018 Admiralty Audit ($\ge \text{B2}$)</x:v>
      </x:c>
      <x:c r="D241" s="5" t="n">
        <x:v>648</x:v>
      </x:c>
      <x:c r="E241" s="5" t="n">
        <x:v>6</x:v>
      </x:c>
      <x:c r="F241" s="5" t="str">
        <x:v>Combined Admiralty Rating</x:v>
      </x:c>
      <x:c r="G241" s="5" t="n">
        <x:v>1</x:v>
      </x:c>
      <x:c r="H241" s="5" t="n">
        <x:v>1</x:v>
      </x:c>
      <x:c r="I241" s="5" t="str">
        <x:v>A1</x:v>
      </x:c>
      <x:c r="J241" s="5" t="str">
        <x:v>SOURCE QUOTE; unvalidated / superseded assessments</x:v>
      </x:c>
      <x:c r="L241" s="31" t="str">
        <x:v>D01, Markdown line 648; http://nas-1.tail55d152.ts.net:4100/static/2S_CONSULTING_NORDIC_OUTREACH_STRATEGY.html</x:v>
      </x:c>
    </x:row>
    <x:row r="242" ht="42" customHeight="1">
      <x:c r="A242" s="5" t="str">
        <x:v>D01</x:v>
      </x:c>
      <x:c r="B242" s="5" t="str">
        <x:v>D01-T08</x:v>
      </x:c>
      <x:c r="C242" s="5" t="str">
        <x:v>12.2 NATO STANAG 2017/2018 Admiralty Audit ($\ge \text{B2}$)</x:v>
      </x:c>
      <x:c r="D242" s="5" t="n">
        <x:v>648</x:v>
      </x:c>
      <x:c r="E242" s="5" t="n">
        <x:v>7</x:v>
      </x:c>
      <x:c r="F242" s="5" t="str">
        <x:v>Audit Status</x:v>
      </x:c>
      <x:c r="G242" s="5" t="n">
        <x:v>1</x:v>
      </x:c>
      <x:c r="H242" s="5" t="n">
        <x:v>1</x:v>
      </x:c>
      <x:c r="I242" s="5" t="str">
        <x:v>PASS</x:v>
      </x:c>
      <x:c r="J242" s="5" t="str">
        <x:v>SOURCE QUOTE; unvalidated / superseded assessments</x:v>
      </x:c>
      <x:c r="L242" s="31" t="str">
        <x:v>D01, Markdown line 648; http://nas-1.tail55d152.ts.net:4100/static/2S_CONSULTING_NORDIC_OUTREACH_STRATEGY.html</x:v>
      </x:c>
    </x:row>
    <x:row r="243" ht="42" customHeight="1">
      <x:c r="A243" s="5" t="str">
        <x:v>D01</x:v>
      </x:c>
      <x:c r="B243" s="5" t="str">
        <x:v>D01-T08</x:v>
      </x:c>
      <x:c r="C243" s="5" t="str">
        <x:v>12.2 NATO STANAG 2017/2018 Admiralty Audit ($\ge \text{B2}$)</x:v>
      </x:c>
      <x:c r="D243" s="5" t="n">
        <x:v>649</x:v>
      </x:c>
      <x:c r="E243" s="5" t="n">
        <x:v>1</x:v>
      </x:c>
      <x:c r="F243" s="5" t="str">
        <x:v>Commercial Entity</x:v>
      </x:c>
      <x:c r="G243" s="5" t="n">
        <x:v>1</x:v>
      </x:c>
      <x:c r="H243" s="5" t="n">
        <x:v>1</x:v>
      </x:c>
      <x:c r="I243" s="5" t="str">
        <x:v>Sectra AB</x:v>
      </x:c>
      <x:c r="J243" s="5" t="str">
        <x:v>SOURCE QUOTE; unvalidated / superseded assessments</x:v>
      </x:c>
      <x:c r="L243" s="31" t="str">
        <x:v>D01, Markdown line 649; http://nas-1.tail55d152.ts.net:4100/static/2S_CONSULTING_NORDIC_OUTREACH_STRATEGY.html</x:v>
      </x:c>
    </x:row>
    <x:row r="244" ht="42" customHeight="1">
      <x:c r="A244" s="5" t="str">
        <x:v>D01</x:v>
      </x:c>
      <x:c r="B244" s="5" t="str">
        <x:v>D01-T08</x:v>
      </x:c>
      <x:c r="C244" s="5" t="str">
        <x:v>12.2 NATO STANAG 2017/2018 Admiralty Audit ($\ge \text{B2}$)</x:v>
      </x:c>
      <x:c r="D244" s="5" t="n">
        <x:v>649</x:v>
      </x:c>
      <x:c r="E244" s="5" t="n">
        <x:v>2</x:v>
      </x:c>
      <x:c r="F244" s="5" t="str">
        <x:v>Country</x:v>
      </x:c>
      <x:c r="G244" s="5" t="n">
        <x:v>1</x:v>
      </x:c>
      <x:c r="H244" s="5" t="n">
        <x:v>1</x:v>
      </x:c>
      <x:c r="I244" s="5" t="str">
        <x:v>Sweden</x:v>
      </x:c>
      <x:c r="J244" s="5" t="str">
        <x:v>SOURCE QUOTE; unvalidated / superseded assessments</x:v>
      </x:c>
      <x:c r="L244" s="31" t="str">
        <x:v>D01, Markdown line 649; http://nas-1.tail55d152.ts.net:4100/static/2S_CONSULTING_NORDIC_OUTREACH_STRATEGY.html</x:v>
      </x:c>
    </x:row>
    <x:row r="245" ht="42" customHeight="1">
      <x:c r="A245" s="5" t="str">
        <x:v>D01</x:v>
      </x:c>
      <x:c r="B245" s="5" t="str">
        <x:v>D01-T08</x:v>
      </x:c>
      <x:c r="C245" s="5" t="str">
        <x:v>12.2 NATO STANAG 2017/2018 Admiralty Audit ($\ge \text{B2}$)</x:v>
      </x:c>
      <x:c r="D245" s="5" t="n">
        <x:v>649</x:v>
      </x:c>
      <x:c r="E245" s="5" t="n">
        <x:v>3</x:v>
      </x:c>
      <x:c r="F245" s="5" t="str">
        <x:v>Intelligence Source</x:v>
      </x:c>
      <x:c r="G245" s="5" t="n">
        <x:v>1</x:v>
      </x:c>
      <x:c r="H245" s="5" t="n">
        <x:v>1</x:v>
      </x:c>
      <x:c r="I245" s="5" t="str">
        <x:v>Nasdaq Stockholm, Region Stockholm Public Filings</x:v>
      </x:c>
      <x:c r="J245" s="5" t="str">
        <x:v>SOURCE QUOTE; unvalidated / superseded assessments</x:v>
      </x:c>
      <x:c r="L245" s="31" t="str">
        <x:v>D01, Markdown line 649; http://nas-1.tail55d152.ts.net:4100/static/2S_CONSULTING_NORDIC_OUTREACH_STRATEGY.html</x:v>
      </x:c>
    </x:row>
    <x:row r="246" ht="42" customHeight="1">
      <x:c r="A246" s="5" t="str">
        <x:v>D01</x:v>
      </x:c>
      <x:c r="B246" s="5" t="str">
        <x:v>D01-T08</x:v>
      </x:c>
      <x:c r="C246" s="5" t="str">
        <x:v>12.2 NATO STANAG 2017/2018 Admiralty Audit ($\ge \text{B2}$)</x:v>
      </x:c>
      <x:c r="D246" s="5" t="n">
        <x:v>649</x:v>
      </x:c>
      <x:c r="E246" s="5" t="n">
        <x:v>4</x:v>
      </x:c>
      <x:c r="F246" s="5" t="str">
        <x:v>Source Reliability</x:v>
      </x:c>
      <x:c r="G246" s="5" t="n">
        <x:v>1</x:v>
      </x:c>
      <x:c r="H246" s="5" t="n">
        <x:v>1</x:v>
      </x:c>
      <x:c r="I246" s="5" t="str">
        <x:v>A (Completely Reliable)</x:v>
      </x:c>
      <x:c r="J246" s="5" t="str">
        <x:v>SOURCE QUOTE; unvalidated / superseded assessments</x:v>
      </x:c>
      <x:c r="L246" s="31" t="str">
        <x:v>D01, Markdown line 649; http://nas-1.tail55d152.ts.net:4100/static/2S_CONSULTING_NORDIC_OUTREACH_STRATEGY.html</x:v>
      </x:c>
    </x:row>
    <x:row r="247" ht="42" customHeight="1">
      <x:c r="A247" s="5" t="str">
        <x:v>D01</x:v>
      </x:c>
      <x:c r="B247" s="5" t="str">
        <x:v>D01-T08</x:v>
      </x:c>
      <x:c r="C247" s="5" t="str">
        <x:v>12.2 NATO STANAG 2017/2018 Admiralty Audit ($\ge \text{B2}$)</x:v>
      </x:c>
      <x:c r="D247" s="5" t="n">
        <x:v>649</x:v>
      </x:c>
      <x:c r="E247" s="5" t="n">
        <x:v>5</x:v>
      </x:c>
      <x:c r="F247" s="5" t="str">
        <x:v>Information Credibility</x:v>
      </x:c>
      <x:c r="G247" s="5" t="n">
        <x:v>1</x:v>
      </x:c>
      <x:c r="H247" s="5" t="n">
        <x:v>1</x:v>
      </x:c>
      <x:c r="I247" s="5" t="str">
        <x:v>1 (Confirmed by Other Sources)</x:v>
      </x:c>
      <x:c r="J247" s="5" t="str">
        <x:v>SOURCE QUOTE; unvalidated / superseded assessments</x:v>
      </x:c>
      <x:c r="L247" s="31" t="str">
        <x:v>D01, Markdown line 649; http://nas-1.tail55d152.ts.net:4100/static/2S_CONSULTING_NORDIC_OUTREACH_STRATEGY.html</x:v>
      </x:c>
    </x:row>
    <x:row r="248" ht="42" customHeight="1">
      <x:c r="A248" s="5" t="str">
        <x:v>D01</x:v>
      </x:c>
      <x:c r="B248" s="5" t="str">
        <x:v>D01-T08</x:v>
      </x:c>
      <x:c r="C248" s="5" t="str">
        <x:v>12.2 NATO STANAG 2017/2018 Admiralty Audit ($\ge \text{B2}$)</x:v>
      </x:c>
      <x:c r="D248" s="5" t="n">
        <x:v>649</x:v>
      </x:c>
      <x:c r="E248" s="5" t="n">
        <x:v>6</x:v>
      </x:c>
      <x:c r="F248" s="5" t="str">
        <x:v>Combined Admiralty Rating</x:v>
      </x:c>
      <x:c r="G248" s="5" t="n">
        <x:v>1</x:v>
      </x:c>
      <x:c r="H248" s="5" t="n">
        <x:v>1</x:v>
      </x:c>
      <x:c r="I248" s="5" t="str">
        <x:v>A1</x:v>
      </x:c>
      <x:c r="J248" s="5" t="str">
        <x:v>SOURCE QUOTE; unvalidated / superseded assessments</x:v>
      </x:c>
      <x:c r="L248" s="31" t="str">
        <x:v>D01, Markdown line 649; http://nas-1.tail55d152.ts.net:4100/static/2S_CONSULTING_NORDIC_OUTREACH_STRATEGY.html</x:v>
      </x:c>
    </x:row>
    <x:row r="249" ht="42" customHeight="1">
      <x:c r="A249" s="5" t="str">
        <x:v>D01</x:v>
      </x:c>
      <x:c r="B249" s="5" t="str">
        <x:v>D01-T08</x:v>
      </x:c>
      <x:c r="C249" s="5" t="str">
        <x:v>12.2 NATO STANAG 2017/2018 Admiralty Audit ($\ge \text{B2}$)</x:v>
      </x:c>
      <x:c r="D249" s="5" t="n">
        <x:v>649</x:v>
      </x:c>
      <x:c r="E249" s="5" t="n">
        <x:v>7</x:v>
      </x:c>
      <x:c r="F249" s="5" t="str">
        <x:v>Audit Status</x:v>
      </x:c>
      <x:c r="G249" s="5" t="n">
        <x:v>1</x:v>
      </x:c>
      <x:c r="H249" s="5" t="n">
        <x:v>1</x:v>
      </x:c>
      <x:c r="I249" s="5" t="str">
        <x:v>PASS</x:v>
      </x:c>
      <x:c r="J249" s="5" t="str">
        <x:v>SOURCE QUOTE; unvalidated / superseded assessments</x:v>
      </x:c>
      <x:c r="L249" s="31" t="str">
        <x:v>D01, Markdown line 649; http://nas-1.tail55d152.ts.net:4100/static/2S_CONSULTING_NORDIC_OUTREACH_STRATEGY.html</x:v>
      </x:c>
    </x:row>
    <x:row r="250" ht="42" customHeight="1">
      <x:c r="A250" s="5" t="str">
        <x:v>D01</x:v>
      </x:c>
      <x:c r="B250" s="5" t="str">
        <x:v>D01-T08</x:v>
      </x:c>
      <x:c r="C250" s="5" t="str">
        <x:v>12.2 NATO STANAG 2017/2018 Admiralty Audit ($\ge \text{B2}$)</x:v>
      </x:c>
      <x:c r="D250" s="5" t="n">
        <x:v>650</x:v>
      </x:c>
      <x:c r="E250" s="5" t="n">
        <x:v>1</x:v>
      </x:c>
      <x:c r="F250" s="5" t="str">
        <x:v>Commercial Entity</x:v>
      </x:c>
      <x:c r="G250" s="5" t="n">
        <x:v>1</x:v>
      </x:c>
      <x:c r="H250" s="5" t="n">
        <x:v>1</x:v>
      </x:c>
      <x:c r="I250" s="5" t="str">
        <x:v>RaySearch Laboratories</x:v>
      </x:c>
      <x:c r="J250" s="5" t="str">
        <x:v>SOURCE QUOTE; unvalidated / superseded assessments</x:v>
      </x:c>
      <x:c r="L250" s="31" t="str">
        <x:v>D01, Markdown line 650; http://nas-1.tail55d152.ts.net:4100/static/2S_CONSULTING_NORDIC_OUTREACH_STRATEGY.html</x:v>
      </x:c>
    </x:row>
    <x:row r="251" ht="42" customHeight="1">
      <x:c r="A251" s="5" t="str">
        <x:v>D01</x:v>
      </x:c>
      <x:c r="B251" s="5" t="str">
        <x:v>D01-T08</x:v>
      </x:c>
      <x:c r="C251" s="5" t="str">
        <x:v>12.2 NATO STANAG 2017/2018 Admiralty Audit ($\ge \text{B2}$)</x:v>
      </x:c>
      <x:c r="D251" s="5" t="n">
        <x:v>650</x:v>
      </x:c>
      <x:c r="E251" s="5" t="n">
        <x:v>2</x:v>
      </x:c>
      <x:c r="F251" s="5" t="str">
        <x:v>Country</x:v>
      </x:c>
      <x:c r="G251" s="5" t="n">
        <x:v>1</x:v>
      </x:c>
      <x:c r="H251" s="5" t="n">
        <x:v>1</x:v>
      </x:c>
      <x:c r="I251" s="5" t="str">
        <x:v>Sweden</x:v>
      </x:c>
      <x:c r="J251" s="5" t="str">
        <x:v>SOURCE QUOTE; unvalidated / superseded assessments</x:v>
      </x:c>
      <x:c r="L251" s="31" t="str">
        <x:v>D01, Markdown line 650; http://nas-1.tail55d152.ts.net:4100/static/2S_CONSULTING_NORDIC_OUTREACH_STRATEGY.html</x:v>
      </x:c>
    </x:row>
    <x:row r="252" ht="42" customHeight="1">
      <x:c r="A252" s="5" t="str">
        <x:v>D01</x:v>
      </x:c>
      <x:c r="B252" s="5" t="str">
        <x:v>D01-T08</x:v>
      </x:c>
      <x:c r="C252" s="5" t="str">
        <x:v>12.2 NATO STANAG 2017/2018 Admiralty Audit ($\ge \text{B2}$)</x:v>
      </x:c>
      <x:c r="D252" s="5" t="n">
        <x:v>650</x:v>
      </x:c>
      <x:c r="E252" s="5" t="n">
        <x:v>3</x:v>
      </x:c>
      <x:c r="F252" s="5" t="str">
        <x:v>Intelligence Source</x:v>
      </x:c>
      <x:c r="G252" s="5" t="n">
        <x:v>1</x:v>
      </x:c>
      <x:c r="H252" s="5" t="n">
        <x:v>1</x:v>
      </x:c>
      <x:c r="I252" s="5" t="str">
        <x:v>Nasdaq Stockholm, Oncology Planning Registry</x:v>
      </x:c>
      <x:c r="J252" s="5" t="str">
        <x:v>SOURCE QUOTE; unvalidated / superseded assessments</x:v>
      </x:c>
      <x:c r="L252" s="31" t="str">
        <x:v>D01, Markdown line 650; http://nas-1.tail55d152.ts.net:4100/static/2S_CONSULTING_NORDIC_OUTREACH_STRATEGY.html</x:v>
      </x:c>
    </x:row>
    <x:row r="253" ht="42" customHeight="1">
      <x:c r="A253" s="5" t="str">
        <x:v>D01</x:v>
      </x:c>
      <x:c r="B253" s="5" t="str">
        <x:v>D01-T08</x:v>
      </x:c>
      <x:c r="C253" s="5" t="str">
        <x:v>12.2 NATO STANAG 2017/2018 Admiralty Audit ($\ge \text{B2}$)</x:v>
      </x:c>
      <x:c r="D253" s="5" t="n">
        <x:v>650</x:v>
      </x:c>
      <x:c r="E253" s="5" t="n">
        <x:v>4</x:v>
      </x:c>
      <x:c r="F253" s="5" t="str">
        <x:v>Source Reliability</x:v>
      </x:c>
      <x:c r="G253" s="5" t="n">
        <x:v>1</x:v>
      </x:c>
      <x:c r="H253" s="5" t="n">
        <x:v>1</x:v>
      </x:c>
      <x:c r="I253" s="5" t="str">
        <x:v>A (Completely Reliable)</x:v>
      </x:c>
      <x:c r="J253" s="5" t="str">
        <x:v>SOURCE QUOTE; unvalidated / superseded assessments</x:v>
      </x:c>
      <x:c r="L253" s="31" t="str">
        <x:v>D01, Markdown line 650; http://nas-1.tail55d152.ts.net:4100/static/2S_CONSULTING_NORDIC_OUTREACH_STRATEGY.html</x:v>
      </x:c>
    </x:row>
    <x:row r="254" ht="42" customHeight="1">
      <x:c r="A254" s="5" t="str">
        <x:v>D01</x:v>
      </x:c>
      <x:c r="B254" s="5" t="str">
        <x:v>D01-T08</x:v>
      </x:c>
      <x:c r="C254" s="5" t="str">
        <x:v>12.2 NATO STANAG 2017/2018 Admiralty Audit ($\ge \text{B2}$)</x:v>
      </x:c>
      <x:c r="D254" s="5" t="n">
        <x:v>650</x:v>
      </x:c>
      <x:c r="E254" s="5" t="n">
        <x:v>5</x:v>
      </x:c>
      <x:c r="F254" s="5" t="str">
        <x:v>Information Credibility</x:v>
      </x:c>
      <x:c r="G254" s="5" t="n">
        <x:v>1</x:v>
      </x:c>
      <x:c r="H254" s="5" t="n">
        <x:v>1</x:v>
      </x:c>
      <x:c r="I254" s="5" t="str">
        <x:v>1 (Confirmed by Other Sources)</x:v>
      </x:c>
      <x:c r="J254" s="5" t="str">
        <x:v>SOURCE QUOTE; unvalidated / superseded assessments</x:v>
      </x:c>
      <x:c r="L254" s="31" t="str">
        <x:v>D01, Markdown line 650; http://nas-1.tail55d152.ts.net:4100/static/2S_CONSULTING_NORDIC_OUTREACH_STRATEGY.html</x:v>
      </x:c>
    </x:row>
    <x:row r="255" ht="42" customHeight="1">
      <x:c r="A255" s="5" t="str">
        <x:v>D01</x:v>
      </x:c>
      <x:c r="B255" s="5" t="str">
        <x:v>D01-T08</x:v>
      </x:c>
      <x:c r="C255" s="5" t="str">
        <x:v>12.2 NATO STANAG 2017/2018 Admiralty Audit ($\ge \text{B2}$)</x:v>
      </x:c>
      <x:c r="D255" s="5" t="n">
        <x:v>650</x:v>
      </x:c>
      <x:c r="E255" s="5" t="n">
        <x:v>6</x:v>
      </x:c>
      <x:c r="F255" s="5" t="str">
        <x:v>Combined Admiralty Rating</x:v>
      </x:c>
      <x:c r="G255" s="5" t="n">
        <x:v>1</x:v>
      </x:c>
      <x:c r="H255" s="5" t="n">
        <x:v>1</x:v>
      </x:c>
      <x:c r="I255" s="5" t="str">
        <x:v>A1</x:v>
      </x:c>
      <x:c r="J255" s="5" t="str">
        <x:v>SOURCE QUOTE; unvalidated / superseded assessments</x:v>
      </x:c>
      <x:c r="L255" s="31" t="str">
        <x:v>D01, Markdown line 650; http://nas-1.tail55d152.ts.net:4100/static/2S_CONSULTING_NORDIC_OUTREACH_STRATEGY.html</x:v>
      </x:c>
    </x:row>
    <x:row r="256" ht="42" customHeight="1">
      <x:c r="A256" s="5" t="str">
        <x:v>D01</x:v>
      </x:c>
      <x:c r="B256" s="5" t="str">
        <x:v>D01-T08</x:v>
      </x:c>
      <x:c r="C256" s="5" t="str">
        <x:v>12.2 NATO STANAG 2017/2018 Admiralty Audit ($\ge \text{B2}$)</x:v>
      </x:c>
      <x:c r="D256" s="5" t="n">
        <x:v>650</x:v>
      </x:c>
      <x:c r="E256" s="5" t="n">
        <x:v>7</x:v>
      </x:c>
      <x:c r="F256" s="5" t="str">
        <x:v>Audit Status</x:v>
      </x:c>
      <x:c r="G256" s="5" t="n">
        <x:v>1</x:v>
      </x:c>
      <x:c r="H256" s="5" t="n">
        <x:v>1</x:v>
      </x:c>
      <x:c r="I256" s="5" t="str">
        <x:v>PASS</x:v>
      </x:c>
      <x:c r="J256" s="5" t="str">
        <x:v>SOURCE QUOTE; unvalidated / superseded assessments</x:v>
      </x:c>
      <x:c r="L256" s="31" t="str">
        <x:v>D01, Markdown line 650; http://nas-1.tail55d152.ts.net:4100/static/2S_CONSULTING_NORDIC_OUTREACH_STRATEGY.html</x:v>
      </x:c>
    </x:row>
    <x:row r="257" ht="42" customHeight="1">
      <x:c r="A257" s="5" t="str">
        <x:v>D01</x:v>
      </x:c>
      <x:c r="B257" s="5" t="str">
        <x:v>D01-T08</x:v>
      </x:c>
      <x:c r="C257" s="5" t="str">
        <x:v>12.2 NATO STANAG 2017/2018 Admiralty Audit ($\ge \text{B2}$)</x:v>
      </x:c>
      <x:c r="D257" s="5" t="n">
        <x:v>651</x:v>
      </x:c>
      <x:c r="E257" s="5" t="n">
        <x:v>1</x:v>
      </x:c>
      <x:c r="F257" s="5" t="str">
        <x:v>Commercial Entity</x:v>
      </x:c>
      <x:c r="G257" s="5" t="n">
        <x:v>1</x:v>
      </x:c>
      <x:c r="H257" s="5" t="n">
        <x:v>1</x:v>
      </x:c>
      <x:c r="I257" s="5" t="str">
        <x:v>Bactiguard AB</x:v>
      </x:c>
      <x:c r="J257" s="5" t="str">
        <x:v>SOURCE QUOTE; unvalidated / superseded assessments</x:v>
      </x:c>
      <x:c r="L257" s="31" t="str">
        <x:v>D01, Markdown line 651; http://nas-1.tail55d152.ts.net:4100/static/2S_CONSULTING_NORDIC_OUTREACH_STRATEGY.html</x:v>
      </x:c>
    </x:row>
    <x:row r="258" ht="42" customHeight="1">
      <x:c r="A258" s="5" t="str">
        <x:v>D01</x:v>
      </x:c>
      <x:c r="B258" s="5" t="str">
        <x:v>D01-T08</x:v>
      </x:c>
      <x:c r="C258" s="5" t="str">
        <x:v>12.2 NATO STANAG 2017/2018 Admiralty Audit ($\ge \text{B2}$)</x:v>
      </x:c>
      <x:c r="D258" s="5" t="n">
        <x:v>651</x:v>
      </x:c>
      <x:c r="E258" s="5" t="n">
        <x:v>2</x:v>
      </x:c>
      <x:c r="F258" s="5" t="str">
        <x:v>Country</x:v>
      </x:c>
      <x:c r="G258" s="5" t="n">
        <x:v>1</x:v>
      </x:c>
      <x:c r="H258" s="5" t="n">
        <x:v>1</x:v>
      </x:c>
      <x:c r="I258" s="5" t="str">
        <x:v>Sweden</x:v>
      </x:c>
      <x:c r="J258" s="5" t="str">
        <x:v>SOURCE QUOTE; unvalidated / superseded assessments</x:v>
      </x:c>
      <x:c r="L258" s="31" t="str">
        <x:v>D01, Markdown line 651; http://nas-1.tail55d152.ts.net:4100/static/2S_CONSULTING_NORDIC_OUTREACH_STRATEGY.html</x:v>
      </x:c>
    </x:row>
    <x:row r="259" ht="42" customHeight="1">
      <x:c r="A259" s="5" t="str">
        <x:v>D01</x:v>
      </x:c>
      <x:c r="B259" s="5" t="str">
        <x:v>D01-T08</x:v>
      </x:c>
      <x:c r="C259" s="5" t="str">
        <x:v>12.2 NATO STANAG 2017/2018 Admiralty Audit ($\ge \text{B2}$)</x:v>
      </x:c>
      <x:c r="D259" s="5" t="n">
        <x:v>651</x:v>
      </x:c>
      <x:c r="E259" s="5" t="n">
        <x:v>3</x:v>
      </x:c>
      <x:c r="F259" s="5" t="str">
        <x:v>Intelligence Source</x:v>
      </x:c>
      <x:c r="G259" s="5" t="n">
        <x:v>1</x:v>
      </x:c>
      <x:c r="H259" s="5" t="n">
        <x:v>1</x:v>
      </x:c>
      <x:c r="I259" s="5" t="str">
        <x:v>Bolagsverket, Clinical Trial Evidence Reports</x:v>
      </x:c>
      <x:c r="J259" s="5" t="str">
        <x:v>SOURCE QUOTE; unvalidated / superseded assessments</x:v>
      </x:c>
      <x:c r="L259" s="31" t="str">
        <x:v>D01, Markdown line 651; http://nas-1.tail55d152.ts.net:4100/static/2S_CONSULTING_NORDIC_OUTREACH_STRATEGY.html</x:v>
      </x:c>
    </x:row>
    <x:row r="260" ht="42" customHeight="1">
      <x:c r="A260" s="5" t="str">
        <x:v>D01</x:v>
      </x:c>
      <x:c r="B260" s="5" t="str">
        <x:v>D01-T08</x:v>
      </x:c>
      <x:c r="C260" s="5" t="str">
        <x:v>12.2 NATO STANAG 2017/2018 Admiralty Audit ($\ge \text{B2}$)</x:v>
      </x:c>
      <x:c r="D260" s="5" t="n">
        <x:v>651</x:v>
      </x:c>
      <x:c r="E260" s="5" t="n">
        <x:v>4</x:v>
      </x:c>
      <x:c r="F260" s="5" t="str">
        <x:v>Source Reliability</x:v>
      </x:c>
      <x:c r="G260" s="5" t="n">
        <x:v>1</x:v>
      </x:c>
      <x:c r="H260" s="5" t="n">
        <x:v>1</x:v>
      </x:c>
      <x:c r="I260" s="5" t="str">
        <x:v>B (Usually Reliable)</x:v>
      </x:c>
      <x:c r="J260" s="5" t="str">
        <x:v>SOURCE QUOTE; unvalidated / superseded assessments</x:v>
      </x:c>
      <x:c r="L260" s="31" t="str">
        <x:v>D01, Markdown line 651; http://nas-1.tail55d152.ts.net:4100/static/2S_CONSULTING_NORDIC_OUTREACH_STRATEGY.html</x:v>
      </x:c>
    </x:row>
    <x:row r="261" ht="42" customHeight="1">
      <x:c r="A261" s="5" t="str">
        <x:v>D01</x:v>
      </x:c>
      <x:c r="B261" s="5" t="str">
        <x:v>D01-T08</x:v>
      </x:c>
      <x:c r="C261" s="5" t="str">
        <x:v>12.2 NATO STANAG 2017/2018 Admiralty Audit ($\ge \text{B2}$)</x:v>
      </x:c>
      <x:c r="D261" s="5" t="n">
        <x:v>651</x:v>
      </x:c>
      <x:c r="E261" s="5" t="n">
        <x:v>5</x:v>
      </x:c>
      <x:c r="F261" s="5" t="str">
        <x:v>Information Credibility</x:v>
      </x:c>
      <x:c r="G261" s="5" t="n">
        <x:v>1</x:v>
      </x:c>
      <x:c r="H261" s="5" t="n">
        <x:v>1</x:v>
      </x:c>
      <x:c r="I261" s="5" t="str">
        <x:v>2 (Probably True)</x:v>
      </x:c>
      <x:c r="J261" s="5" t="str">
        <x:v>SOURCE QUOTE; unvalidated / superseded assessments</x:v>
      </x:c>
      <x:c r="L261" s="31" t="str">
        <x:v>D01, Markdown line 651; http://nas-1.tail55d152.ts.net:4100/static/2S_CONSULTING_NORDIC_OUTREACH_STRATEGY.html</x:v>
      </x:c>
    </x:row>
    <x:row r="262" ht="42" customHeight="1">
      <x:c r="A262" s="5" t="str">
        <x:v>D01</x:v>
      </x:c>
      <x:c r="B262" s="5" t="str">
        <x:v>D01-T08</x:v>
      </x:c>
      <x:c r="C262" s="5" t="str">
        <x:v>12.2 NATO STANAG 2017/2018 Admiralty Audit ($\ge \text{B2}$)</x:v>
      </x:c>
      <x:c r="D262" s="5" t="n">
        <x:v>651</x:v>
      </x:c>
      <x:c r="E262" s="5" t="n">
        <x:v>6</x:v>
      </x:c>
      <x:c r="F262" s="5" t="str">
        <x:v>Combined Admiralty Rating</x:v>
      </x:c>
      <x:c r="G262" s="5" t="n">
        <x:v>1</x:v>
      </x:c>
      <x:c r="H262" s="5" t="n">
        <x:v>1</x:v>
      </x:c>
      <x:c r="I262" s="5" t="str">
        <x:v>B2</x:v>
      </x:c>
      <x:c r="J262" s="5" t="str">
        <x:v>SOURCE QUOTE; unvalidated / superseded assessments</x:v>
      </x:c>
      <x:c r="L262" s="31" t="str">
        <x:v>D01, Markdown line 651; http://nas-1.tail55d152.ts.net:4100/static/2S_CONSULTING_NORDIC_OUTREACH_STRATEGY.html</x:v>
      </x:c>
    </x:row>
    <x:row r="263" ht="42" customHeight="1">
      <x:c r="A263" s="5" t="str">
        <x:v>D01</x:v>
      </x:c>
      <x:c r="B263" s="5" t="str">
        <x:v>D01-T08</x:v>
      </x:c>
      <x:c r="C263" s="5" t="str">
        <x:v>12.2 NATO STANAG 2017/2018 Admiralty Audit ($\ge \text{B2}$)</x:v>
      </x:c>
      <x:c r="D263" s="5" t="n">
        <x:v>651</x:v>
      </x:c>
      <x:c r="E263" s="5" t="n">
        <x:v>7</x:v>
      </x:c>
      <x:c r="F263" s="5" t="str">
        <x:v>Audit Status</x:v>
      </x:c>
      <x:c r="G263" s="5" t="n">
        <x:v>1</x:v>
      </x:c>
      <x:c r="H263" s="5" t="n">
        <x:v>1</x:v>
      </x:c>
      <x:c r="I263" s="5" t="str">
        <x:v>PASS</x:v>
      </x:c>
      <x:c r="J263" s="5" t="str">
        <x:v>SOURCE QUOTE; unvalidated / superseded assessments</x:v>
      </x:c>
      <x:c r="L263" s="31" t="str">
        <x:v>D01, Markdown line 651; http://nas-1.tail55d152.ts.net:4100/static/2S_CONSULTING_NORDIC_OUTREACH_STRATEGY.html</x:v>
      </x:c>
    </x:row>
    <x:row r="264" ht="42" customHeight="1">
      <x:c r="A264" s="5" t="str">
        <x:v>D01</x:v>
      </x:c>
      <x:c r="B264" s="5" t="str">
        <x:v>D01-T08</x:v>
      </x:c>
      <x:c r="C264" s="5" t="str">
        <x:v>12.2 NATO STANAG 2017/2018 Admiralty Audit ($\ge \text{B2}$)</x:v>
      </x:c>
      <x:c r="D264" s="5" t="n">
        <x:v>652</x:v>
      </x:c>
      <x:c r="E264" s="5" t="n">
        <x:v>1</x:v>
      </x:c>
      <x:c r="F264" s="5" t="str">
        <x:v>Commercial Entity</x:v>
      </x:c>
      <x:c r="G264" s="5" t="n">
        <x:v>1</x:v>
      </x:c>
      <x:c r="H264" s="5" t="n">
        <x:v>1</x:v>
      </x:c>
      <x:c r="I264" s="5" t="str">
        <x:v>Mentice AB</x:v>
      </x:c>
      <x:c r="J264" s="5" t="str">
        <x:v>SOURCE QUOTE; unvalidated / superseded assessments</x:v>
      </x:c>
      <x:c r="L264" s="31" t="str">
        <x:v>D01, Markdown line 652; http://nas-1.tail55d152.ts.net:4100/static/2S_CONSULTING_NORDIC_OUTREACH_STRATEGY.html</x:v>
      </x:c>
    </x:row>
    <x:row r="265" ht="42" customHeight="1">
      <x:c r="A265" s="5" t="str">
        <x:v>D01</x:v>
      </x:c>
      <x:c r="B265" s="5" t="str">
        <x:v>D01-T08</x:v>
      </x:c>
      <x:c r="C265" s="5" t="str">
        <x:v>12.2 NATO STANAG 2017/2018 Admiralty Audit ($\ge \text{B2}$)</x:v>
      </x:c>
      <x:c r="D265" s="5" t="n">
        <x:v>652</x:v>
      </x:c>
      <x:c r="E265" s="5" t="n">
        <x:v>2</x:v>
      </x:c>
      <x:c r="F265" s="5" t="str">
        <x:v>Country</x:v>
      </x:c>
      <x:c r="G265" s="5" t="n">
        <x:v>1</x:v>
      </x:c>
      <x:c r="H265" s="5" t="n">
        <x:v>1</x:v>
      </x:c>
      <x:c r="I265" s="5" t="str">
        <x:v>Sweden</x:v>
      </x:c>
      <x:c r="J265" s="5" t="str">
        <x:v>SOURCE QUOTE; unvalidated / superseded assessments</x:v>
      </x:c>
      <x:c r="L265" s="31" t="str">
        <x:v>D01, Markdown line 652; http://nas-1.tail55d152.ts.net:4100/static/2S_CONSULTING_NORDIC_OUTREACH_STRATEGY.html</x:v>
      </x:c>
    </x:row>
    <x:row r="266" ht="42" customHeight="1">
      <x:c r="A266" s="5" t="str">
        <x:v>D01</x:v>
      </x:c>
      <x:c r="B266" s="5" t="str">
        <x:v>D01-T08</x:v>
      </x:c>
      <x:c r="C266" s="5" t="str">
        <x:v>12.2 NATO STANAG 2017/2018 Admiralty Audit ($\ge \text{B2}$)</x:v>
      </x:c>
      <x:c r="D266" s="5" t="n">
        <x:v>652</x:v>
      </x:c>
      <x:c r="E266" s="5" t="n">
        <x:v>3</x:v>
      </x:c>
      <x:c r="F266" s="5" t="str">
        <x:v>Intelligence Source</x:v>
      </x:c>
      <x:c r="G266" s="5" t="n">
        <x:v>1</x:v>
      </x:c>
      <x:c r="H266" s="5" t="n">
        <x:v>1</x:v>
      </x:c>
      <x:c r="I266" s="5" t="str">
        <x:v>Nasdaq Stockholm, Interventional Surgery Registry</x:v>
      </x:c>
      <x:c r="J266" s="5" t="str">
        <x:v>SOURCE QUOTE; unvalidated / superseded assessments</x:v>
      </x:c>
      <x:c r="L266" s="31" t="str">
        <x:v>D01, Markdown line 652; http://nas-1.tail55d152.ts.net:4100/static/2S_CONSULTING_NORDIC_OUTREACH_STRATEGY.html</x:v>
      </x:c>
    </x:row>
    <x:row r="267" ht="42" customHeight="1">
      <x:c r="A267" s="5" t="str">
        <x:v>D01</x:v>
      </x:c>
      <x:c r="B267" s="5" t="str">
        <x:v>D01-T08</x:v>
      </x:c>
      <x:c r="C267" s="5" t="str">
        <x:v>12.2 NATO STANAG 2017/2018 Admiralty Audit ($\ge \text{B2}$)</x:v>
      </x:c>
      <x:c r="D267" s="5" t="n">
        <x:v>652</x:v>
      </x:c>
      <x:c r="E267" s="5" t="n">
        <x:v>4</x:v>
      </x:c>
      <x:c r="F267" s="5" t="str">
        <x:v>Source Reliability</x:v>
      </x:c>
      <x:c r="G267" s="5" t="n">
        <x:v>1</x:v>
      </x:c>
      <x:c r="H267" s="5" t="n">
        <x:v>1</x:v>
      </x:c>
      <x:c r="I267" s="5" t="str">
        <x:v>A (Completely Reliable)</x:v>
      </x:c>
      <x:c r="J267" s="5" t="str">
        <x:v>SOURCE QUOTE; unvalidated / superseded assessments</x:v>
      </x:c>
      <x:c r="L267" s="31" t="str">
        <x:v>D01, Markdown line 652; http://nas-1.tail55d152.ts.net:4100/static/2S_CONSULTING_NORDIC_OUTREACH_STRATEGY.html</x:v>
      </x:c>
    </x:row>
    <x:row r="268" ht="42" customHeight="1">
      <x:c r="A268" s="5" t="str">
        <x:v>D01</x:v>
      </x:c>
      <x:c r="B268" s="5" t="str">
        <x:v>D01-T08</x:v>
      </x:c>
      <x:c r="C268" s="5" t="str">
        <x:v>12.2 NATO STANAG 2017/2018 Admiralty Audit ($\ge \text{B2}$)</x:v>
      </x:c>
      <x:c r="D268" s="5" t="n">
        <x:v>652</x:v>
      </x:c>
      <x:c r="E268" s="5" t="n">
        <x:v>5</x:v>
      </x:c>
      <x:c r="F268" s="5" t="str">
        <x:v>Information Credibility</x:v>
      </x:c>
      <x:c r="G268" s="5" t="n">
        <x:v>1</x:v>
      </x:c>
      <x:c r="H268" s="5" t="n">
        <x:v>1</x:v>
      </x:c>
      <x:c r="I268" s="5" t="str">
        <x:v>1 (Confirmed by Other Sources)</x:v>
      </x:c>
      <x:c r="J268" s="5" t="str">
        <x:v>SOURCE QUOTE; unvalidated / superseded assessments</x:v>
      </x:c>
      <x:c r="L268" s="31" t="str">
        <x:v>D01, Markdown line 652; http://nas-1.tail55d152.ts.net:4100/static/2S_CONSULTING_NORDIC_OUTREACH_STRATEGY.html</x:v>
      </x:c>
    </x:row>
    <x:row r="269" ht="42" customHeight="1">
      <x:c r="A269" s="5" t="str">
        <x:v>D01</x:v>
      </x:c>
      <x:c r="B269" s="5" t="str">
        <x:v>D01-T08</x:v>
      </x:c>
      <x:c r="C269" s="5" t="str">
        <x:v>12.2 NATO STANAG 2017/2018 Admiralty Audit ($\ge \text{B2}$)</x:v>
      </x:c>
      <x:c r="D269" s="5" t="n">
        <x:v>652</x:v>
      </x:c>
      <x:c r="E269" s="5" t="n">
        <x:v>6</x:v>
      </x:c>
      <x:c r="F269" s="5" t="str">
        <x:v>Combined Admiralty Rating</x:v>
      </x:c>
      <x:c r="G269" s="5" t="n">
        <x:v>1</x:v>
      </x:c>
      <x:c r="H269" s="5" t="n">
        <x:v>1</x:v>
      </x:c>
      <x:c r="I269" s="5" t="str">
        <x:v>A1</x:v>
      </x:c>
      <x:c r="J269" s="5" t="str">
        <x:v>SOURCE QUOTE; unvalidated / superseded assessments</x:v>
      </x:c>
      <x:c r="L269" s="31" t="str">
        <x:v>D01, Markdown line 652; http://nas-1.tail55d152.ts.net:4100/static/2S_CONSULTING_NORDIC_OUTREACH_STRATEGY.html</x:v>
      </x:c>
    </x:row>
    <x:row r="270" ht="42" customHeight="1">
      <x:c r="A270" s="5" t="str">
        <x:v>D01</x:v>
      </x:c>
      <x:c r="B270" s="5" t="str">
        <x:v>D01-T08</x:v>
      </x:c>
      <x:c r="C270" s="5" t="str">
        <x:v>12.2 NATO STANAG 2017/2018 Admiralty Audit ($\ge \text{B2}$)</x:v>
      </x:c>
      <x:c r="D270" s="5" t="n">
        <x:v>652</x:v>
      </x:c>
      <x:c r="E270" s="5" t="n">
        <x:v>7</x:v>
      </x:c>
      <x:c r="F270" s="5" t="str">
        <x:v>Audit Status</x:v>
      </x:c>
      <x:c r="G270" s="5" t="n">
        <x:v>1</x:v>
      </x:c>
      <x:c r="H270" s="5" t="n">
        <x:v>1</x:v>
      </x:c>
      <x:c r="I270" s="5" t="str">
        <x:v>PASS</x:v>
      </x:c>
      <x:c r="J270" s="5" t="str">
        <x:v>SOURCE QUOTE; unvalidated / superseded assessments</x:v>
      </x:c>
      <x:c r="L270" s="31" t="str">
        <x:v>D01, Markdown line 652; http://nas-1.tail55d152.ts.net:4100/static/2S_CONSULTING_NORDIC_OUTREACH_STRATEGY.html</x:v>
      </x:c>
    </x:row>
    <x:row r="271" ht="42" customHeight="1">
      <x:c r="A271" s="5" t="str">
        <x:v>D01</x:v>
      </x:c>
      <x:c r="B271" s="5" t="str">
        <x:v>D01-T08</x:v>
      </x:c>
      <x:c r="C271" s="5" t="str">
        <x:v>12.2 NATO STANAG 2017/2018 Admiralty Audit ($\ge \text{B2}$)</x:v>
      </x:c>
      <x:c r="D271" s="5" t="n">
        <x:v>653</x:v>
      </x:c>
      <x:c r="E271" s="5" t="n">
        <x:v>1</x:v>
      </x:c>
      <x:c r="F271" s="5" t="str">
        <x:v>Commercial Entity</x:v>
      </x:c>
      <x:c r="G271" s="5" t="n">
        <x:v>1</x:v>
      </x:c>
      <x:c r="H271" s="5" t="n">
        <x:v>1</x:v>
      </x:c>
      <x:c r="I271" s="5" t="str">
        <x:v>AMRA Medical AB</x:v>
      </x:c>
      <x:c r="J271" s="5" t="str">
        <x:v>SOURCE QUOTE; unvalidated / superseded assessments</x:v>
      </x:c>
      <x:c r="L271" s="31" t="str">
        <x:v>D01, Markdown line 653; http://nas-1.tail55d152.ts.net:4100/static/2S_CONSULTING_NORDIC_OUTREACH_STRATEGY.html</x:v>
      </x:c>
    </x:row>
    <x:row r="272" ht="42" customHeight="1">
      <x:c r="A272" s="5" t="str">
        <x:v>D01</x:v>
      </x:c>
      <x:c r="B272" s="5" t="str">
        <x:v>D01-T08</x:v>
      </x:c>
      <x:c r="C272" s="5" t="str">
        <x:v>12.2 NATO STANAG 2017/2018 Admiralty Audit ($\ge \text{B2}$)</x:v>
      </x:c>
      <x:c r="D272" s="5" t="n">
        <x:v>653</x:v>
      </x:c>
      <x:c r="E272" s="5" t="n">
        <x:v>2</x:v>
      </x:c>
      <x:c r="F272" s="5" t="str">
        <x:v>Country</x:v>
      </x:c>
      <x:c r="G272" s="5" t="n">
        <x:v>1</x:v>
      </x:c>
      <x:c r="H272" s="5" t="n">
        <x:v>1</x:v>
      </x:c>
      <x:c r="I272" s="5" t="str">
        <x:v>Sweden</x:v>
      </x:c>
      <x:c r="J272" s="5" t="str">
        <x:v>SOURCE QUOTE; unvalidated / superseded assessments</x:v>
      </x:c>
      <x:c r="L272" s="31" t="str">
        <x:v>D01, Markdown line 653; http://nas-1.tail55d152.ts.net:4100/static/2S_CONSULTING_NORDIC_OUTREACH_STRATEGY.html</x:v>
      </x:c>
    </x:row>
    <x:row r="273" ht="42" customHeight="1">
      <x:c r="A273" s="5" t="str">
        <x:v>D01</x:v>
      </x:c>
      <x:c r="B273" s="5" t="str">
        <x:v>D01-T08</x:v>
      </x:c>
      <x:c r="C273" s="5" t="str">
        <x:v>12.2 NATO STANAG 2017/2018 Admiralty Audit ($\ge \text{B2}$)</x:v>
      </x:c>
      <x:c r="D273" s="5" t="n">
        <x:v>653</x:v>
      </x:c>
      <x:c r="E273" s="5" t="n">
        <x:v>3</x:v>
      </x:c>
      <x:c r="F273" s="5" t="str">
        <x:v>Intelligence Source</x:v>
      </x:c>
      <x:c r="G273" s="5" t="n">
        <x:v>1</x:v>
      </x:c>
      <x:c r="H273" s="5" t="n">
        <x:v>1</x:v>
      </x:c>
      <x:c r="I273" s="5" t="str">
        <x:v>Bolagsverket, MRI Clinical Validation Trials</x:v>
      </x:c>
      <x:c r="J273" s="5" t="str">
        <x:v>SOURCE QUOTE; unvalidated / superseded assessments</x:v>
      </x:c>
      <x:c r="L273" s="31" t="str">
        <x:v>D01, Markdown line 653; http://nas-1.tail55d152.ts.net:4100/static/2S_CONSULTING_NORDIC_OUTREACH_STRATEGY.html</x:v>
      </x:c>
    </x:row>
    <x:row r="274" ht="42" customHeight="1">
      <x:c r="A274" s="5" t="str">
        <x:v>D01</x:v>
      </x:c>
      <x:c r="B274" s="5" t="str">
        <x:v>D01-T08</x:v>
      </x:c>
      <x:c r="C274" s="5" t="str">
        <x:v>12.2 NATO STANAG 2017/2018 Admiralty Audit ($\ge \text{B2}$)</x:v>
      </x:c>
      <x:c r="D274" s="5" t="n">
        <x:v>653</x:v>
      </x:c>
      <x:c r="E274" s="5" t="n">
        <x:v>4</x:v>
      </x:c>
      <x:c r="F274" s="5" t="str">
        <x:v>Source Reliability</x:v>
      </x:c>
      <x:c r="G274" s="5" t="n">
        <x:v>1</x:v>
      </x:c>
      <x:c r="H274" s="5" t="n">
        <x:v>1</x:v>
      </x:c>
      <x:c r="I274" s="5" t="str">
        <x:v>B (Usually Reliable)</x:v>
      </x:c>
      <x:c r="J274" s="5" t="str">
        <x:v>SOURCE QUOTE; unvalidated / superseded assessments</x:v>
      </x:c>
      <x:c r="L274" s="31" t="str">
        <x:v>D01, Markdown line 653; http://nas-1.tail55d152.ts.net:4100/static/2S_CONSULTING_NORDIC_OUTREACH_STRATEGY.html</x:v>
      </x:c>
    </x:row>
    <x:row r="275" ht="42" customHeight="1">
      <x:c r="A275" s="5" t="str">
        <x:v>D01</x:v>
      </x:c>
      <x:c r="B275" s="5" t="str">
        <x:v>D01-T08</x:v>
      </x:c>
      <x:c r="C275" s="5" t="str">
        <x:v>12.2 NATO STANAG 2017/2018 Admiralty Audit ($\ge \text{B2}$)</x:v>
      </x:c>
      <x:c r="D275" s="5" t="n">
        <x:v>653</x:v>
      </x:c>
      <x:c r="E275" s="5" t="n">
        <x:v>5</x:v>
      </x:c>
      <x:c r="F275" s="5" t="str">
        <x:v>Information Credibility</x:v>
      </x:c>
      <x:c r="G275" s="5" t="n">
        <x:v>1</x:v>
      </x:c>
      <x:c r="H275" s="5" t="n">
        <x:v>1</x:v>
      </x:c>
      <x:c r="I275" s="5" t="str">
        <x:v>2 (Probably True)</x:v>
      </x:c>
      <x:c r="J275" s="5" t="str">
        <x:v>SOURCE QUOTE; unvalidated / superseded assessments</x:v>
      </x:c>
      <x:c r="L275" s="31" t="str">
        <x:v>D01, Markdown line 653; http://nas-1.tail55d152.ts.net:4100/static/2S_CONSULTING_NORDIC_OUTREACH_STRATEGY.html</x:v>
      </x:c>
    </x:row>
    <x:row r="276" ht="42" customHeight="1">
      <x:c r="A276" s="5" t="str">
        <x:v>D01</x:v>
      </x:c>
      <x:c r="B276" s="5" t="str">
        <x:v>D01-T08</x:v>
      </x:c>
      <x:c r="C276" s="5" t="str">
        <x:v>12.2 NATO STANAG 2017/2018 Admiralty Audit ($\ge \text{B2}$)</x:v>
      </x:c>
      <x:c r="D276" s="5" t="n">
        <x:v>653</x:v>
      </x:c>
      <x:c r="E276" s="5" t="n">
        <x:v>6</x:v>
      </x:c>
      <x:c r="F276" s="5" t="str">
        <x:v>Combined Admiralty Rating</x:v>
      </x:c>
      <x:c r="G276" s="5" t="n">
        <x:v>1</x:v>
      </x:c>
      <x:c r="H276" s="5" t="n">
        <x:v>1</x:v>
      </x:c>
      <x:c r="I276" s="5" t="str">
        <x:v>B2</x:v>
      </x:c>
      <x:c r="J276" s="5" t="str">
        <x:v>SOURCE QUOTE; unvalidated / superseded assessments</x:v>
      </x:c>
      <x:c r="L276" s="31" t="str">
        <x:v>D01, Markdown line 653; http://nas-1.tail55d152.ts.net:4100/static/2S_CONSULTING_NORDIC_OUTREACH_STRATEGY.html</x:v>
      </x:c>
    </x:row>
    <x:row r="277" ht="42" customHeight="1">
      <x:c r="A277" s="5" t="str">
        <x:v>D01</x:v>
      </x:c>
      <x:c r="B277" s="5" t="str">
        <x:v>D01-T08</x:v>
      </x:c>
      <x:c r="C277" s="5" t="str">
        <x:v>12.2 NATO STANAG 2017/2018 Admiralty Audit ($\ge \text{B2}$)</x:v>
      </x:c>
      <x:c r="D277" s="5" t="n">
        <x:v>653</x:v>
      </x:c>
      <x:c r="E277" s="5" t="n">
        <x:v>7</x:v>
      </x:c>
      <x:c r="F277" s="5" t="str">
        <x:v>Audit Status</x:v>
      </x:c>
      <x:c r="G277" s="5" t="n">
        <x:v>1</x:v>
      </x:c>
      <x:c r="H277" s="5" t="n">
        <x:v>1</x:v>
      </x:c>
      <x:c r="I277" s="5" t="str">
        <x:v>PASS</x:v>
      </x:c>
      <x:c r="J277" s="5" t="str">
        <x:v>SOURCE QUOTE; unvalidated / superseded assessments</x:v>
      </x:c>
      <x:c r="L277" s="31" t="str">
        <x:v>D01, Markdown line 653; http://nas-1.tail55d152.ts.net:4100/static/2S_CONSULTING_NORDIC_OUTREACH_STRATEGY.html</x:v>
      </x:c>
    </x:row>
    <x:row r="278" ht="42" customHeight="1">
      <x:c r="A278" s="5" t="str">
        <x:v>D01</x:v>
      </x:c>
      <x:c r="B278" s="5" t="str">
        <x:v>D01-T08</x:v>
      </x:c>
      <x:c r="C278" s="5" t="str">
        <x:v>12.2 NATO STANAG 2017/2018 Admiralty Audit ($\ge \text{B2}$)</x:v>
      </x:c>
      <x:c r="D278" s="5" t="n">
        <x:v>654</x:v>
      </x:c>
      <x:c r="E278" s="5" t="n">
        <x:v>1</x:v>
      </x:c>
      <x:c r="F278" s="5" t="str">
        <x:v>Commercial Entity</x:v>
      </x:c>
      <x:c r="G278" s="5" t="n">
        <x:v>1</x:v>
      </x:c>
      <x:c r="H278" s="5" t="n">
        <x:v>1</x:v>
      </x:c>
      <x:c r="I278" s="5" t="str">
        <x:v>Sobi AB</x:v>
      </x:c>
      <x:c r="J278" s="5" t="str">
        <x:v>SOURCE QUOTE; unvalidated / superseded assessments</x:v>
      </x:c>
      <x:c r="L278" s="31" t="str">
        <x:v>D01, Markdown line 654; http://nas-1.tail55d152.ts.net:4100/static/2S_CONSULTING_NORDIC_OUTREACH_STRATEGY.html</x:v>
      </x:c>
    </x:row>
    <x:row r="279" ht="42" customHeight="1">
      <x:c r="A279" s="5" t="str">
        <x:v>D01</x:v>
      </x:c>
      <x:c r="B279" s="5" t="str">
        <x:v>D01-T08</x:v>
      </x:c>
      <x:c r="C279" s="5" t="str">
        <x:v>12.2 NATO STANAG 2017/2018 Admiralty Audit ($\ge \text{B2}$)</x:v>
      </x:c>
      <x:c r="D279" s="5" t="n">
        <x:v>654</x:v>
      </x:c>
      <x:c r="E279" s="5" t="n">
        <x:v>2</x:v>
      </x:c>
      <x:c r="F279" s="5" t="str">
        <x:v>Country</x:v>
      </x:c>
      <x:c r="G279" s="5" t="n">
        <x:v>1</x:v>
      </x:c>
      <x:c r="H279" s="5" t="n">
        <x:v>1</x:v>
      </x:c>
      <x:c r="I279" s="5" t="str">
        <x:v>Sweden</x:v>
      </x:c>
      <x:c r="J279" s="5" t="str">
        <x:v>SOURCE QUOTE; unvalidated / superseded assessments</x:v>
      </x:c>
      <x:c r="L279" s="31" t="str">
        <x:v>D01, Markdown line 654; http://nas-1.tail55d152.ts.net:4100/static/2S_CONSULTING_NORDIC_OUTREACH_STRATEGY.html</x:v>
      </x:c>
    </x:row>
    <x:row r="280" ht="42" customHeight="1">
      <x:c r="A280" s="5" t="str">
        <x:v>D01</x:v>
      </x:c>
      <x:c r="B280" s="5" t="str">
        <x:v>D01-T08</x:v>
      </x:c>
      <x:c r="C280" s="5" t="str">
        <x:v>12.2 NATO STANAG 2017/2018 Admiralty Audit ($\ge \text{B2}$)</x:v>
      </x:c>
      <x:c r="D280" s="5" t="n">
        <x:v>654</x:v>
      </x:c>
      <x:c r="E280" s="5" t="n">
        <x:v>3</x:v>
      </x:c>
      <x:c r="F280" s="5" t="str">
        <x:v>Intelligence Source</x:v>
      </x:c>
      <x:c r="G280" s="5" t="n">
        <x:v>1</x:v>
      </x:c>
      <x:c r="H280" s="5" t="n">
        <x:v>1</x:v>
      </x:c>
      <x:c r="I280" s="5" t="str">
        <x:v>Nasdaq Stockholm, Audited Annual Filings 2025</x:v>
      </x:c>
      <x:c r="J280" s="5" t="str">
        <x:v>SOURCE QUOTE; unvalidated / superseded assessments</x:v>
      </x:c>
      <x:c r="L280" s="31" t="str">
        <x:v>D01, Markdown line 654; http://nas-1.tail55d152.ts.net:4100/static/2S_CONSULTING_NORDIC_OUTREACH_STRATEGY.html</x:v>
      </x:c>
    </x:row>
    <x:row r="281" ht="42" customHeight="1">
      <x:c r="A281" s="5" t="str">
        <x:v>D01</x:v>
      </x:c>
      <x:c r="B281" s="5" t="str">
        <x:v>D01-T08</x:v>
      </x:c>
      <x:c r="C281" s="5" t="str">
        <x:v>12.2 NATO STANAG 2017/2018 Admiralty Audit ($\ge \text{B2}$)</x:v>
      </x:c>
      <x:c r="D281" s="5" t="n">
        <x:v>654</x:v>
      </x:c>
      <x:c r="E281" s="5" t="n">
        <x:v>4</x:v>
      </x:c>
      <x:c r="F281" s="5" t="str">
        <x:v>Source Reliability</x:v>
      </x:c>
      <x:c r="G281" s="5" t="n">
        <x:v>1</x:v>
      </x:c>
      <x:c r="H281" s="5" t="n">
        <x:v>1</x:v>
      </x:c>
      <x:c r="I281" s="5" t="str">
        <x:v>A (Completely Reliable)</x:v>
      </x:c>
      <x:c r="J281" s="5" t="str">
        <x:v>SOURCE QUOTE; unvalidated / superseded assessments</x:v>
      </x:c>
      <x:c r="L281" s="31" t="str">
        <x:v>D01, Markdown line 654; http://nas-1.tail55d152.ts.net:4100/static/2S_CONSULTING_NORDIC_OUTREACH_STRATEGY.html</x:v>
      </x:c>
    </x:row>
    <x:row r="282" ht="42" customHeight="1">
      <x:c r="A282" s="5" t="str">
        <x:v>D01</x:v>
      </x:c>
      <x:c r="B282" s="5" t="str">
        <x:v>D01-T08</x:v>
      </x:c>
      <x:c r="C282" s="5" t="str">
        <x:v>12.2 NATO STANAG 2017/2018 Admiralty Audit ($\ge \text{B2}$)</x:v>
      </x:c>
      <x:c r="D282" s="5" t="n">
        <x:v>654</x:v>
      </x:c>
      <x:c r="E282" s="5" t="n">
        <x:v>5</x:v>
      </x:c>
      <x:c r="F282" s="5" t="str">
        <x:v>Information Credibility</x:v>
      </x:c>
      <x:c r="G282" s="5" t="n">
        <x:v>1</x:v>
      </x:c>
      <x:c r="H282" s="5" t="n">
        <x:v>1</x:v>
      </x:c>
      <x:c r="I282" s="5" t="str">
        <x:v>1 (Confirmed by Other Sources)</x:v>
      </x:c>
      <x:c r="J282" s="5" t="str">
        <x:v>SOURCE QUOTE; unvalidated / superseded assessments</x:v>
      </x:c>
      <x:c r="L282" s="31" t="str">
        <x:v>D01, Markdown line 654; http://nas-1.tail55d152.ts.net:4100/static/2S_CONSULTING_NORDIC_OUTREACH_STRATEGY.html</x:v>
      </x:c>
    </x:row>
    <x:row r="283" ht="42" customHeight="1">
      <x:c r="A283" s="5" t="str">
        <x:v>D01</x:v>
      </x:c>
      <x:c r="B283" s="5" t="str">
        <x:v>D01-T08</x:v>
      </x:c>
      <x:c r="C283" s="5" t="str">
        <x:v>12.2 NATO STANAG 2017/2018 Admiralty Audit ($\ge \text{B2}$)</x:v>
      </x:c>
      <x:c r="D283" s="5" t="n">
        <x:v>654</x:v>
      </x:c>
      <x:c r="E283" s="5" t="n">
        <x:v>6</x:v>
      </x:c>
      <x:c r="F283" s="5" t="str">
        <x:v>Combined Admiralty Rating</x:v>
      </x:c>
      <x:c r="G283" s="5" t="n">
        <x:v>1</x:v>
      </x:c>
      <x:c r="H283" s="5" t="n">
        <x:v>1</x:v>
      </x:c>
      <x:c r="I283" s="5" t="str">
        <x:v>A1</x:v>
      </x:c>
      <x:c r="J283" s="5" t="str">
        <x:v>SOURCE QUOTE; unvalidated / superseded assessments</x:v>
      </x:c>
      <x:c r="L283" s="31" t="str">
        <x:v>D01, Markdown line 654; http://nas-1.tail55d152.ts.net:4100/static/2S_CONSULTING_NORDIC_OUTREACH_STRATEGY.html</x:v>
      </x:c>
    </x:row>
    <x:row r="284" ht="42" customHeight="1">
      <x:c r="A284" s="5" t="str">
        <x:v>D01</x:v>
      </x:c>
      <x:c r="B284" s="5" t="str">
        <x:v>D01-T08</x:v>
      </x:c>
      <x:c r="C284" s="5" t="str">
        <x:v>12.2 NATO STANAG 2017/2018 Admiralty Audit ($\ge \text{B2}$)</x:v>
      </x:c>
      <x:c r="D284" s="5" t="n">
        <x:v>654</x:v>
      </x:c>
      <x:c r="E284" s="5" t="n">
        <x:v>7</x:v>
      </x:c>
      <x:c r="F284" s="5" t="str">
        <x:v>Audit Status</x:v>
      </x:c>
      <x:c r="G284" s="5" t="n">
        <x:v>1</x:v>
      </x:c>
      <x:c r="H284" s="5" t="n">
        <x:v>1</x:v>
      </x:c>
      <x:c r="I284" s="5" t="str">
        <x:v>PASS</x:v>
      </x:c>
      <x:c r="J284" s="5" t="str">
        <x:v>SOURCE QUOTE; unvalidated / superseded assessments</x:v>
      </x:c>
      <x:c r="L284" s="31" t="str">
        <x:v>D01, Markdown line 654; http://nas-1.tail55d152.ts.net:4100/static/2S_CONSULTING_NORDIC_OUTREACH_STRATEGY.html</x:v>
      </x:c>
    </x:row>
    <x:row r="285" ht="42" customHeight="1">
      <x:c r="A285" s="5" t="str">
        <x:v>D01</x:v>
      </x:c>
      <x:c r="B285" s="5" t="str">
        <x:v>D01-T08</x:v>
      </x:c>
      <x:c r="C285" s="5" t="str">
        <x:v>12.2 NATO STANAG 2017/2018 Admiralty Audit ($\ge \text{B2}$)</x:v>
      </x:c>
      <x:c r="D285" s="5" t="n">
        <x:v>655</x:v>
      </x:c>
      <x:c r="E285" s="5" t="n">
        <x:v>1</x:v>
      </x:c>
      <x:c r="F285" s="5" t="str">
        <x:v>Commercial Entity</x:v>
      </x:c>
      <x:c r="G285" s="5" t="n">
        <x:v>1</x:v>
      </x:c>
      <x:c r="H285" s="5" t="n">
        <x:v>1</x:v>
      </x:c>
      <x:c r="I285" s="5" t="str">
        <x:v>Novo Nordisk A/S</x:v>
      </x:c>
      <x:c r="J285" s="5" t="str">
        <x:v>SOURCE QUOTE; unvalidated / superseded assessments</x:v>
      </x:c>
      <x:c r="L285" s="31" t="str">
        <x:v>D01, Markdown line 655; http://nas-1.tail55d152.ts.net:4100/static/2S_CONSULTING_NORDIC_OUTREACH_STRATEGY.html</x:v>
      </x:c>
    </x:row>
    <x:row r="286" ht="42" customHeight="1">
      <x:c r="A286" s="5" t="str">
        <x:v>D01</x:v>
      </x:c>
      <x:c r="B286" s="5" t="str">
        <x:v>D01-T08</x:v>
      </x:c>
      <x:c r="C286" s="5" t="str">
        <x:v>12.2 NATO STANAG 2017/2018 Admiralty Audit ($\ge \text{B2}$)</x:v>
      </x:c>
      <x:c r="D286" s="5" t="n">
        <x:v>655</x:v>
      </x:c>
      <x:c r="E286" s="5" t="n">
        <x:v>2</x:v>
      </x:c>
      <x:c r="F286" s="5" t="str">
        <x:v>Country</x:v>
      </x:c>
      <x:c r="G286" s="5" t="n">
        <x:v>1</x:v>
      </x:c>
      <x:c r="H286" s="5" t="n">
        <x:v>1</x:v>
      </x:c>
      <x:c r="I286" s="5" t="str">
        <x:v>Denmark</x:v>
      </x:c>
      <x:c r="J286" s="5" t="str">
        <x:v>SOURCE QUOTE; unvalidated / superseded assessments</x:v>
      </x:c>
      <x:c r="L286" s="31" t="str">
        <x:v>D01, Markdown line 655; http://nas-1.tail55d152.ts.net:4100/static/2S_CONSULTING_NORDIC_OUTREACH_STRATEGY.html</x:v>
      </x:c>
    </x:row>
    <x:row r="287" ht="42" customHeight="1">
      <x:c r="A287" s="5" t="str">
        <x:v>D01</x:v>
      </x:c>
      <x:c r="B287" s="5" t="str">
        <x:v>D01-T08</x:v>
      </x:c>
      <x:c r="C287" s="5" t="str">
        <x:v>12.2 NATO STANAG 2017/2018 Admiralty Audit ($\ge \text{B2}$)</x:v>
      </x:c>
      <x:c r="D287" s="5" t="n">
        <x:v>655</x:v>
      </x:c>
      <x:c r="E287" s="5" t="n">
        <x:v>3</x:v>
      </x:c>
      <x:c r="F287" s="5" t="str">
        <x:v>Intelligence Source</x:v>
      </x:c>
      <x:c r="G287" s="5" t="n">
        <x:v>1</x:v>
      </x:c>
      <x:c r="H287" s="5" t="n">
        <x:v>1</x:v>
      </x:c>
      <x:c r="I287" s="5" t="str">
        <x:v>Nasdaq Copenhagen, SEC Form 20-F</x:v>
      </x:c>
      <x:c r="J287" s="5" t="str">
        <x:v>SOURCE QUOTE; unvalidated / superseded assessments</x:v>
      </x:c>
      <x:c r="L287" s="31" t="str">
        <x:v>D01, Markdown line 655; http://nas-1.tail55d152.ts.net:4100/static/2S_CONSULTING_NORDIC_OUTREACH_STRATEGY.html</x:v>
      </x:c>
    </x:row>
    <x:row r="288" ht="42" customHeight="1">
      <x:c r="A288" s="5" t="str">
        <x:v>D01</x:v>
      </x:c>
      <x:c r="B288" s="5" t="str">
        <x:v>D01-T08</x:v>
      </x:c>
      <x:c r="C288" s="5" t="str">
        <x:v>12.2 NATO STANAG 2017/2018 Admiralty Audit ($\ge \text{B2}$)</x:v>
      </x:c>
      <x:c r="D288" s="5" t="n">
        <x:v>655</x:v>
      </x:c>
      <x:c r="E288" s="5" t="n">
        <x:v>4</x:v>
      </x:c>
      <x:c r="F288" s="5" t="str">
        <x:v>Source Reliability</x:v>
      </x:c>
      <x:c r="G288" s="5" t="n">
        <x:v>1</x:v>
      </x:c>
      <x:c r="H288" s="5" t="n">
        <x:v>1</x:v>
      </x:c>
      <x:c r="I288" s="5" t="str">
        <x:v>A (Completely Reliable)</x:v>
      </x:c>
      <x:c r="J288" s="5" t="str">
        <x:v>SOURCE QUOTE; unvalidated / superseded assessments</x:v>
      </x:c>
      <x:c r="L288" s="31" t="str">
        <x:v>D01, Markdown line 655; http://nas-1.tail55d152.ts.net:4100/static/2S_CONSULTING_NORDIC_OUTREACH_STRATEGY.html</x:v>
      </x:c>
    </x:row>
    <x:row r="289" ht="42" customHeight="1">
      <x:c r="A289" s="5" t="str">
        <x:v>D01</x:v>
      </x:c>
      <x:c r="B289" s="5" t="str">
        <x:v>D01-T08</x:v>
      </x:c>
      <x:c r="C289" s="5" t="str">
        <x:v>12.2 NATO STANAG 2017/2018 Admiralty Audit ($\ge \text{B2}$)</x:v>
      </x:c>
      <x:c r="D289" s="5" t="n">
        <x:v>655</x:v>
      </x:c>
      <x:c r="E289" s="5" t="n">
        <x:v>5</x:v>
      </x:c>
      <x:c r="F289" s="5" t="str">
        <x:v>Information Credibility</x:v>
      </x:c>
      <x:c r="G289" s="5" t="n">
        <x:v>1</x:v>
      </x:c>
      <x:c r="H289" s="5" t="n">
        <x:v>1</x:v>
      </x:c>
      <x:c r="I289" s="5" t="str">
        <x:v>1 (Confirmed by Other Sources)</x:v>
      </x:c>
      <x:c r="J289" s="5" t="str">
        <x:v>SOURCE QUOTE; unvalidated / superseded assessments</x:v>
      </x:c>
      <x:c r="L289" s="31" t="str">
        <x:v>D01, Markdown line 655; http://nas-1.tail55d152.ts.net:4100/static/2S_CONSULTING_NORDIC_OUTREACH_STRATEGY.html</x:v>
      </x:c>
    </x:row>
    <x:row r="290" ht="42" customHeight="1">
      <x:c r="A290" s="5" t="str">
        <x:v>D01</x:v>
      </x:c>
      <x:c r="B290" s="5" t="str">
        <x:v>D01-T08</x:v>
      </x:c>
      <x:c r="C290" s="5" t="str">
        <x:v>12.2 NATO STANAG 2017/2018 Admiralty Audit ($\ge \text{B2}$)</x:v>
      </x:c>
      <x:c r="D290" s="5" t="n">
        <x:v>655</x:v>
      </x:c>
      <x:c r="E290" s="5" t="n">
        <x:v>6</x:v>
      </x:c>
      <x:c r="F290" s="5" t="str">
        <x:v>Combined Admiralty Rating</x:v>
      </x:c>
      <x:c r="G290" s="5" t="n">
        <x:v>1</x:v>
      </x:c>
      <x:c r="H290" s="5" t="n">
        <x:v>1</x:v>
      </x:c>
      <x:c r="I290" s="5" t="str">
        <x:v>A1</x:v>
      </x:c>
      <x:c r="J290" s="5" t="str">
        <x:v>SOURCE QUOTE; unvalidated / superseded assessments</x:v>
      </x:c>
      <x:c r="L290" s="31" t="str">
        <x:v>D01, Markdown line 655; http://nas-1.tail55d152.ts.net:4100/static/2S_CONSULTING_NORDIC_OUTREACH_STRATEGY.html</x:v>
      </x:c>
    </x:row>
    <x:row r="291" ht="42" customHeight="1">
      <x:c r="A291" s="5" t="str">
        <x:v>D01</x:v>
      </x:c>
      <x:c r="B291" s="5" t="str">
        <x:v>D01-T08</x:v>
      </x:c>
      <x:c r="C291" s="5" t="str">
        <x:v>12.2 NATO STANAG 2017/2018 Admiralty Audit ($\ge \text{B2}$)</x:v>
      </x:c>
      <x:c r="D291" s="5" t="n">
        <x:v>655</x:v>
      </x:c>
      <x:c r="E291" s="5" t="n">
        <x:v>7</x:v>
      </x:c>
      <x:c r="F291" s="5" t="str">
        <x:v>Audit Status</x:v>
      </x:c>
      <x:c r="G291" s="5" t="n">
        <x:v>1</x:v>
      </x:c>
      <x:c r="H291" s="5" t="n">
        <x:v>1</x:v>
      </x:c>
      <x:c r="I291" s="5" t="str">
        <x:v>PASS</x:v>
      </x:c>
      <x:c r="J291" s="5" t="str">
        <x:v>SOURCE QUOTE; unvalidated / superseded assessments</x:v>
      </x:c>
      <x:c r="L291" s="31" t="str">
        <x:v>D01, Markdown line 655; http://nas-1.tail55d152.ts.net:4100/static/2S_CONSULTING_NORDIC_OUTREACH_STRATEGY.html</x:v>
      </x:c>
    </x:row>
    <x:row r="292" ht="42" customHeight="1">
      <x:c r="A292" s="5" t="str">
        <x:v>D01</x:v>
      </x:c>
      <x:c r="B292" s="5" t="str">
        <x:v>D01-T08</x:v>
      </x:c>
      <x:c r="C292" s="5" t="str">
        <x:v>12.2 NATO STANAG 2017/2018 Admiralty Audit ($\ge \text{B2}$)</x:v>
      </x:c>
      <x:c r="D292" s="5" t="n">
        <x:v>656</x:v>
      </x:c>
      <x:c r="E292" s="5" t="n">
        <x:v>1</x:v>
      </x:c>
      <x:c r="F292" s="5" t="str">
        <x:v>Commercial Entity</x:v>
      </x:c>
      <x:c r="G292" s="5" t="n">
        <x:v>1</x:v>
      </x:c>
      <x:c r="H292" s="5" t="n">
        <x:v>1</x:v>
      </x:c>
      <x:c r="I292" s="5" t="str">
        <x:v>AstraZeneca AB</x:v>
      </x:c>
      <x:c r="J292" s="5" t="str">
        <x:v>SOURCE QUOTE; unvalidated / superseded assessments</x:v>
      </x:c>
      <x:c r="L292" s="31" t="str">
        <x:v>D01, Markdown line 656; http://nas-1.tail55d152.ts.net:4100/static/2S_CONSULTING_NORDIC_OUTREACH_STRATEGY.html</x:v>
      </x:c>
    </x:row>
    <x:row r="293" ht="42" customHeight="1">
      <x:c r="A293" s="5" t="str">
        <x:v>D01</x:v>
      </x:c>
      <x:c r="B293" s="5" t="str">
        <x:v>D01-T08</x:v>
      </x:c>
      <x:c r="C293" s="5" t="str">
        <x:v>12.2 NATO STANAG 2017/2018 Admiralty Audit ($\ge \text{B2}$)</x:v>
      </x:c>
      <x:c r="D293" s="5" t="n">
        <x:v>656</x:v>
      </x:c>
      <x:c r="E293" s="5" t="n">
        <x:v>2</x:v>
      </x:c>
      <x:c r="F293" s="5" t="str">
        <x:v>Country</x:v>
      </x:c>
      <x:c r="G293" s="5" t="n">
        <x:v>1</x:v>
      </x:c>
      <x:c r="H293" s="5" t="n">
        <x:v>1</x:v>
      </x:c>
      <x:c r="I293" s="5" t="str">
        <x:v>Sweden</x:v>
      </x:c>
      <x:c r="J293" s="5" t="str">
        <x:v>SOURCE QUOTE; unvalidated / superseded assessments</x:v>
      </x:c>
      <x:c r="L293" s="31" t="str">
        <x:v>D01, Markdown line 656; http://nas-1.tail55d152.ts.net:4100/static/2S_CONSULTING_NORDIC_OUTREACH_STRATEGY.html</x:v>
      </x:c>
    </x:row>
    <x:row r="294" ht="42" customHeight="1">
      <x:c r="A294" s="5" t="str">
        <x:v>D01</x:v>
      </x:c>
      <x:c r="B294" s="5" t="str">
        <x:v>D01-T08</x:v>
      </x:c>
      <x:c r="C294" s="5" t="str">
        <x:v>12.2 NATO STANAG 2017/2018 Admiralty Audit ($\ge \text{B2}$)</x:v>
      </x:c>
      <x:c r="D294" s="5" t="n">
        <x:v>656</x:v>
      </x:c>
      <x:c r="E294" s="5" t="n">
        <x:v>3</x:v>
      </x:c>
      <x:c r="F294" s="5" t="str">
        <x:v>Intelligence Source</x:v>
      </x:c>
      <x:c r="G294" s="5" t="n">
        <x:v>1</x:v>
      </x:c>
      <x:c r="H294" s="5" t="n">
        <x:v>1</x:v>
      </x:c>
      <x:c r="I294" s="5" t="str">
        <x:v>Audited Global Filings, Gothenburg Site Disclosures</x:v>
      </x:c>
      <x:c r="J294" s="5" t="str">
        <x:v>SOURCE QUOTE; unvalidated / superseded assessments</x:v>
      </x:c>
      <x:c r="L294" s="31" t="str">
        <x:v>D01, Markdown line 656; http://nas-1.tail55d152.ts.net:4100/static/2S_CONSULTING_NORDIC_OUTREACH_STRATEGY.html</x:v>
      </x:c>
    </x:row>
    <x:row r="295" ht="42" customHeight="1">
      <x:c r="A295" s="5" t="str">
        <x:v>D01</x:v>
      </x:c>
      <x:c r="B295" s="5" t="str">
        <x:v>D01-T08</x:v>
      </x:c>
      <x:c r="C295" s="5" t="str">
        <x:v>12.2 NATO STANAG 2017/2018 Admiralty Audit ($\ge \text{B2}$)</x:v>
      </x:c>
      <x:c r="D295" s="5" t="n">
        <x:v>656</x:v>
      </x:c>
      <x:c r="E295" s="5" t="n">
        <x:v>4</x:v>
      </x:c>
      <x:c r="F295" s="5" t="str">
        <x:v>Source Reliability</x:v>
      </x:c>
      <x:c r="G295" s="5" t="n">
        <x:v>1</x:v>
      </x:c>
      <x:c r="H295" s="5" t="n">
        <x:v>1</x:v>
      </x:c>
      <x:c r="I295" s="5" t="str">
        <x:v>A (Completely Reliable)</x:v>
      </x:c>
      <x:c r="J295" s="5" t="str">
        <x:v>SOURCE QUOTE; unvalidated / superseded assessments</x:v>
      </x:c>
      <x:c r="L295" s="31" t="str">
        <x:v>D01, Markdown line 656; http://nas-1.tail55d152.ts.net:4100/static/2S_CONSULTING_NORDIC_OUTREACH_STRATEGY.html</x:v>
      </x:c>
    </x:row>
    <x:row r="296" ht="42" customHeight="1">
      <x:c r="A296" s="5" t="str">
        <x:v>D01</x:v>
      </x:c>
      <x:c r="B296" s="5" t="str">
        <x:v>D01-T08</x:v>
      </x:c>
      <x:c r="C296" s="5" t="str">
        <x:v>12.2 NATO STANAG 2017/2018 Admiralty Audit ($\ge \text{B2}$)</x:v>
      </x:c>
      <x:c r="D296" s="5" t="n">
        <x:v>656</x:v>
      </x:c>
      <x:c r="E296" s="5" t="n">
        <x:v>5</x:v>
      </x:c>
      <x:c r="F296" s="5" t="str">
        <x:v>Information Credibility</x:v>
      </x:c>
      <x:c r="G296" s="5" t="n">
        <x:v>1</x:v>
      </x:c>
      <x:c r="H296" s="5" t="n">
        <x:v>1</x:v>
      </x:c>
      <x:c r="I296" s="5" t="str">
        <x:v>1 (Confirmed by Other Sources)</x:v>
      </x:c>
      <x:c r="J296" s="5" t="str">
        <x:v>SOURCE QUOTE; unvalidated / superseded assessments</x:v>
      </x:c>
      <x:c r="L296" s="31" t="str">
        <x:v>D01, Markdown line 656; http://nas-1.tail55d152.ts.net:4100/static/2S_CONSULTING_NORDIC_OUTREACH_STRATEGY.html</x:v>
      </x:c>
    </x:row>
    <x:row r="297" ht="42" customHeight="1">
      <x:c r="A297" s="5" t="str">
        <x:v>D01</x:v>
      </x:c>
      <x:c r="B297" s="5" t="str">
        <x:v>D01-T08</x:v>
      </x:c>
      <x:c r="C297" s="5" t="str">
        <x:v>12.2 NATO STANAG 2017/2018 Admiralty Audit ($\ge \text{B2}$)</x:v>
      </x:c>
      <x:c r="D297" s="5" t="n">
        <x:v>656</x:v>
      </x:c>
      <x:c r="E297" s="5" t="n">
        <x:v>6</x:v>
      </x:c>
      <x:c r="F297" s="5" t="str">
        <x:v>Combined Admiralty Rating</x:v>
      </x:c>
      <x:c r="G297" s="5" t="n">
        <x:v>1</x:v>
      </x:c>
      <x:c r="H297" s="5" t="n">
        <x:v>1</x:v>
      </x:c>
      <x:c r="I297" s="5" t="str">
        <x:v>A1</x:v>
      </x:c>
      <x:c r="J297" s="5" t="str">
        <x:v>SOURCE QUOTE; unvalidated / superseded assessments</x:v>
      </x:c>
      <x:c r="L297" s="31" t="str">
        <x:v>D01, Markdown line 656; http://nas-1.tail55d152.ts.net:4100/static/2S_CONSULTING_NORDIC_OUTREACH_STRATEGY.html</x:v>
      </x:c>
    </x:row>
    <x:row r="298" ht="42" customHeight="1">
      <x:c r="A298" s="5" t="str">
        <x:v>D01</x:v>
      </x:c>
      <x:c r="B298" s="5" t="str">
        <x:v>D01-T08</x:v>
      </x:c>
      <x:c r="C298" s="5" t="str">
        <x:v>12.2 NATO STANAG 2017/2018 Admiralty Audit ($\ge \text{B2}$)</x:v>
      </x:c>
      <x:c r="D298" s="5" t="n">
        <x:v>656</x:v>
      </x:c>
      <x:c r="E298" s="5" t="n">
        <x:v>7</x:v>
      </x:c>
      <x:c r="F298" s="5" t="str">
        <x:v>Audit Status</x:v>
      </x:c>
      <x:c r="G298" s="5" t="n">
        <x:v>1</x:v>
      </x:c>
      <x:c r="H298" s="5" t="n">
        <x:v>1</x:v>
      </x:c>
      <x:c r="I298" s="5" t="str">
        <x:v>PASS</x:v>
      </x:c>
      <x:c r="J298" s="5" t="str">
        <x:v>SOURCE QUOTE; unvalidated / superseded assessments</x:v>
      </x:c>
      <x:c r="L298" s="31" t="str">
        <x:v>D01, Markdown line 656; http://nas-1.tail55d152.ts.net:4100/static/2S_CONSULTING_NORDIC_OUTREACH_STRATEGY.html</x:v>
      </x:c>
    </x:row>
    <x:row r="299" ht="42" customHeight="1">
      <x:c r="A299" s="5" t="str">
        <x:v>D01</x:v>
      </x:c>
      <x:c r="B299" s="5" t="str">
        <x:v>D01-T08</x:v>
      </x:c>
      <x:c r="C299" s="5" t="str">
        <x:v>12.2 NATO STANAG 2017/2018 Admiralty Audit ($\ge \text{B2}$)</x:v>
      </x:c>
      <x:c r="D299" s="5" t="n">
        <x:v>657</x:v>
      </x:c>
      <x:c r="E299" s="5" t="n">
        <x:v>1</x:v>
      </x:c>
      <x:c r="F299" s="5" t="str">
        <x:v>Commercial Entity</x:v>
      </x:c>
      <x:c r="G299" s="5" t="n">
        <x:v>1</x:v>
      </x:c>
      <x:c r="H299" s="5" t="n">
        <x:v>1</x:v>
      </x:c>
      <x:c r="I299" s="5" t="str">
        <x:v>Camurus AB</x:v>
      </x:c>
      <x:c r="J299" s="5" t="str">
        <x:v>SOURCE QUOTE; unvalidated / superseded assessments</x:v>
      </x:c>
      <x:c r="L299" s="31" t="str">
        <x:v>D01, Markdown line 657; http://nas-1.tail55d152.ts.net:4100/static/2S_CONSULTING_NORDIC_OUTREACH_STRATEGY.html</x:v>
      </x:c>
    </x:row>
    <x:row r="300" ht="42" customHeight="1">
      <x:c r="A300" s="5" t="str">
        <x:v>D01</x:v>
      </x:c>
      <x:c r="B300" s="5" t="str">
        <x:v>D01-T08</x:v>
      </x:c>
      <x:c r="C300" s="5" t="str">
        <x:v>12.2 NATO STANAG 2017/2018 Admiralty Audit ($\ge \text{B2}$)</x:v>
      </x:c>
      <x:c r="D300" s="5" t="n">
        <x:v>657</x:v>
      </x:c>
      <x:c r="E300" s="5" t="n">
        <x:v>2</x:v>
      </x:c>
      <x:c r="F300" s="5" t="str">
        <x:v>Country</x:v>
      </x:c>
      <x:c r="G300" s="5" t="n">
        <x:v>1</x:v>
      </x:c>
      <x:c r="H300" s="5" t="n">
        <x:v>1</x:v>
      </x:c>
      <x:c r="I300" s="5" t="str">
        <x:v>Sweden</x:v>
      </x:c>
      <x:c r="J300" s="5" t="str">
        <x:v>SOURCE QUOTE; unvalidated / superseded assessments</x:v>
      </x:c>
      <x:c r="L300" s="31" t="str">
        <x:v>D01, Markdown line 657; http://nas-1.tail55d152.ts.net:4100/static/2S_CONSULTING_NORDIC_OUTREACH_STRATEGY.html</x:v>
      </x:c>
    </x:row>
    <x:row r="301" ht="42" customHeight="1">
      <x:c r="A301" s="5" t="str">
        <x:v>D01</x:v>
      </x:c>
      <x:c r="B301" s="5" t="str">
        <x:v>D01-T08</x:v>
      </x:c>
      <x:c r="C301" s="5" t="str">
        <x:v>12.2 NATO STANAG 2017/2018 Admiralty Audit ($\ge \text{B2}$)</x:v>
      </x:c>
      <x:c r="D301" s="5" t="n">
        <x:v>657</x:v>
      </x:c>
      <x:c r="E301" s="5" t="n">
        <x:v>3</x:v>
      </x:c>
      <x:c r="F301" s="5" t="str">
        <x:v>Intelligence Source</x:v>
      </x:c>
      <x:c r="G301" s="5" t="n">
        <x:v>1</x:v>
      </x:c>
      <x:c r="H301" s="5" t="n">
        <x:v>1</x:v>
      </x:c>
      <x:c r="I301" s="5" t="str">
        <x:v>Nasdaq Stockholm, European Medicines Agency (EMA)</x:v>
      </x:c>
      <x:c r="J301" s="5" t="str">
        <x:v>SOURCE QUOTE; unvalidated / superseded assessments</x:v>
      </x:c>
      <x:c r="L301" s="31" t="str">
        <x:v>D01, Markdown line 657; http://nas-1.tail55d152.ts.net:4100/static/2S_CONSULTING_NORDIC_OUTREACH_STRATEGY.html</x:v>
      </x:c>
    </x:row>
    <x:row r="302" ht="42" customHeight="1">
      <x:c r="A302" s="5" t="str">
        <x:v>D01</x:v>
      </x:c>
      <x:c r="B302" s="5" t="str">
        <x:v>D01-T08</x:v>
      </x:c>
      <x:c r="C302" s="5" t="str">
        <x:v>12.2 NATO STANAG 2017/2018 Admiralty Audit ($\ge \text{B2}$)</x:v>
      </x:c>
      <x:c r="D302" s="5" t="n">
        <x:v>657</x:v>
      </x:c>
      <x:c r="E302" s="5" t="n">
        <x:v>4</x:v>
      </x:c>
      <x:c r="F302" s="5" t="str">
        <x:v>Source Reliability</x:v>
      </x:c>
      <x:c r="G302" s="5" t="n">
        <x:v>1</x:v>
      </x:c>
      <x:c r="H302" s="5" t="n">
        <x:v>1</x:v>
      </x:c>
      <x:c r="I302" s="5" t="str">
        <x:v>A (Completely Reliable)</x:v>
      </x:c>
      <x:c r="J302" s="5" t="str">
        <x:v>SOURCE QUOTE; unvalidated / superseded assessments</x:v>
      </x:c>
      <x:c r="L302" s="31" t="str">
        <x:v>D01, Markdown line 657; http://nas-1.tail55d152.ts.net:4100/static/2S_CONSULTING_NORDIC_OUTREACH_STRATEGY.html</x:v>
      </x:c>
    </x:row>
    <x:row r="303" ht="42" customHeight="1">
      <x:c r="A303" s="5" t="str">
        <x:v>D01</x:v>
      </x:c>
      <x:c r="B303" s="5" t="str">
        <x:v>D01-T08</x:v>
      </x:c>
      <x:c r="C303" s="5" t="str">
        <x:v>12.2 NATO STANAG 2017/2018 Admiralty Audit ($\ge \text{B2}$)</x:v>
      </x:c>
      <x:c r="D303" s="5" t="n">
        <x:v>657</x:v>
      </x:c>
      <x:c r="E303" s="5" t="n">
        <x:v>5</x:v>
      </x:c>
      <x:c r="F303" s="5" t="str">
        <x:v>Information Credibility</x:v>
      </x:c>
      <x:c r="G303" s="5" t="n">
        <x:v>1</x:v>
      </x:c>
      <x:c r="H303" s="5" t="n">
        <x:v>1</x:v>
      </x:c>
      <x:c r="I303" s="5" t="str">
        <x:v>1 (Confirmed by Other Sources)</x:v>
      </x:c>
      <x:c r="J303" s="5" t="str">
        <x:v>SOURCE QUOTE; unvalidated / superseded assessments</x:v>
      </x:c>
      <x:c r="L303" s="31" t="str">
        <x:v>D01, Markdown line 657; http://nas-1.tail55d152.ts.net:4100/static/2S_CONSULTING_NORDIC_OUTREACH_STRATEGY.html</x:v>
      </x:c>
    </x:row>
    <x:row r="304" ht="42" customHeight="1">
      <x:c r="A304" s="5" t="str">
        <x:v>D01</x:v>
      </x:c>
      <x:c r="B304" s="5" t="str">
        <x:v>D01-T08</x:v>
      </x:c>
      <x:c r="C304" s="5" t="str">
        <x:v>12.2 NATO STANAG 2017/2018 Admiralty Audit ($\ge \text{B2}$)</x:v>
      </x:c>
      <x:c r="D304" s="5" t="n">
        <x:v>657</x:v>
      </x:c>
      <x:c r="E304" s="5" t="n">
        <x:v>6</x:v>
      </x:c>
      <x:c r="F304" s="5" t="str">
        <x:v>Combined Admiralty Rating</x:v>
      </x:c>
      <x:c r="G304" s="5" t="n">
        <x:v>1</x:v>
      </x:c>
      <x:c r="H304" s="5" t="n">
        <x:v>1</x:v>
      </x:c>
      <x:c r="I304" s="5" t="str">
        <x:v>A1</x:v>
      </x:c>
      <x:c r="J304" s="5" t="str">
        <x:v>SOURCE QUOTE; unvalidated / superseded assessments</x:v>
      </x:c>
      <x:c r="L304" s="31" t="str">
        <x:v>D01, Markdown line 657; http://nas-1.tail55d152.ts.net:4100/static/2S_CONSULTING_NORDIC_OUTREACH_STRATEGY.html</x:v>
      </x:c>
    </x:row>
    <x:row r="305" ht="42" customHeight="1">
      <x:c r="A305" s="5" t="str">
        <x:v>D01</x:v>
      </x:c>
      <x:c r="B305" s="5" t="str">
        <x:v>D01-T08</x:v>
      </x:c>
      <x:c r="C305" s="5" t="str">
        <x:v>12.2 NATO STANAG 2017/2018 Admiralty Audit ($\ge \text{B2}$)</x:v>
      </x:c>
      <x:c r="D305" s="5" t="n">
        <x:v>657</x:v>
      </x:c>
      <x:c r="E305" s="5" t="n">
        <x:v>7</x:v>
      </x:c>
      <x:c r="F305" s="5" t="str">
        <x:v>Audit Status</x:v>
      </x:c>
      <x:c r="G305" s="5" t="n">
        <x:v>1</x:v>
      </x:c>
      <x:c r="H305" s="5" t="n">
        <x:v>1</x:v>
      </x:c>
      <x:c r="I305" s="5" t="str">
        <x:v>PASS</x:v>
      </x:c>
      <x:c r="J305" s="5" t="str">
        <x:v>SOURCE QUOTE; unvalidated / superseded assessments</x:v>
      </x:c>
      <x:c r="L305" s="31" t="str">
        <x:v>D01, Markdown line 657; http://nas-1.tail55d152.ts.net:4100/static/2S_CONSULTING_NORDIC_OUTREACH_STRATEGY.html</x:v>
      </x:c>
    </x:row>
    <x:row r="306" ht="42" customHeight="1">
      <x:c r="A306" s="5" t="str">
        <x:v>D01</x:v>
      </x:c>
      <x:c r="B306" s="5" t="str">
        <x:v>D01-T08</x:v>
      </x:c>
      <x:c r="C306" s="5" t="str">
        <x:v>12.2 NATO STANAG 2017/2018 Admiralty Audit ($\ge \text{B2}$)</x:v>
      </x:c>
      <x:c r="D306" s="5" t="n">
        <x:v>658</x:v>
      </x:c>
      <x:c r="E306" s="5" t="n">
        <x:v>1</x:v>
      </x:c>
      <x:c r="F306" s="5" t="str">
        <x:v>Commercial Entity</x:v>
      </x:c>
      <x:c r="G306" s="5" t="n">
        <x:v>1</x:v>
      </x:c>
      <x:c r="H306" s="5" t="n">
        <x:v>1</x:v>
      </x:c>
      <x:c r="I306" s="5" t="str">
        <x:v>Cambrex Karlskoga</x:v>
      </x:c>
      <x:c r="J306" s="5" t="str">
        <x:v>SOURCE QUOTE; unvalidated / superseded assessments</x:v>
      </x:c>
      <x:c r="L306" s="31" t="str">
        <x:v>D01, Markdown line 658; http://nas-1.tail55d152.ts.net:4100/static/2S_CONSULTING_NORDIC_OUTREACH_STRATEGY.html</x:v>
      </x:c>
    </x:row>
    <x:row r="307" ht="42" customHeight="1">
      <x:c r="A307" s="5" t="str">
        <x:v>D01</x:v>
      </x:c>
      <x:c r="B307" s="5" t="str">
        <x:v>D01-T08</x:v>
      </x:c>
      <x:c r="C307" s="5" t="str">
        <x:v>12.2 NATO STANAG 2017/2018 Admiralty Audit ($\ge \text{B2}$)</x:v>
      </x:c>
      <x:c r="D307" s="5" t="n">
        <x:v>658</x:v>
      </x:c>
      <x:c r="E307" s="5" t="n">
        <x:v>2</x:v>
      </x:c>
      <x:c r="F307" s="5" t="str">
        <x:v>Country</x:v>
      </x:c>
      <x:c r="G307" s="5" t="n">
        <x:v>1</x:v>
      </x:c>
      <x:c r="H307" s="5" t="n">
        <x:v>1</x:v>
      </x:c>
      <x:c r="I307" s="5" t="str">
        <x:v>Sweden</x:v>
      </x:c>
      <x:c r="J307" s="5" t="str">
        <x:v>SOURCE QUOTE; unvalidated / superseded assessments</x:v>
      </x:c>
      <x:c r="L307" s="31" t="str">
        <x:v>D01, Markdown line 658; http://nas-1.tail55d152.ts.net:4100/static/2S_CONSULTING_NORDIC_OUTREACH_STRATEGY.html</x:v>
      </x:c>
    </x:row>
    <x:row r="308" ht="42" customHeight="1">
      <x:c r="A308" s="5" t="str">
        <x:v>D01</x:v>
      </x:c>
      <x:c r="B308" s="5" t="str">
        <x:v>D01-T08</x:v>
      </x:c>
      <x:c r="C308" s="5" t="str">
        <x:v>12.2 NATO STANAG 2017/2018 Admiralty Audit ($\ge \text{B2}$)</x:v>
      </x:c>
      <x:c r="D308" s="5" t="n">
        <x:v>658</x:v>
      </x:c>
      <x:c r="E308" s="5" t="n">
        <x:v>3</x:v>
      </x:c>
      <x:c r="F308" s="5" t="str">
        <x:v>Intelligence Source</x:v>
      </x:c>
      <x:c r="G308" s="5" t="n">
        <x:v>1</x:v>
      </x:c>
      <x:c r="H308" s="5" t="n">
        <x:v>1</x:v>
      </x:c>
      <x:c r="I308" s="5" t="str">
        <x:v>Swedish Chemical Inspectorate (Kemi), Bolagsverket</x:v>
      </x:c>
      <x:c r="J308" s="5" t="str">
        <x:v>SOURCE QUOTE; unvalidated / superseded assessments</x:v>
      </x:c>
      <x:c r="L308" s="31" t="str">
        <x:v>D01, Markdown line 658; http://nas-1.tail55d152.ts.net:4100/static/2S_CONSULTING_NORDIC_OUTREACH_STRATEGY.html</x:v>
      </x:c>
    </x:row>
    <x:row r="309" ht="42" customHeight="1">
      <x:c r="A309" s="5" t="str">
        <x:v>D01</x:v>
      </x:c>
      <x:c r="B309" s="5" t="str">
        <x:v>D01-T08</x:v>
      </x:c>
      <x:c r="C309" s="5" t="str">
        <x:v>12.2 NATO STANAG 2017/2018 Admiralty Audit ($\ge \text{B2}$)</x:v>
      </x:c>
      <x:c r="D309" s="5" t="n">
        <x:v>658</x:v>
      </x:c>
      <x:c r="E309" s="5" t="n">
        <x:v>4</x:v>
      </x:c>
      <x:c r="F309" s="5" t="str">
        <x:v>Source Reliability</x:v>
      </x:c>
      <x:c r="G309" s="5" t="n">
        <x:v>1</x:v>
      </x:c>
      <x:c r="H309" s="5" t="n">
        <x:v>1</x:v>
      </x:c>
      <x:c r="I309" s="5" t="str">
        <x:v>B (Usually Reliable)</x:v>
      </x:c>
      <x:c r="J309" s="5" t="str">
        <x:v>SOURCE QUOTE; unvalidated / superseded assessments</x:v>
      </x:c>
      <x:c r="L309" s="31" t="str">
        <x:v>D01, Markdown line 658; http://nas-1.tail55d152.ts.net:4100/static/2S_CONSULTING_NORDIC_OUTREACH_STRATEGY.html</x:v>
      </x:c>
    </x:row>
    <x:row r="310" ht="42" customHeight="1">
      <x:c r="A310" s="5" t="str">
        <x:v>D01</x:v>
      </x:c>
      <x:c r="B310" s="5" t="str">
        <x:v>D01-T08</x:v>
      </x:c>
      <x:c r="C310" s="5" t="str">
        <x:v>12.2 NATO STANAG 2017/2018 Admiralty Audit ($\ge \text{B2}$)</x:v>
      </x:c>
      <x:c r="D310" s="5" t="n">
        <x:v>658</x:v>
      </x:c>
      <x:c r="E310" s="5" t="n">
        <x:v>5</x:v>
      </x:c>
      <x:c r="F310" s="5" t="str">
        <x:v>Information Credibility</x:v>
      </x:c>
      <x:c r="G310" s="5" t="n">
        <x:v>1</x:v>
      </x:c>
      <x:c r="H310" s="5" t="n">
        <x:v>1</x:v>
      </x:c>
      <x:c r="I310" s="5" t="str">
        <x:v>2 (Probably True)</x:v>
      </x:c>
      <x:c r="J310" s="5" t="str">
        <x:v>SOURCE QUOTE; unvalidated / superseded assessments</x:v>
      </x:c>
      <x:c r="L310" s="31" t="str">
        <x:v>D01, Markdown line 658; http://nas-1.tail55d152.ts.net:4100/static/2S_CONSULTING_NORDIC_OUTREACH_STRATEGY.html</x:v>
      </x:c>
    </x:row>
    <x:row r="311" ht="42" customHeight="1">
      <x:c r="A311" s="5" t="str">
        <x:v>D01</x:v>
      </x:c>
      <x:c r="B311" s="5" t="str">
        <x:v>D01-T08</x:v>
      </x:c>
      <x:c r="C311" s="5" t="str">
        <x:v>12.2 NATO STANAG 2017/2018 Admiralty Audit ($\ge \text{B2}$)</x:v>
      </x:c>
      <x:c r="D311" s="5" t="n">
        <x:v>658</x:v>
      </x:c>
      <x:c r="E311" s="5" t="n">
        <x:v>6</x:v>
      </x:c>
      <x:c r="F311" s="5" t="str">
        <x:v>Combined Admiralty Rating</x:v>
      </x:c>
      <x:c r="G311" s="5" t="n">
        <x:v>1</x:v>
      </x:c>
      <x:c r="H311" s="5" t="n">
        <x:v>1</x:v>
      </x:c>
      <x:c r="I311" s="5" t="str">
        <x:v>B2</x:v>
      </x:c>
      <x:c r="J311" s="5" t="str">
        <x:v>SOURCE QUOTE; unvalidated / superseded assessments</x:v>
      </x:c>
      <x:c r="L311" s="31" t="str">
        <x:v>D01, Markdown line 658; http://nas-1.tail55d152.ts.net:4100/static/2S_CONSULTING_NORDIC_OUTREACH_STRATEGY.html</x:v>
      </x:c>
    </x:row>
    <x:row r="312" ht="42" customHeight="1">
      <x:c r="A312" s="5" t="str">
        <x:v>D01</x:v>
      </x:c>
      <x:c r="B312" s="5" t="str">
        <x:v>D01-T08</x:v>
      </x:c>
      <x:c r="C312" s="5" t="str">
        <x:v>12.2 NATO STANAG 2017/2018 Admiralty Audit ($\ge \text{B2}$)</x:v>
      </x:c>
      <x:c r="D312" s="5" t="n">
        <x:v>658</x:v>
      </x:c>
      <x:c r="E312" s="5" t="n">
        <x:v>7</x:v>
      </x:c>
      <x:c r="F312" s="5" t="str">
        <x:v>Audit Status</x:v>
      </x:c>
      <x:c r="G312" s="5" t="n">
        <x:v>1</x:v>
      </x:c>
      <x:c r="H312" s="5" t="n">
        <x:v>1</x:v>
      </x:c>
      <x:c r="I312" s="5" t="str">
        <x:v>PASS</x:v>
      </x:c>
      <x:c r="J312" s="5" t="str">
        <x:v>SOURCE QUOTE; unvalidated / superseded assessments</x:v>
      </x:c>
      <x:c r="L312" s="31" t="str">
        <x:v>D01, Markdown line 658; http://nas-1.tail55d152.ts.net:4100/static/2S_CONSULTING_NORDIC_OUTREACH_STRATEGY.html</x:v>
      </x:c>
    </x:row>
    <x:row r="313" ht="42" customHeight="1">
      <x:c r="A313" s="5" t="str">
        <x:v>D01</x:v>
      </x:c>
      <x:c r="B313" s="5" t="str">
        <x:v>D01-T08</x:v>
      </x:c>
      <x:c r="C313" s="5" t="str">
        <x:v>12.2 NATO STANAG 2017/2018 Admiralty Audit ($\ge \text{B2}$)</x:v>
      </x:c>
      <x:c r="D313" s="5" t="n">
        <x:v>659</x:v>
      </x:c>
      <x:c r="E313" s="5" t="n">
        <x:v>1</x:v>
      </x:c>
      <x:c r="F313" s="5" t="str">
        <x:v>Commercial Entity</x:v>
      </x:c>
      <x:c r="G313" s="5" t="n">
        <x:v>1</x:v>
      </x:c>
      <x:c r="H313" s="5" t="n">
        <x:v>1</x:v>
      </x:c>
      <x:c r="I313" s="5" t="str">
        <x:v>PolyPeptide Group</x:v>
      </x:c>
      <x:c r="J313" s="5" t="str">
        <x:v>SOURCE QUOTE; unvalidated / superseded assessments</x:v>
      </x:c>
      <x:c r="L313" s="31" t="str">
        <x:v>D01, Markdown line 659; http://nas-1.tail55d152.ts.net:4100/static/2S_CONSULTING_NORDIC_OUTREACH_STRATEGY.html</x:v>
      </x:c>
    </x:row>
    <x:row r="314" ht="42" customHeight="1">
      <x:c r="A314" s="5" t="str">
        <x:v>D01</x:v>
      </x:c>
      <x:c r="B314" s="5" t="str">
        <x:v>D01-T08</x:v>
      </x:c>
      <x:c r="C314" s="5" t="str">
        <x:v>12.2 NATO STANAG 2017/2018 Admiralty Audit ($\ge \text{B2}$)</x:v>
      </x:c>
      <x:c r="D314" s="5" t="n">
        <x:v>659</x:v>
      </x:c>
      <x:c r="E314" s="5" t="n">
        <x:v>2</x:v>
      </x:c>
      <x:c r="F314" s="5" t="str">
        <x:v>Country</x:v>
      </x:c>
      <x:c r="G314" s="5" t="n">
        <x:v>1</x:v>
      </x:c>
      <x:c r="H314" s="5" t="n">
        <x:v>1</x:v>
      </x:c>
      <x:c r="I314" s="5" t="str">
        <x:v>Sweden</x:v>
      </x:c>
      <x:c r="J314" s="5" t="str">
        <x:v>SOURCE QUOTE; unvalidated / superseded assessments</x:v>
      </x:c>
      <x:c r="L314" s="31" t="str">
        <x:v>D01, Markdown line 659; http://nas-1.tail55d152.ts.net:4100/static/2S_CONSULTING_NORDIC_OUTREACH_STRATEGY.html</x:v>
      </x:c>
    </x:row>
    <x:row r="315" ht="42" customHeight="1">
      <x:c r="A315" s="5" t="str">
        <x:v>D01</x:v>
      </x:c>
      <x:c r="B315" s="5" t="str">
        <x:v>D01-T08</x:v>
      </x:c>
      <x:c r="C315" s="5" t="str">
        <x:v>12.2 NATO STANAG 2017/2018 Admiralty Audit ($\ge \text{B2}$)</x:v>
      </x:c>
      <x:c r="D315" s="5" t="n">
        <x:v>659</x:v>
      </x:c>
      <x:c r="E315" s="5" t="n">
        <x:v>3</x:v>
      </x:c>
      <x:c r="F315" s="5" t="str">
        <x:v>Intelligence Source</x:v>
      </x:c>
      <x:c r="G315" s="5" t="n">
        <x:v>1</x:v>
      </x:c>
      <x:c r="H315" s="5" t="n">
        <x:v>1</x:v>
      </x:c>
      <x:c r="I315" s="5" t="str">
        <x:v>SIX Swiss Exchange, Malmö Facility Registry</x:v>
      </x:c>
      <x:c r="J315" s="5" t="str">
        <x:v>SOURCE QUOTE; unvalidated / superseded assessments</x:v>
      </x:c>
      <x:c r="L315" s="31" t="str">
        <x:v>D01, Markdown line 659; http://nas-1.tail55d152.ts.net:4100/static/2S_CONSULTING_NORDIC_OUTREACH_STRATEGY.html</x:v>
      </x:c>
    </x:row>
    <x:row r="316" ht="42" customHeight="1">
      <x:c r="A316" s="5" t="str">
        <x:v>D01</x:v>
      </x:c>
      <x:c r="B316" s="5" t="str">
        <x:v>D01-T08</x:v>
      </x:c>
      <x:c r="C316" s="5" t="str">
        <x:v>12.2 NATO STANAG 2017/2018 Admiralty Audit ($\ge \text{B2}$)</x:v>
      </x:c>
      <x:c r="D316" s="5" t="n">
        <x:v>659</x:v>
      </x:c>
      <x:c r="E316" s="5" t="n">
        <x:v>4</x:v>
      </x:c>
      <x:c r="F316" s="5" t="str">
        <x:v>Source Reliability</x:v>
      </x:c>
      <x:c r="G316" s="5" t="n">
        <x:v>1</x:v>
      </x:c>
      <x:c r="H316" s="5" t="n">
        <x:v>1</x:v>
      </x:c>
      <x:c r="I316" s="5" t="str">
        <x:v>A (Completely Reliable)</x:v>
      </x:c>
      <x:c r="J316" s="5" t="str">
        <x:v>SOURCE QUOTE; unvalidated / superseded assessments</x:v>
      </x:c>
      <x:c r="L316" s="31" t="str">
        <x:v>D01, Markdown line 659; http://nas-1.tail55d152.ts.net:4100/static/2S_CONSULTING_NORDIC_OUTREACH_STRATEGY.html</x:v>
      </x:c>
    </x:row>
    <x:row r="317" ht="42" customHeight="1">
      <x:c r="A317" s="5" t="str">
        <x:v>D01</x:v>
      </x:c>
      <x:c r="B317" s="5" t="str">
        <x:v>D01-T08</x:v>
      </x:c>
      <x:c r="C317" s="5" t="str">
        <x:v>12.2 NATO STANAG 2017/2018 Admiralty Audit ($\ge \text{B2}$)</x:v>
      </x:c>
      <x:c r="D317" s="5" t="n">
        <x:v>659</x:v>
      </x:c>
      <x:c r="E317" s="5" t="n">
        <x:v>5</x:v>
      </x:c>
      <x:c r="F317" s="5" t="str">
        <x:v>Information Credibility</x:v>
      </x:c>
      <x:c r="G317" s="5" t="n">
        <x:v>1</x:v>
      </x:c>
      <x:c r="H317" s="5" t="n">
        <x:v>1</x:v>
      </x:c>
      <x:c r="I317" s="5" t="str">
        <x:v>1 (Confirmed by Other Sources)</x:v>
      </x:c>
      <x:c r="J317" s="5" t="str">
        <x:v>SOURCE QUOTE; unvalidated / superseded assessments</x:v>
      </x:c>
      <x:c r="L317" s="31" t="str">
        <x:v>D01, Markdown line 659; http://nas-1.tail55d152.ts.net:4100/static/2S_CONSULTING_NORDIC_OUTREACH_STRATEGY.html</x:v>
      </x:c>
    </x:row>
    <x:row r="318" ht="42" customHeight="1">
      <x:c r="A318" s="5" t="str">
        <x:v>D01</x:v>
      </x:c>
      <x:c r="B318" s="5" t="str">
        <x:v>D01-T08</x:v>
      </x:c>
      <x:c r="C318" s="5" t="str">
        <x:v>12.2 NATO STANAG 2017/2018 Admiralty Audit ($\ge \text{B2}$)</x:v>
      </x:c>
      <x:c r="D318" s="5" t="n">
        <x:v>659</x:v>
      </x:c>
      <x:c r="E318" s="5" t="n">
        <x:v>6</x:v>
      </x:c>
      <x:c r="F318" s="5" t="str">
        <x:v>Combined Admiralty Rating</x:v>
      </x:c>
      <x:c r="G318" s="5" t="n">
        <x:v>1</x:v>
      </x:c>
      <x:c r="H318" s="5" t="n">
        <x:v>1</x:v>
      </x:c>
      <x:c r="I318" s="5" t="str">
        <x:v>A1</x:v>
      </x:c>
      <x:c r="J318" s="5" t="str">
        <x:v>SOURCE QUOTE; unvalidated / superseded assessments</x:v>
      </x:c>
      <x:c r="L318" s="31" t="str">
        <x:v>D01, Markdown line 659; http://nas-1.tail55d152.ts.net:4100/static/2S_CONSULTING_NORDIC_OUTREACH_STRATEGY.html</x:v>
      </x:c>
    </x:row>
    <x:row r="319" ht="42" customHeight="1">
      <x:c r="A319" s="5" t="str">
        <x:v>D01</x:v>
      </x:c>
      <x:c r="B319" s="5" t="str">
        <x:v>D01-T08</x:v>
      </x:c>
      <x:c r="C319" s="5" t="str">
        <x:v>12.2 NATO STANAG 2017/2018 Admiralty Audit ($\ge \text{B2}$)</x:v>
      </x:c>
      <x:c r="D319" s="5" t="n">
        <x:v>659</x:v>
      </x:c>
      <x:c r="E319" s="5" t="n">
        <x:v>7</x:v>
      </x:c>
      <x:c r="F319" s="5" t="str">
        <x:v>Audit Status</x:v>
      </x:c>
      <x:c r="G319" s="5" t="n">
        <x:v>1</x:v>
      </x:c>
      <x:c r="H319" s="5" t="n">
        <x:v>1</x:v>
      </x:c>
      <x:c r="I319" s="5" t="str">
        <x:v>PASS</x:v>
      </x:c>
      <x:c r="J319" s="5" t="str">
        <x:v>SOURCE QUOTE; unvalidated / superseded assessments</x:v>
      </x:c>
      <x:c r="L319" s="31" t="str">
        <x:v>D01, Markdown line 659; http://nas-1.tail55d152.ts.net:4100/static/2S_CONSULTING_NORDIC_OUTREACH_STRATEGY.html</x:v>
      </x:c>
    </x:row>
    <x:row r="320" ht="42" customHeight="1">
      <x:c r="A320" s="5" t="str">
        <x:v>D01</x:v>
      </x:c>
      <x:c r="B320" s="5" t="str">
        <x:v>D01-T08</x:v>
      </x:c>
      <x:c r="C320" s="5" t="str">
        <x:v>12.2 NATO STANAG 2017/2018 Admiralty Audit ($\ge \text{B2}$)</x:v>
      </x:c>
      <x:c r="D320" s="5" t="n">
        <x:v>660</x:v>
      </x:c>
      <x:c r="E320" s="5" t="n">
        <x:v>1</x:v>
      </x:c>
      <x:c r="F320" s="5" t="str">
        <x:v>Commercial Entity</x:v>
      </x:c>
      <x:c r="G320" s="5" t="n">
        <x:v>1</x:v>
      </x:c>
      <x:c r="H320" s="5" t="n">
        <x:v>1</x:v>
      </x:c>
      <x:c r="I320" s="5" t="str">
        <x:v>Recipharm AB</x:v>
      </x:c>
      <x:c r="J320" s="5" t="str">
        <x:v>SOURCE QUOTE; unvalidated / superseded assessments</x:v>
      </x:c>
      <x:c r="L320" s="31" t="str">
        <x:v>D01, Markdown line 660; http://nas-1.tail55d152.ts.net:4100/static/2S_CONSULTING_NORDIC_OUTREACH_STRATEGY.html</x:v>
      </x:c>
    </x:row>
    <x:row r="321" ht="42" customHeight="1">
      <x:c r="A321" s="5" t="str">
        <x:v>D01</x:v>
      </x:c>
      <x:c r="B321" s="5" t="str">
        <x:v>D01-T08</x:v>
      </x:c>
      <x:c r="C321" s="5" t="str">
        <x:v>12.2 NATO STANAG 2017/2018 Admiralty Audit ($\ge \text{B2}$)</x:v>
      </x:c>
      <x:c r="D321" s="5" t="n">
        <x:v>660</x:v>
      </x:c>
      <x:c r="E321" s="5" t="n">
        <x:v>2</x:v>
      </x:c>
      <x:c r="F321" s="5" t="str">
        <x:v>Country</x:v>
      </x:c>
      <x:c r="G321" s="5" t="n">
        <x:v>1</x:v>
      </x:c>
      <x:c r="H321" s="5" t="n">
        <x:v>1</x:v>
      </x:c>
      <x:c r="I321" s="5" t="str">
        <x:v>Sweden</x:v>
      </x:c>
      <x:c r="J321" s="5" t="str">
        <x:v>SOURCE QUOTE; unvalidated / superseded assessments</x:v>
      </x:c>
      <x:c r="L321" s="31" t="str">
        <x:v>D01, Markdown line 660; http://nas-1.tail55d152.ts.net:4100/static/2S_CONSULTING_NORDIC_OUTREACH_STRATEGY.html</x:v>
      </x:c>
    </x:row>
    <x:row r="322" ht="42" customHeight="1">
      <x:c r="A322" s="5" t="str">
        <x:v>D01</x:v>
      </x:c>
      <x:c r="B322" s="5" t="str">
        <x:v>D01-T08</x:v>
      </x:c>
      <x:c r="C322" s="5" t="str">
        <x:v>12.2 NATO STANAG 2017/2018 Admiralty Audit ($\ge \text{B2}$)</x:v>
      </x:c>
      <x:c r="D322" s="5" t="n">
        <x:v>660</x:v>
      </x:c>
      <x:c r="E322" s="5" t="n">
        <x:v>3</x:v>
      </x:c>
      <x:c r="F322" s="5" t="str">
        <x:v>Intelligence Source</x:v>
      </x:c>
      <x:c r="G322" s="5" t="n">
        <x:v>1</x:v>
      </x:c>
      <x:c r="H322" s="5" t="n">
        <x:v>1</x:v>
      </x:c>
      <x:c r="I322" s="5" t="str">
        <x:v>EQT Audited Reports, Swedish Bolagsverket</x:v>
      </x:c>
      <x:c r="J322" s="5" t="str">
        <x:v>SOURCE QUOTE; unvalidated / superseded assessments</x:v>
      </x:c>
      <x:c r="L322" s="31" t="str">
        <x:v>D01, Markdown line 660; http://nas-1.tail55d152.ts.net:4100/static/2S_CONSULTING_NORDIC_OUTREACH_STRATEGY.html</x:v>
      </x:c>
    </x:row>
    <x:row r="323" ht="42" customHeight="1">
      <x:c r="A323" s="5" t="str">
        <x:v>D01</x:v>
      </x:c>
      <x:c r="B323" s="5" t="str">
        <x:v>D01-T08</x:v>
      </x:c>
      <x:c r="C323" s="5" t="str">
        <x:v>12.2 NATO STANAG 2017/2018 Admiralty Audit ($\ge \text{B2}$)</x:v>
      </x:c>
      <x:c r="D323" s="5" t="n">
        <x:v>660</x:v>
      </x:c>
      <x:c r="E323" s="5" t="n">
        <x:v>4</x:v>
      </x:c>
      <x:c r="F323" s="5" t="str">
        <x:v>Source Reliability</x:v>
      </x:c>
      <x:c r="G323" s="5" t="n">
        <x:v>1</x:v>
      </x:c>
      <x:c r="H323" s="5" t="n">
        <x:v>1</x:v>
      </x:c>
      <x:c r="I323" s="5" t="str">
        <x:v>A (Completely Reliable)</x:v>
      </x:c>
      <x:c r="J323" s="5" t="str">
        <x:v>SOURCE QUOTE; unvalidated / superseded assessments</x:v>
      </x:c>
      <x:c r="L323" s="31" t="str">
        <x:v>D01, Markdown line 660; http://nas-1.tail55d152.ts.net:4100/static/2S_CONSULTING_NORDIC_OUTREACH_STRATEGY.html</x:v>
      </x:c>
    </x:row>
    <x:row r="324" ht="42" customHeight="1">
      <x:c r="A324" s="5" t="str">
        <x:v>D01</x:v>
      </x:c>
      <x:c r="B324" s="5" t="str">
        <x:v>D01-T08</x:v>
      </x:c>
      <x:c r="C324" s="5" t="str">
        <x:v>12.2 NATO STANAG 2017/2018 Admiralty Audit ($\ge \text{B2}$)</x:v>
      </x:c>
      <x:c r="D324" s="5" t="n">
        <x:v>660</x:v>
      </x:c>
      <x:c r="E324" s="5" t="n">
        <x:v>5</x:v>
      </x:c>
      <x:c r="F324" s="5" t="str">
        <x:v>Information Credibility</x:v>
      </x:c>
      <x:c r="G324" s="5" t="n">
        <x:v>1</x:v>
      </x:c>
      <x:c r="H324" s="5" t="n">
        <x:v>1</x:v>
      </x:c>
      <x:c r="I324" s="5" t="str">
        <x:v>2 (Probably True)</x:v>
      </x:c>
      <x:c r="J324" s="5" t="str">
        <x:v>SOURCE QUOTE; unvalidated / superseded assessments</x:v>
      </x:c>
      <x:c r="L324" s="31" t="str">
        <x:v>D01, Markdown line 660; http://nas-1.tail55d152.ts.net:4100/static/2S_CONSULTING_NORDIC_OUTREACH_STRATEGY.html</x:v>
      </x:c>
    </x:row>
    <x:row r="325" ht="42" customHeight="1">
      <x:c r="A325" s="5" t="str">
        <x:v>D01</x:v>
      </x:c>
      <x:c r="B325" s="5" t="str">
        <x:v>D01-T08</x:v>
      </x:c>
      <x:c r="C325" s="5" t="str">
        <x:v>12.2 NATO STANAG 2017/2018 Admiralty Audit ($\ge \text{B2}$)</x:v>
      </x:c>
      <x:c r="D325" s="5" t="n">
        <x:v>660</x:v>
      </x:c>
      <x:c r="E325" s="5" t="n">
        <x:v>6</x:v>
      </x:c>
      <x:c r="F325" s="5" t="str">
        <x:v>Combined Admiralty Rating</x:v>
      </x:c>
      <x:c r="G325" s="5" t="n">
        <x:v>1</x:v>
      </x:c>
      <x:c r="H325" s="5" t="n">
        <x:v>1</x:v>
      </x:c>
      <x:c r="I325" s="5" t="str">
        <x:v>A2</x:v>
      </x:c>
      <x:c r="J325" s="5" t="str">
        <x:v>SOURCE QUOTE; unvalidated / superseded assessments</x:v>
      </x:c>
      <x:c r="L325" s="31" t="str">
        <x:v>D01, Markdown line 660; http://nas-1.tail55d152.ts.net:4100/static/2S_CONSULTING_NORDIC_OUTREACH_STRATEGY.html</x:v>
      </x:c>
    </x:row>
    <x:row r="326" ht="42" customHeight="1">
      <x:c r="A326" s="5" t="str">
        <x:v>D01</x:v>
      </x:c>
      <x:c r="B326" s="5" t="str">
        <x:v>D01-T08</x:v>
      </x:c>
      <x:c r="C326" s="5" t="str">
        <x:v>12.2 NATO STANAG 2017/2018 Admiralty Audit ($\ge \text{B2}$)</x:v>
      </x:c>
      <x:c r="D326" s="5" t="n">
        <x:v>660</x:v>
      </x:c>
      <x:c r="E326" s="5" t="n">
        <x:v>7</x:v>
      </x:c>
      <x:c r="F326" s="5" t="str">
        <x:v>Audit Status</x:v>
      </x:c>
      <x:c r="G326" s="5" t="n">
        <x:v>1</x:v>
      </x:c>
      <x:c r="H326" s="5" t="n">
        <x:v>1</x:v>
      </x:c>
      <x:c r="I326" s="5" t="str">
        <x:v>PASS</x:v>
      </x:c>
      <x:c r="J326" s="5" t="str">
        <x:v>SOURCE QUOTE; unvalidated / superseded assessments</x:v>
      </x:c>
      <x:c r="L326" s="31" t="str">
        <x:v>D01, Markdown line 660; http://nas-1.tail55d152.ts.net:4100/static/2S_CONSULTING_NORDIC_OUTREACH_STRATEGY.html</x:v>
      </x:c>
    </x:row>
    <x:row r="327" ht="42" customHeight="1">
      <x:c r="A327" s="5" t="str">
        <x:v>D01</x:v>
      </x:c>
      <x:c r="B327" s="5" t="str">
        <x:v>D01-T08</x:v>
      </x:c>
      <x:c r="C327" s="5" t="str">
        <x:v>12.2 NATO STANAG 2017/2018 Admiralty Audit ($\ge \text{B2}$)</x:v>
      </x:c>
      <x:c r="D327" s="5" t="n">
        <x:v>661</x:v>
      </x:c>
      <x:c r="E327" s="5" t="n">
        <x:v>1</x:v>
      </x:c>
      <x:c r="F327" s="5" t="str">
        <x:v>Commercial Entity</x:v>
      </x:c>
      <x:c r="G327" s="5" t="n">
        <x:v>1</x:v>
      </x:c>
      <x:c r="H327" s="5" t="n">
        <x:v>1</x:v>
      </x:c>
      <x:c r="I327" s="5" t="str">
        <x:v>BioInvent International</x:v>
      </x:c>
      <x:c r="J327" s="5" t="str">
        <x:v>SOURCE QUOTE; unvalidated / superseded assessments</x:v>
      </x:c>
      <x:c r="L327" s="31" t="str">
        <x:v>D01, Markdown line 661; http://nas-1.tail55d152.ts.net:4100/static/2S_CONSULTING_NORDIC_OUTREACH_STRATEGY.html</x:v>
      </x:c>
    </x:row>
    <x:row r="328" ht="42" customHeight="1">
      <x:c r="A328" s="5" t="str">
        <x:v>D01</x:v>
      </x:c>
      <x:c r="B328" s="5" t="str">
        <x:v>D01-T08</x:v>
      </x:c>
      <x:c r="C328" s="5" t="str">
        <x:v>12.2 NATO STANAG 2017/2018 Admiralty Audit ($\ge \text{B2}$)</x:v>
      </x:c>
      <x:c r="D328" s="5" t="n">
        <x:v>661</x:v>
      </x:c>
      <x:c r="E328" s="5" t="n">
        <x:v>2</x:v>
      </x:c>
      <x:c r="F328" s="5" t="str">
        <x:v>Country</x:v>
      </x:c>
      <x:c r="G328" s="5" t="n">
        <x:v>1</x:v>
      </x:c>
      <x:c r="H328" s="5" t="n">
        <x:v>1</x:v>
      </x:c>
      <x:c r="I328" s="5" t="str">
        <x:v>Sweden</x:v>
      </x:c>
      <x:c r="J328" s="5" t="str">
        <x:v>SOURCE QUOTE; unvalidated / superseded assessments</x:v>
      </x:c>
      <x:c r="L328" s="31" t="str">
        <x:v>D01, Markdown line 661; http://nas-1.tail55d152.ts.net:4100/static/2S_CONSULTING_NORDIC_OUTREACH_STRATEGY.html</x:v>
      </x:c>
    </x:row>
    <x:row r="329" ht="42" customHeight="1">
      <x:c r="A329" s="5" t="str">
        <x:v>D01</x:v>
      </x:c>
      <x:c r="B329" s="5" t="str">
        <x:v>D01-T08</x:v>
      </x:c>
      <x:c r="C329" s="5" t="str">
        <x:v>12.2 NATO STANAG 2017/2018 Admiralty Audit ($\ge \text{B2}$)</x:v>
      </x:c>
      <x:c r="D329" s="5" t="n">
        <x:v>661</x:v>
      </x:c>
      <x:c r="E329" s="5" t="n">
        <x:v>3</x:v>
      </x:c>
      <x:c r="F329" s="5" t="str">
        <x:v>Intelligence Source</x:v>
      </x:c>
      <x:c r="G329" s="5" t="n">
        <x:v>1</x:v>
      </x:c>
      <x:c r="H329" s="5" t="n">
        <x:v>1</x:v>
      </x:c>
      <x:c r="I329" s="5" t="str">
        <x:v>Nasdaq Stockholm, ClinicalTrials.gov Filings</x:v>
      </x:c>
      <x:c r="J329" s="5" t="str">
        <x:v>SOURCE QUOTE; unvalidated / superseded assessments</x:v>
      </x:c>
      <x:c r="L329" s="31" t="str">
        <x:v>D01, Markdown line 661; http://nas-1.tail55d152.ts.net:4100/static/2S_CONSULTING_NORDIC_OUTREACH_STRATEGY.html</x:v>
      </x:c>
    </x:row>
    <x:row r="330" ht="42" customHeight="1">
      <x:c r="A330" s="5" t="str">
        <x:v>D01</x:v>
      </x:c>
      <x:c r="B330" s="5" t="str">
        <x:v>D01-T08</x:v>
      </x:c>
      <x:c r="C330" s="5" t="str">
        <x:v>12.2 NATO STANAG 2017/2018 Admiralty Audit ($\ge \text{B2}$)</x:v>
      </x:c>
      <x:c r="D330" s="5" t="n">
        <x:v>661</x:v>
      </x:c>
      <x:c r="E330" s="5" t="n">
        <x:v>4</x:v>
      </x:c>
      <x:c r="F330" s="5" t="str">
        <x:v>Source Reliability</x:v>
      </x:c>
      <x:c r="G330" s="5" t="n">
        <x:v>1</x:v>
      </x:c>
      <x:c r="H330" s="5" t="n">
        <x:v>1</x:v>
      </x:c>
      <x:c r="I330" s="5" t="str">
        <x:v>A (Completely Reliable)</x:v>
      </x:c>
      <x:c r="J330" s="5" t="str">
        <x:v>SOURCE QUOTE; unvalidated / superseded assessments</x:v>
      </x:c>
      <x:c r="L330" s="31" t="str">
        <x:v>D01, Markdown line 661; http://nas-1.tail55d152.ts.net:4100/static/2S_CONSULTING_NORDIC_OUTREACH_STRATEGY.html</x:v>
      </x:c>
    </x:row>
    <x:row r="331" ht="42" customHeight="1">
      <x:c r="A331" s="5" t="str">
        <x:v>D01</x:v>
      </x:c>
      <x:c r="B331" s="5" t="str">
        <x:v>D01-T08</x:v>
      </x:c>
      <x:c r="C331" s="5" t="str">
        <x:v>12.2 NATO STANAG 2017/2018 Admiralty Audit ($\ge \text{B2}$)</x:v>
      </x:c>
      <x:c r="D331" s="5" t="n">
        <x:v>661</x:v>
      </x:c>
      <x:c r="E331" s="5" t="n">
        <x:v>5</x:v>
      </x:c>
      <x:c r="F331" s="5" t="str">
        <x:v>Information Credibility</x:v>
      </x:c>
      <x:c r="G331" s="5" t="n">
        <x:v>1</x:v>
      </x:c>
      <x:c r="H331" s="5" t="n">
        <x:v>1</x:v>
      </x:c>
      <x:c r="I331" s="5" t="str">
        <x:v>1 (Confirmed by Other Sources)</x:v>
      </x:c>
      <x:c r="J331" s="5" t="str">
        <x:v>SOURCE QUOTE; unvalidated / superseded assessments</x:v>
      </x:c>
      <x:c r="L331" s="31" t="str">
        <x:v>D01, Markdown line 661; http://nas-1.tail55d152.ts.net:4100/static/2S_CONSULTING_NORDIC_OUTREACH_STRATEGY.html</x:v>
      </x:c>
    </x:row>
    <x:row r="332" ht="42" customHeight="1">
      <x:c r="A332" s="5" t="str">
        <x:v>D01</x:v>
      </x:c>
      <x:c r="B332" s="5" t="str">
        <x:v>D01-T08</x:v>
      </x:c>
      <x:c r="C332" s="5" t="str">
        <x:v>12.2 NATO STANAG 2017/2018 Admiralty Audit ($\ge \text{B2}$)</x:v>
      </x:c>
      <x:c r="D332" s="5" t="n">
        <x:v>661</x:v>
      </x:c>
      <x:c r="E332" s="5" t="n">
        <x:v>6</x:v>
      </x:c>
      <x:c r="F332" s="5" t="str">
        <x:v>Combined Admiralty Rating</x:v>
      </x:c>
      <x:c r="G332" s="5" t="n">
        <x:v>1</x:v>
      </x:c>
      <x:c r="H332" s="5" t="n">
        <x:v>1</x:v>
      </x:c>
      <x:c r="I332" s="5" t="str">
        <x:v>A1</x:v>
      </x:c>
      <x:c r="J332" s="5" t="str">
        <x:v>SOURCE QUOTE; unvalidated / superseded assessments</x:v>
      </x:c>
      <x:c r="L332" s="31" t="str">
        <x:v>D01, Markdown line 661; http://nas-1.tail55d152.ts.net:4100/static/2S_CONSULTING_NORDIC_OUTREACH_STRATEGY.html</x:v>
      </x:c>
    </x:row>
    <x:row r="333" ht="42" customHeight="1">
      <x:c r="A333" s="5" t="str">
        <x:v>D01</x:v>
      </x:c>
      <x:c r="B333" s="5" t="str">
        <x:v>D01-T08</x:v>
      </x:c>
      <x:c r="C333" s="5" t="str">
        <x:v>12.2 NATO STANAG 2017/2018 Admiralty Audit ($\ge \text{B2}$)</x:v>
      </x:c>
      <x:c r="D333" s="5" t="n">
        <x:v>661</x:v>
      </x:c>
      <x:c r="E333" s="5" t="n">
        <x:v>7</x:v>
      </x:c>
      <x:c r="F333" s="5" t="str">
        <x:v>Audit Status</x:v>
      </x:c>
      <x:c r="G333" s="5" t="n">
        <x:v>1</x:v>
      </x:c>
      <x:c r="H333" s="5" t="n">
        <x:v>1</x:v>
      </x:c>
      <x:c r="I333" s="5" t="str">
        <x:v>PASS</x:v>
      </x:c>
      <x:c r="J333" s="5" t="str">
        <x:v>SOURCE QUOTE; unvalidated / superseded assessments</x:v>
      </x:c>
      <x:c r="L333" s="31" t="str">
        <x:v>D01, Markdown line 661; http://nas-1.tail55d152.ts.net:4100/static/2S_CONSULTING_NORDIC_OUTREACH_STRATEGY.html</x:v>
      </x:c>
    </x:row>
    <x:row r="334" ht="42" customHeight="1">
      <x:c r="A334" s="5" t="str">
        <x:v>D01</x:v>
      </x:c>
      <x:c r="B334" s="5" t="str">
        <x:v>D01-T08</x:v>
      </x:c>
      <x:c r="C334" s="5" t="str">
        <x:v>12.2 NATO STANAG 2017/2018 Admiralty Audit ($\ge \text{B2}$)</x:v>
      </x:c>
      <x:c r="D334" s="5" t="n">
        <x:v>662</x:v>
      </x:c>
      <x:c r="E334" s="5" t="n">
        <x:v>1</x:v>
      </x:c>
      <x:c r="F334" s="5" t="str">
        <x:v>Commercial Entity</x:v>
      </x:c>
      <x:c r="G334" s="5" t="n">
        <x:v>1</x:v>
      </x:c>
      <x:c r="H334" s="5" t="n">
        <x:v>1</x:v>
      </x:c>
      <x:c r="I334" s="5" t="str">
        <x:v>Alligator Bioscience</x:v>
      </x:c>
      <x:c r="J334" s="5" t="str">
        <x:v>SOURCE QUOTE; unvalidated / superseded assessments</x:v>
      </x:c>
      <x:c r="L334" s="31" t="str">
        <x:v>D01, Markdown line 662; http://nas-1.tail55d152.ts.net:4100/static/2S_CONSULTING_NORDIC_OUTREACH_STRATEGY.html</x:v>
      </x:c>
    </x:row>
    <x:row r="335" ht="42" customHeight="1">
      <x:c r="A335" s="5" t="str">
        <x:v>D01</x:v>
      </x:c>
      <x:c r="B335" s="5" t="str">
        <x:v>D01-T08</x:v>
      </x:c>
      <x:c r="C335" s="5" t="str">
        <x:v>12.2 NATO STANAG 2017/2018 Admiralty Audit ($\ge \text{B2}$)</x:v>
      </x:c>
      <x:c r="D335" s="5" t="n">
        <x:v>662</x:v>
      </x:c>
      <x:c r="E335" s="5" t="n">
        <x:v>2</x:v>
      </x:c>
      <x:c r="F335" s="5" t="str">
        <x:v>Country</x:v>
      </x:c>
      <x:c r="G335" s="5" t="n">
        <x:v>1</x:v>
      </x:c>
      <x:c r="H335" s="5" t="n">
        <x:v>1</x:v>
      </x:c>
      <x:c r="I335" s="5" t="str">
        <x:v>Sweden</x:v>
      </x:c>
      <x:c r="J335" s="5" t="str">
        <x:v>SOURCE QUOTE; unvalidated / superseded assessments</x:v>
      </x:c>
      <x:c r="L335" s="31" t="str">
        <x:v>D01, Markdown line 662; http://nas-1.tail55d152.ts.net:4100/static/2S_CONSULTING_NORDIC_OUTREACH_STRATEGY.html</x:v>
      </x:c>
    </x:row>
    <x:row r="336" ht="42" customHeight="1">
      <x:c r="A336" s="5" t="str">
        <x:v>D01</x:v>
      </x:c>
      <x:c r="B336" s="5" t="str">
        <x:v>D01-T08</x:v>
      </x:c>
      <x:c r="C336" s="5" t="str">
        <x:v>12.2 NATO STANAG 2017/2018 Admiralty Audit ($\ge \text{B2}$)</x:v>
      </x:c>
      <x:c r="D336" s="5" t="n">
        <x:v>662</x:v>
      </x:c>
      <x:c r="E336" s="5" t="n">
        <x:v>3</x:v>
      </x:c>
      <x:c r="F336" s="5" t="str">
        <x:v>Intelligence Source</x:v>
      </x:c>
      <x:c r="G336" s="5" t="n">
        <x:v>1</x:v>
      </x:c>
      <x:c r="H336" s="5" t="n">
        <x:v>1</x:v>
      </x:c>
      <x:c r="I336" s="5" t="str">
        <x:v>Nasdaq Stockholm, Immuno-Oncology Disclosures</x:v>
      </x:c>
      <x:c r="J336" s="5" t="str">
        <x:v>SOURCE QUOTE; unvalidated / superseded assessments</x:v>
      </x:c>
      <x:c r="L336" s="31" t="str">
        <x:v>D01, Markdown line 662; http://nas-1.tail55d152.ts.net:4100/static/2S_CONSULTING_NORDIC_OUTREACH_STRATEGY.html</x:v>
      </x:c>
    </x:row>
    <x:row r="337" ht="42" customHeight="1">
      <x:c r="A337" s="5" t="str">
        <x:v>D01</x:v>
      </x:c>
      <x:c r="B337" s="5" t="str">
        <x:v>D01-T08</x:v>
      </x:c>
      <x:c r="C337" s="5" t="str">
        <x:v>12.2 NATO STANAG 2017/2018 Admiralty Audit ($\ge \text{B2}$)</x:v>
      </x:c>
      <x:c r="D337" s="5" t="n">
        <x:v>662</x:v>
      </x:c>
      <x:c r="E337" s="5" t="n">
        <x:v>4</x:v>
      </x:c>
      <x:c r="F337" s="5" t="str">
        <x:v>Source Reliability</x:v>
      </x:c>
      <x:c r="G337" s="5" t="n">
        <x:v>1</x:v>
      </x:c>
      <x:c r="H337" s="5" t="n">
        <x:v>1</x:v>
      </x:c>
      <x:c r="I337" s="5" t="str">
        <x:v>A (Completely Reliable)</x:v>
      </x:c>
      <x:c r="J337" s="5" t="str">
        <x:v>SOURCE QUOTE; unvalidated / superseded assessments</x:v>
      </x:c>
      <x:c r="L337" s="31" t="str">
        <x:v>D01, Markdown line 662; http://nas-1.tail55d152.ts.net:4100/static/2S_CONSULTING_NORDIC_OUTREACH_STRATEGY.html</x:v>
      </x:c>
    </x:row>
    <x:row r="338" ht="42" customHeight="1">
      <x:c r="A338" s="5" t="str">
        <x:v>D01</x:v>
      </x:c>
      <x:c r="B338" s="5" t="str">
        <x:v>D01-T08</x:v>
      </x:c>
      <x:c r="C338" s="5" t="str">
        <x:v>12.2 NATO STANAG 2017/2018 Admiralty Audit ($\ge \text{B2}$)</x:v>
      </x:c>
      <x:c r="D338" s="5" t="n">
        <x:v>662</x:v>
      </x:c>
      <x:c r="E338" s="5" t="n">
        <x:v>5</x:v>
      </x:c>
      <x:c r="F338" s="5" t="str">
        <x:v>Information Credibility</x:v>
      </x:c>
      <x:c r="G338" s="5" t="n">
        <x:v>1</x:v>
      </x:c>
      <x:c r="H338" s="5" t="n">
        <x:v>1</x:v>
      </x:c>
      <x:c r="I338" s="5" t="str">
        <x:v>1 (Confirmed by Other Sources)</x:v>
      </x:c>
      <x:c r="J338" s="5" t="str">
        <x:v>SOURCE QUOTE; unvalidated / superseded assessments</x:v>
      </x:c>
      <x:c r="L338" s="31" t="str">
        <x:v>D01, Markdown line 662; http://nas-1.tail55d152.ts.net:4100/static/2S_CONSULTING_NORDIC_OUTREACH_STRATEGY.html</x:v>
      </x:c>
    </x:row>
    <x:row r="339" ht="42" customHeight="1">
      <x:c r="A339" s="5" t="str">
        <x:v>D01</x:v>
      </x:c>
      <x:c r="B339" s="5" t="str">
        <x:v>D01-T08</x:v>
      </x:c>
      <x:c r="C339" s="5" t="str">
        <x:v>12.2 NATO STANAG 2017/2018 Admiralty Audit ($\ge \text{B2}$)</x:v>
      </x:c>
      <x:c r="D339" s="5" t="n">
        <x:v>662</x:v>
      </x:c>
      <x:c r="E339" s="5" t="n">
        <x:v>6</x:v>
      </x:c>
      <x:c r="F339" s="5" t="str">
        <x:v>Combined Admiralty Rating</x:v>
      </x:c>
      <x:c r="G339" s="5" t="n">
        <x:v>1</x:v>
      </x:c>
      <x:c r="H339" s="5" t="n">
        <x:v>1</x:v>
      </x:c>
      <x:c r="I339" s="5" t="str">
        <x:v>A1</x:v>
      </x:c>
      <x:c r="J339" s="5" t="str">
        <x:v>SOURCE QUOTE; unvalidated / superseded assessments</x:v>
      </x:c>
      <x:c r="L339" s="31" t="str">
        <x:v>D01, Markdown line 662; http://nas-1.tail55d152.ts.net:4100/static/2S_CONSULTING_NORDIC_OUTREACH_STRATEGY.html</x:v>
      </x:c>
    </x:row>
    <x:row r="340" ht="42" customHeight="1">
      <x:c r="A340" s="5" t="str">
        <x:v>D01</x:v>
      </x:c>
      <x:c r="B340" s="5" t="str">
        <x:v>D01-T08</x:v>
      </x:c>
      <x:c r="C340" s="5" t="str">
        <x:v>12.2 NATO STANAG 2017/2018 Admiralty Audit ($\ge \text{B2}$)</x:v>
      </x:c>
      <x:c r="D340" s="5" t="n">
        <x:v>662</x:v>
      </x:c>
      <x:c r="E340" s="5" t="n">
        <x:v>7</x:v>
      </x:c>
      <x:c r="F340" s="5" t="str">
        <x:v>Audit Status</x:v>
      </x:c>
      <x:c r="G340" s="5" t="n">
        <x:v>1</x:v>
      </x:c>
      <x:c r="H340" s="5" t="n">
        <x:v>1</x:v>
      </x:c>
      <x:c r="I340" s="5" t="str">
        <x:v>PASS</x:v>
      </x:c>
      <x:c r="J340" s="5" t="str">
        <x:v>SOURCE QUOTE; unvalidated / superseded assessments</x:v>
      </x:c>
      <x:c r="L340" s="31" t="str">
        <x:v>D01, Markdown line 662; http://nas-1.tail55d152.ts.net:4100/static/2S_CONSULTING_NORDIC_OUTREACH_STRATEGY.html</x:v>
      </x:c>
    </x:row>
    <x:row r="341" ht="42" customHeight="1">
      <x:c r="A341" s="5" t="str">
        <x:v>D01</x:v>
      </x:c>
      <x:c r="B341" s="5" t="str">
        <x:v>D01-T08</x:v>
      </x:c>
      <x:c r="C341" s="5" t="str">
        <x:v>12.2 NATO STANAG 2017/2018 Admiralty Audit ($\ge \text{B2}$)</x:v>
      </x:c>
      <x:c r="D341" s="5" t="n">
        <x:v>663</x:v>
      </x:c>
      <x:c r="E341" s="5" t="n">
        <x:v>1</x:v>
      </x:c>
      <x:c r="F341" s="5" t="str">
        <x:v>Commercial Entity</x:v>
      </x:c>
      <x:c r="G341" s="5" t="n">
        <x:v>1</x:v>
      </x:c>
      <x:c r="H341" s="5" t="n">
        <x:v>1</x:v>
      </x:c>
      <x:c r="I341" s="5" t="str">
        <x:v>Hansa Biopharma</x:v>
      </x:c>
      <x:c r="J341" s="5" t="str">
        <x:v>SOURCE QUOTE; unvalidated / superseded assessments</x:v>
      </x:c>
      <x:c r="L341" s="31" t="str">
        <x:v>D01, Markdown line 663; http://nas-1.tail55d152.ts.net:4100/static/2S_CONSULTING_NORDIC_OUTREACH_STRATEGY.html</x:v>
      </x:c>
    </x:row>
    <x:row r="342" ht="42" customHeight="1">
      <x:c r="A342" s="5" t="str">
        <x:v>D01</x:v>
      </x:c>
      <x:c r="B342" s="5" t="str">
        <x:v>D01-T08</x:v>
      </x:c>
      <x:c r="C342" s="5" t="str">
        <x:v>12.2 NATO STANAG 2017/2018 Admiralty Audit ($\ge \text{B2}$)</x:v>
      </x:c>
      <x:c r="D342" s="5" t="n">
        <x:v>663</x:v>
      </x:c>
      <x:c r="E342" s="5" t="n">
        <x:v>2</x:v>
      </x:c>
      <x:c r="F342" s="5" t="str">
        <x:v>Country</x:v>
      </x:c>
      <x:c r="G342" s="5" t="n">
        <x:v>1</x:v>
      </x:c>
      <x:c r="H342" s="5" t="n">
        <x:v>1</x:v>
      </x:c>
      <x:c r="I342" s="5" t="str">
        <x:v>Sweden</x:v>
      </x:c>
      <x:c r="J342" s="5" t="str">
        <x:v>SOURCE QUOTE; unvalidated / superseded assessments</x:v>
      </x:c>
      <x:c r="L342" s="31" t="str">
        <x:v>D01, Markdown line 663; http://nas-1.tail55d152.ts.net:4100/static/2S_CONSULTING_NORDIC_OUTREACH_STRATEGY.html</x:v>
      </x:c>
    </x:row>
    <x:row r="343" ht="42" customHeight="1">
      <x:c r="A343" s="5" t="str">
        <x:v>D01</x:v>
      </x:c>
      <x:c r="B343" s="5" t="str">
        <x:v>D01-T08</x:v>
      </x:c>
      <x:c r="C343" s="5" t="str">
        <x:v>12.2 NATO STANAG 2017/2018 Admiralty Audit ($\ge \text{B2}$)</x:v>
      </x:c>
      <x:c r="D343" s="5" t="n">
        <x:v>663</x:v>
      </x:c>
      <x:c r="E343" s="5" t="n">
        <x:v>3</x:v>
      </x:c>
      <x:c r="F343" s="5" t="str">
        <x:v>Intelligence Source</x:v>
      </x:c>
      <x:c r="G343" s="5" t="n">
        <x:v>1</x:v>
      </x:c>
      <x:c r="H343" s="5" t="n">
        <x:v>1</x:v>
      </x:c>
      <x:c r="I343" s="5" t="str">
        <x:v>Nasdaq Stockholm, EMA Orphan Designation Records</x:v>
      </x:c>
      <x:c r="J343" s="5" t="str">
        <x:v>SOURCE QUOTE; unvalidated / superseded assessments</x:v>
      </x:c>
      <x:c r="L343" s="31" t="str">
        <x:v>D01, Markdown line 663; http://nas-1.tail55d152.ts.net:4100/static/2S_CONSULTING_NORDIC_OUTREACH_STRATEGY.html</x:v>
      </x:c>
    </x:row>
    <x:row r="344" ht="42" customHeight="1">
      <x:c r="A344" s="5" t="str">
        <x:v>D01</x:v>
      </x:c>
      <x:c r="B344" s="5" t="str">
        <x:v>D01-T08</x:v>
      </x:c>
      <x:c r="C344" s="5" t="str">
        <x:v>12.2 NATO STANAG 2017/2018 Admiralty Audit ($\ge \text{B2}$)</x:v>
      </x:c>
      <x:c r="D344" s="5" t="n">
        <x:v>663</x:v>
      </x:c>
      <x:c r="E344" s="5" t="n">
        <x:v>4</x:v>
      </x:c>
      <x:c r="F344" s="5" t="str">
        <x:v>Source Reliability</x:v>
      </x:c>
      <x:c r="G344" s="5" t="n">
        <x:v>1</x:v>
      </x:c>
      <x:c r="H344" s="5" t="n">
        <x:v>1</x:v>
      </x:c>
      <x:c r="I344" s="5" t="str">
        <x:v>A (Completely Reliable)</x:v>
      </x:c>
      <x:c r="J344" s="5" t="str">
        <x:v>SOURCE QUOTE; unvalidated / superseded assessments</x:v>
      </x:c>
      <x:c r="L344" s="31" t="str">
        <x:v>D01, Markdown line 663; http://nas-1.tail55d152.ts.net:4100/static/2S_CONSULTING_NORDIC_OUTREACH_STRATEGY.html</x:v>
      </x:c>
    </x:row>
    <x:row r="345" ht="42" customHeight="1">
      <x:c r="A345" s="5" t="str">
        <x:v>D01</x:v>
      </x:c>
      <x:c r="B345" s="5" t="str">
        <x:v>D01-T08</x:v>
      </x:c>
      <x:c r="C345" s="5" t="str">
        <x:v>12.2 NATO STANAG 2017/2018 Admiralty Audit ($\ge \text{B2}$)</x:v>
      </x:c>
      <x:c r="D345" s="5" t="n">
        <x:v>663</x:v>
      </x:c>
      <x:c r="E345" s="5" t="n">
        <x:v>5</x:v>
      </x:c>
      <x:c r="F345" s="5" t="str">
        <x:v>Information Credibility</x:v>
      </x:c>
      <x:c r="G345" s="5" t="n">
        <x:v>1</x:v>
      </x:c>
      <x:c r="H345" s="5" t="n">
        <x:v>1</x:v>
      </x:c>
      <x:c r="I345" s="5" t="str">
        <x:v>1 (Confirmed by Other Sources)</x:v>
      </x:c>
      <x:c r="J345" s="5" t="str">
        <x:v>SOURCE QUOTE; unvalidated / superseded assessments</x:v>
      </x:c>
      <x:c r="L345" s="31" t="str">
        <x:v>D01, Markdown line 663; http://nas-1.tail55d152.ts.net:4100/static/2S_CONSULTING_NORDIC_OUTREACH_STRATEGY.html</x:v>
      </x:c>
    </x:row>
    <x:row r="346" ht="42" customHeight="1">
      <x:c r="A346" s="5" t="str">
        <x:v>D01</x:v>
      </x:c>
      <x:c r="B346" s="5" t="str">
        <x:v>D01-T08</x:v>
      </x:c>
      <x:c r="C346" s="5" t="str">
        <x:v>12.2 NATO STANAG 2017/2018 Admiralty Audit ($\ge \text{B2}$)</x:v>
      </x:c>
      <x:c r="D346" s="5" t="n">
        <x:v>663</x:v>
      </x:c>
      <x:c r="E346" s="5" t="n">
        <x:v>6</x:v>
      </x:c>
      <x:c r="F346" s="5" t="str">
        <x:v>Combined Admiralty Rating</x:v>
      </x:c>
      <x:c r="G346" s="5" t="n">
        <x:v>1</x:v>
      </x:c>
      <x:c r="H346" s="5" t="n">
        <x:v>1</x:v>
      </x:c>
      <x:c r="I346" s="5" t="str">
        <x:v>A1</x:v>
      </x:c>
      <x:c r="J346" s="5" t="str">
        <x:v>SOURCE QUOTE; unvalidated / superseded assessments</x:v>
      </x:c>
      <x:c r="L346" s="31" t="str">
        <x:v>D01, Markdown line 663; http://nas-1.tail55d152.ts.net:4100/static/2S_CONSULTING_NORDIC_OUTREACH_STRATEGY.html</x:v>
      </x:c>
    </x:row>
    <x:row r="347" ht="42" customHeight="1">
      <x:c r="A347" s="5" t="str">
        <x:v>D01</x:v>
      </x:c>
      <x:c r="B347" s="5" t="str">
        <x:v>D01-T08</x:v>
      </x:c>
      <x:c r="C347" s="5" t="str">
        <x:v>12.2 NATO STANAG 2017/2018 Admiralty Audit ($\ge \text{B2}$)</x:v>
      </x:c>
      <x:c r="D347" s="5" t="n">
        <x:v>663</x:v>
      </x:c>
      <x:c r="E347" s="5" t="n">
        <x:v>7</x:v>
      </x:c>
      <x:c r="F347" s="5" t="str">
        <x:v>Audit Status</x:v>
      </x:c>
      <x:c r="G347" s="5" t="n">
        <x:v>1</x:v>
      </x:c>
      <x:c r="H347" s="5" t="n">
        <x:v>1</x:v>
      </x:c>
      <x:c r="I347" s="5" t="str">
        <x:v>PASS</x:v>
      </x:c>
      <x:c r="J347" s="5" t="str">
        <x:v>SOURCE QUOTE; unvalidated / superseded assessments</x:v>
      </x:c>
      <x:c r="L347" s="31" t="str">
        <x:v>D01, Markdown line 663; http://nas-1.tail55d152.ts.net:4100/static/2S_CONSULTING_NORDIC_OUTREACH_STRATEGY.html</x:v>
      </x:c>
    </x:row>
    <x:row r="348" ht="42" customHeight="1">
      <x:c r="A348" s="5" t="str">
        <x:v>D01</x:v>
      </x:c>
      <x:c r="B348" s="5" t="str">
        <x:v>D01-T08</x:v>
      </x:c>
      <x:c r="C348" s="5" t="str">
        <x:v>12.2 NATO STANAG 2017/2018 Admiralty Audit ($\ge \text{B2}$)</x:v>
      </x:c>
      <x:c r="D348" s="5" t="n">
        <x:v>664</x:v>
      </x:c>
      <x:c r="E348" s="5" t="n">
        <x:v>1</x:v>
      </x:c>
      <x:c r="F348" s="5" t="str">
        <x:v>Commercial Entity</x:v>
      </x:c>
      <x:c r="G348" s="5" t="n">
        <x:v>1</x:v>
      </x:c>
      <x:c r="H348" s="5" t="n">
        <x:v>1</x:v>
      </x:c>
      <x:c r="I348" s="5" t="str">
        <x:v>Biotage AB</x:v>
      </x:c>
      <x:c r="J348" s="5" t="str">
        <x:v>SOURCE QUOTE; unvalidated / superseded assessments</x:v>
      </x:c>
      <x:c r="L348" s="31" t="str">
        <x:v>D01, Markdown line 664; http://nas-1.tail55d152.ts.net:4100/static/2S_CONSULTING_NORDIC_OUTREACH_STRATEGY.html</x:v>
      </x:c>
    </x:row>
    <x:row r="349" ht="42" customHeight="1">
      <x:c r="A349" s="5" t="str">
        <x:v>D01</x:v>
      </x:c>
      <x:c r="B349" s="5" t="str">
        <x:v>D01-T08</x:v>
      </x:c>
      <x:c r="C349" s="5" t="str">
        <x:v>12.2 NATO STANAG 2017/2018 Admiralty Audit ($\ge \text{B2}$)</x:v>
      </x:c>
      <x:c r="D349" s="5" t="n">
        <x:v>664</x:v>
      </x:c>
      <x:c r="E349" s="5" t="n">
        <x:v>2</x:v>
      </x:c>
      <x:c r="F349" s="5" t="str">
        <x:v>Country</x:v>
      </x:c>
      <x:c r="G349" s="5" t="n">
        <x:v>1</x:v>
      </x:c>
      <x:c r="H349" s="5" t="n">
        <x:v>1</x:v>
      </x:c>
      <x:c r="I349" s="5" t="str">
        <x:v>Sweden</x:v>
      </x:c>
      <x:c r="J349" s="5" t="str">
        <x:v>SOURCE QUOTE; unvalidated / superseded assessments</x:v>
      </x:c>
      <x:c r="L349" s="31" t="str">
        <x:v>D01, Markdown line 664; http://nas-1.tail55d152.ts.net:4100/static/2S_CONSULTING_NORDIC_OUTREACH_STRATEGY.html</x:v>
      </x:c>
    </x:row>
    <x:row r="350" ht="42" customHeight="1">
      <x:c r="A350" s="5" t="str">
        <x:v>D01</x:v>
      </x:c>
      <x:c r="B350" s="5" t="str">
        <x:v>D01-T08</x:v>
      </x:c>
      <x:c r="C350" s="5" t="str">
        <x:v>12.2 NATO STANAG 2017/2018 Admiralty Audit ($\ge \text{B2}$)</x:v>
      </x:c>
      <x:c r="D350" s="5" t="n">
        <x:v>664</x:v>
      </x:c>
      <x:c r="E350" s="5" t="n">
        <x:v>3</x:v>
      </x:c>
      <x:c r="F350" s="5" t="str">
        <x:v>Intelligence Source</x:v>
      </x:c>
      <x:c r="G350" s="5" t="n">
        <x:v>1</x:v>
      </x:c>
      <x:c r="H350" s="5" t="n">
        <x:v>1</x:v>
      </x:c>
      <x:c r="I350" s="5" t="str">
        <x:v>Nasdaq Stockholm, Audited Financial Reports</x:v>
      </x:c>
      <x:c r="J350" s="5" t="str">
        <x:v>SOURCE QUOTE; unvalidated / superseded assessments</x:v>
      </x:c>
      <x:c r="L350" s="31" t="str">
        <x:v>D01, Markdown line 664; http://nas-1.tail55d152.ts.net:4100/static/2S_CONSULTING_NORDIC_OUTREACH_STRATEGY.html</x:v>
      </x:c>
    </x:row>
    <x:row r="351" ht="42" customHeight="1">
      <x:c r="A351" s="5" t="str">
        <x:v>D01</x:v>
      </x:c>
      <x:c r="B351" s="5" t="str">
        <x:v>D01-T08</x:v>
      </x:c>
      <x:c r="C351" s="5" t="str">
        <x:v>12.2 NATO STANAG 2017/2018 Admiralty Audit ($\ge \text{B2}$)</x:v>
      </x:c>
      <x:c r="D351" s="5" t="n">
        <x:v>664</x:v>
      </x:c>
      <x:c r="E351" s="5" t="n">
        <x:v>4</x:v>
      </x:c>
      <x:c r="F351" s="5" t="str">
        <x:v>Source Reliability</x:v>
      </x:c>
      <x:c r="G351" s="5" t="n">
        <x:v>1</x:v>
      </x:c>
      <x:c r="H351" s="5" t="n">
        <x:v>1</x:v>
      </x:c>
      <x:c r="I351" s="5" t="str">
        <x:v>A (Completely Reliable)</x:v>
      </x:c>
      <x:c r="J351" s="5" t="str">
        <x:v>SOURCE QUOTE; unvalidated / superseded assessments</x:v>
      </x:c>
      <x:c r="L351" s="31" t="str">
        <x:v>D01, Markdown line 664; http://nas-1.tail55d152.ts.net:4100/static/2S_CONSULTING_NORDIC_OUTREACH_STRATEGY.html</x:v>
      </x:c>
    </x:row>
    <x:row r="352" ht="42" customHeight="1">
      <x:c r="A352" s="5" t="str">
        <x:v>D01</x:v>
      </x:c>
      <x:c r="B352" s="5" t="str">
        <x:v>D01-T08</x:v>
      </x:c>
      <x:c r="C352" s="5" t="str">
        <x:v>12.2 NATO STANAG 2017/2018 Admiralty Audit ($\ge \text{B2}$)</x:v>
      </x:c>
      <x:c r="D352" s="5" t="n">
        <x:v>664</x:v>
      </x:c>
      <x:c r="E352" s="5" t="n">
        <x:v>5</x:v>
      </x:c>
      <x:c r="F352" s="5" t="str">
        <x:v>Information Credibility</x:v>
      </x:c>
      <x:c r="G352" s="5" t="n">
        <x:v>1</x:v>
      </x:c>
      <x:c r="H352" s="5" t="n">
        <x:v>1</x:v>
      </x:c>
      <x:c r="I352" s="5" t="str">
        <x:v>1 (Confirmed by Other Sources)</x:v>
      </x:c>
      <x:c r="J352" s="5" t="str">
        <x:v>SOURCE QUOTE; unvalidated / superseded assessments</x:v>
      </x:c>
      <x:c r="L352" s="31" t="str">
        <x:v>D01, Markdown line 664; http://nas-1.tail55d152.ts.net:4100/static/2S_CONSULTING_NORDIC_OUTREACH_STRATEGY.html</x:v>
      </x:c>
    </x:row>
    <x:row r="353" ht="42" customHeight="1">
      <x:c r="A353" s="5" t="str">
        <x:v>D01</x:v>
      </x:c>
      <x:c r="B353" s="5" t="str">
        <x:v>D01-T08</x:v>
      </x:c>
      <x:c r="C353" s="5" t="str">
        <x:v>12.2 NATO STANAG 2017/2018 Admiralty Audit ($\ge \text{B2}$)</x:v>
      </x:c>
      <x:c r="D353" s="5" t="n">
        <x:v>664</x:v>
      </x:c>
      <x:c r="E353" s="5" t="n">
        <x:v>6</x:v>
      </x:c>
      <x:c r="F353" s="5" t="str">
        <x:v>Combined Admiralty Rating</x:v>
      </x:c>
      <x:c r="G353" s="5" t="n">
        <x:v>1</x:v>
      </x:c>
      <x:c r="H353" s="5" t="n">
        <x:v>1</x:v>
      </x:c>
      <x:c r="I353" s="5" t="str">
        <x:v>A1</x:v>
      </x:c>
      <x:c r="J353" s="5" t="str">
        <x:v>SOURCE QUOTE; unvalidated / superseded assessments</x:v>
      </x:c>
      <x:c r="L353" s="31" t="str">
        <x:v>D01, Markdown line 664; http://nas-1.tail55d152.ts.net:4100/static/2S_CONSULTING_NORDIC_OUTREACH_STRATEGY.html</x:v>
      </x:c>
    </x:row>
    <x:row r="354" ht="42" customHeight="1">
      <x:c r="A354" s="5" t="str">
        <x:v>D01</x:v>
      </x:c>
      <x:c r="B354" s="5" t="str">
        <x:v>D01-T08</x:v>
      </x:c>
      <x:c r="C354" s="5" t="str">
        <x:v>12.2 NATO STANAG 2017/2018 Admiralty Audit ($\ge \text{B2}$)</x:v>
      </x:c>
      <x:c r="D354" s="5" t="n">
        <x:v>664</x:v>
      </x:c>
      <x:c r="E354" s="5" t="n">
        <x:v>7</x:v>
      </x:c>
      <x:c r="F354" s="5" t="str">
        <x:v>Audit Status</x:v>
      </x:c>
      <x:c r="G354" s="5" t="n">
        <x:v>1</x:v>
      </x:c>
      <x:c r="H354" s="5" t="n">
        <x:v>1</x:v>
      </x:c>
      <x:c r="I354" s="5" t="str">
        <x:v>PASS</x:v>
      </x:c>
      <x:c r="J354" s="5" t="str">
        <x:v>SOURCE QUOTE; unvalidated / superseded assessments</x:v>
      </x:c>
      <x:c r="L354" s="31" t="str">
        <x:v>D01, Markdown line 664; http://nas-1.tail55d152.ts.net:4100/static/2S_CONSULTING_NORDIC_OUTREACH_STRATEGY.html</x:v>
      </x:c>
    </x:row>
    <x:row r="355" ht="42" customHeight="1">
      <x:c r="A355" s="5" t="str">
        <x:v>D01</x:v>
      </x:c>
      <x:c r="B355" s="5" t="str">
        <x:v>D01-T08</x:v>
      </x:c>
      <x:c r="C355" s="5" t="str">
        <x:v>12.2 NATO STANAG 2017/2018 Admiralty Audit ($\ge \text{B2}$)</x:v>
      </x:c>
      <x:c r="D355" s="5" t="n">
        <x:v>665</x:v>
      </x:c>
      <x:c r="E355" s="5" t="n">
        <x:v>1</x:v>
      </x:c>
      <x:c r="F355" s="5" t="str">
        <x:v>Commercial Entity</x:v>
      </x:c>
      <x:c r="G355" s="5" t="n">
        <x:v>1</x:v>
      </x:c>
      <x:c r="H355" s="5" t="n">
        <x:v>1</x:v>
      </x:c>
      <x:c r="I355" s="5" t="str">
        <x:v>EQL Pharma AB</x:v>
      </x:c>
      <x:c r="J355" s="5" t="str">
        <x:v>SOURCE QUOTE; unvalidated / superseded assessments</x:v>
      </x:c>
      <x:c r="L355" s="31" t="str">
        <x:v>D01, Markdown line 665; http://nas-1.tail55d152.ts.net:4100/static/2S_CONSULTING_NORDIC_OUTREACH_STRATEGY.html</x:v>
      </x:c>
    </x:row>
    <x:row r="356" ht="42" customHeight="1">
      <x:c r="A356" s="5" t="str">
        <x:v>D01</x:v>
      </x:c>
      <x:c r="B356" s="5" t="str">
        <x:v>D01-T08</x:v>
      </x:c>
      <x:c r="C356" s="5" t="str">
        <x:v>12.2 NATO STANAG 2017/2018 Admiralty Audit ($\ge \text{B2}$)</x:v>
      </x:c>
      <x:c r="D356" s="5" t="n">
        <x:v>665</x:v>
      </x:c>
      <x:c r="E356" s="5" t="n">
        <x:v>2</x:v>
      </x:c>
      <x:c r="F356" s="5" t="str">
        <x:v>Country</x:v>
      </x:c>
      <x:c r="G356" s="5" t="n">
        <x:v>1</x:v>
      </x:c>
      <x:c r="H356" s="5" t="n">
        <x:v>1</x:v>
      </x:c>
      <x:c r="I356" s="5" t="str">
        <x:v>Sweden</x:v>
      </x:c>
      <x:c r="J356" s="5" t="str">
        <x:v>SOURCE QUOTE; unvalidated / superseded assessments</x:v>
      </x:c>
      <x:c r="L356" s="31" t="str">
        <x:v>D01, Markdown line 665; http://nas-1.tail55d152.ts.net:4100/static/2S_CONSULTING_NORDIC_OUTREACH_STRATEGY.html</x:v>
      </x:c>
    </x:row>
    <x:row r="357" ht="42" customHeight="1">
      <x:c r="A357" s="5" t="str">
        <x:v>D01</x:v>
      </x:c>
      <x:c r="B357" s="5" t="str">
        <x:v>D01-T08</x:v>
      </x:c>
      <x:c r="C357" s="5" t="str">
        <x:v>12.2 NATO STANAG 2017/2018 Admiralty Audit ($\ge \text{B2}$)</x:v>
      </x:c>
      <x:c r="D357" s="5" t="n">
        <x:v>665</x:v>
      </x:c>
      <x:c r="E357" s="5" t="n">
        <x:v>3</x:v>
      </x:c>
      <x:c r="F357" s="5" t="str">
        <x:v>Intelligence Source</x:v>
      </x:c>
      <x:c r="G357" s="5" t="n">
        <x:v>1</x:v>
      </x:c>
      <x:c r="H357" s="5" t="n">
        <x:v>1</x:v>
      </x:c>
      <x:c r="I357" s="5" t="str">
        <x:v>Nasdaq Stockholm, Nordic Tender Award Notices</x:v>
      </x:c>
      <x:c r="J357" s="5" t="str">
        <x:v>SOURCE QUOTE; unvalidated / superseded assessments</x:v>
      </x:c>
      <x:c r="L357" s="31" t="str">
        <x:v>D01, Markdown line 665; http://nas-1.tail55d152.ts.net:4100/static/2S_CONSULTING_NORDIC_OUTREACH_STRATEGY.html</x:v>
      </x:c>
    </x:row>
    <x:row r="358" ht="42" customHeight="1">
      <x:c r="A358" s="5" t="str">
        <x:v>D01</x:v>
      </x:c>
      <x:c r="B358" s="5" t="str">
        <x:v>D01-T08</x:v>
      </x:c>
      <x:c r="C358" s="5" t="str">
        <x:v>12.2 NATO STANAG 2017/2018 Admiralty Audit ($\ge \text{B2}$)</x:v>
      </x:c>
      <x:c r="D358" s="5" t="n">
        <x:v>665</x:v>
      </x:c>
      <x:c r="E358" s="5" t="n">
        <x:v>4</x:v>
      </x:c>
      <x:c r="F358" s="5" t="str">
        <x:v>Source Reliability</x:v>
      </x:c>
      <x:c r="G358" s="5" t="n">
        <x:v>1</x:v>
      </x:c>
      <x:c r="H358" s="5" t="n">
        <x:v>1</x:v>
      </x:c>
      <x:c r="I358" s="5" t="str">
        <x:v>A (Completely Reliable)</x:v>
      </x:c>
      <x:c r="J358" s="5" t="str">
        <x:v>SOURCE QUOTE; unvalidated / superseded assessments</x:v>
      </x:c>
      <x:c r="L358" s="31" t="str">
        <x:v>D01, Markdown line 665; http://nas-1.tail55d152.ts.net:4100/static/2S_CONSULTING_NORDIC_OUTREACH_STRATEGY.html</x:v>
      </x:c>
    </x:row>
    <x:row r="359" ht="42" customHeight="1">
      <x:c r="A359" s="5" t="str">
        <x:v>D01</x:v>
      </x:c>
      <x:c r="B359" s="5" t="str">
        <x:v>D01-T08</x:v>
      </x:c>
      <x:c r="C359" s="5" t="str">
        <x:v>12.2 NATO STANAG 2017/2018 Admiralty Audit ($\ge \text{B2}$)</x:v>
      </x:c>
      <x:c r="D359" s="5" t="n">
        <x:v>665</x:v>
      </x:c>
      <x:c r="E359" s="5" t="n">
        <x:v>5</x:v>
      </x:c>
      <x:c r="F359" s="5" t="str">
        <x:v>Information Credibility</x:v>
      </x:c>
      <x:c r="G359" s="5" t="n">
        <x:v>1</x:v>
      </x:c>
      <x:c r="H359" s="5" t="n">
        <x:v>1</x:v>
      </x:c>
      <x:c r="I359" s="5" t="str">
        <x:v>2 (Probably True)</x:v>
      </x:c>
      <x:c r="J359" s="5" t="str">
        <x:v>SOURCE QUOTE; unvalidated / superseded assessments</x:v>
      </x:c>
      <x:c r="L359" s="31" t="str">
        <x:v>D01, Markdown line 665; http://nas-1.tail55d152.ts.net:4100/static/2S_CONSULTING_NORDIC_OUTREACH_STRATEGY.html</x:v>
      </x:c>
    </x:row>
    <x:row r="360" ht="42" customHeight="1">
      <x:c r="A360" s="5" t="str">
        <x:v>D01</x:v>
      </x:c>
      <x:c r="B360" s="5" t="str">
        <x:v>D01-T08</x:v>
      </x:c>
      <x:c r="C360" s="5" t="str">
        <x:v>12.2 NATO STANAG 2017/2018 Admiralty Audit ($\ge \text{B2}$)</x:v>
      </x:c>
      <x:c r="D360" s="5" t="n">
        <x:v>665</x:v>
      </x:c>
      <x:c r="E360" s="5" t="n">
        <x:v>6</x:v>
      </x:c>
      <x:c r="F360" s="5" t="str">
        <x:v>Combined Admiralty Rating</x:v>
      </x:c>
      <x:c r="G360" s="5" t="n">
        <x:v>1</x:v>
      </x:c>
      <x:c r="H360" s="5" t="n">
        <x:v>1</x:v>
      </x:c>
      <x:c r="I360" s="5" t="str">
        <x:v>A2</x:v>
      </x:c>
      <x:c r="J360" s="5" t="str">
        <x:v>SOURCE QUOTE; unvalidated / superseded assessments</x:v>
      </x:c>
      <x:c r="L360" s="31" t="str">
        <x:v>D01, Markdown line 665; http://nas-1.tail55d152.ts.net:4100/static/2S_CONSULTING_NORDIC_OUTREACH_STRATEGY.html</x:v>
      </x:c>
    </x:row>
    <x:row r="361" ht="42" customHeight="1">
      <x:c r="A361" s="5" t="str">
        <x:v>D01</x:v>
      </x:c>
      <x:c r="B361" s="5" t="str">
        <x:v>D01-T08</x:v>
      </x:c>
      <x:c r="C361" s="5" t="str">
        <x:v>12.2 NATO STANAG 2017/2018 Admiralty Audit ($\ge \text{B2}$)</x:v>
      </x:c>
      <x:c r="D361" s="5" t="n">
        <x:v>665</x:v>
      </x:c>
      <x:c r="E361" s="5" t="n">
        <x:v>7</x:v>
      </x:c>
      <x:c r="F361" s="5" t="str">
        <x:v>Audit Status</x:v>
      </x:c>
      <x:c r="G361" s="5" t="n">
        <x:v>1</x:v>
      </x:c>
      <x:c r="H361" s="5" t="n">
        <x:v>1</x:v>
      </x:c>
      <x:c r="I361" s="5" t="str">
        <x:v>PASS</x:v>
      </x:c>
      <x:c r="J361" s="5" t="str">
        <x:v>SOURCE QUOTE; unvalidated / superseded assessments</x:v>
      </x:c>
      <x:c r="L361" s="31" t="str">
        <x:v>D01, Markdown line 665; http://nas-1.tail55d152.ts.net:4100/static/2S_CONSULTING_NORDIC_OUTREACH_STRATEGY.html</x:v>
      </x:c>
    </x:row>
    <x:row r="362" ht="42" customHeight="1">
      <x:c r="A362" s="5" t="str">
        <x:v>D01</x:v>
      </x:c>
      <x:c r="B362" s="5" t="str">
        <x:v>D01-T09</x:v>
      </x:c>
      <x:c r="C362" s="5" t="str">
        <x:v>13. Complete Sovereign Artifact Registry &amp; Inter-Connected FQDN Network</x:v>
      </x:c>
      <x:c r="D362" s="5" t="n">
        <x:v>692</x:v>
      </x:c>
      <x:c r="E362" s="5" t="n">
        <x:v>1</x:v>
      </x:c>
      <x:c r="F362" s="5" t="str">
        <x:v>Artifact ID</x:v>
      </x:c>
      <x:c r="G362" s="5" t="n">
        <x:v>1</x:v>
      </x:c>
      <x:c r="H362" s="5" t="n">
        <x:v>1</x:v>
      </x:c>
      <x:c r="I362" s="5" t="str">
        <x:v>ART-01</x:v>
      </x:c>
      <x:c r="J362" s="5" t="str">
        <x:v>SOURCE QUOTE; unvalidated / superseded assessments</x:v>
      </x:c>
      <x:c r="L362" s="31" t="str">
        <x:v>D01, Markdown line 692; http://nas-1.tail55d152.ts.net:4100/static/2S_CONSULTING_NORDIC_OUTREACH_STRATEGY.html</x:v>
      </x:c>
    </x:row>
    <x:row r="363" ht="42" customHeight="1">
      <x:c r="A363" s="5" t="str">
        <x:v>D01</x:v>
      </x:c>
      <x:c r="B363" s="5" t="str">
        <x:v>D01-T09</x:v>
      </x:c>
      <x:c r="C363" s="5" t="str">
        <x:v>13. Complete Sovereign Artifact Registry &amp; Inter-Connected FQDN Network</x:v>
      </x:c>
      <x:c r="D363" s="5" t="n">
        <x:v>692</x:v>
      </x:c>
      <x:c r="E363" s="5" t="n">
        <x:v>2</x:v>
      </x:c>
      <x:c r="F363" s="5" t="str">
        <x:v>Deliverable Asset Description</x:v>
      </x:c>
      <x:c r="G363" s="5" t="n">
        <x:v>1</x:v>
      </x:c>
      <x:c r="H363" s="5" t="n">
        <x:v>1</x:v>
      </x:c>
      <x:c r="I363" s="5" t="str">
        <x:v>Nordic Market Outreach Strategy (Master Document)</x:v>
      </x:c>
      <x:c r="J363" s="5" t="str">
        <x:v>SOURCE QUOTE; unvalidated / superseded assessments</x:v>
      </x:c>
      <x:c r="L363" s="31" t="str">
        <x:v>D01, Markdown line 692; http://nas-1.tail55d152.ts.net:4100/static/2S_CONSULTING_NORDIC_OUTREACH_STRATEGY.html</x:v>
      </x:c>
    </x:row>
    <x:row r="364" ht="42" customHeight="1">
      <x:c r="A364" s="5" t="str">
        <x:v>D01</x:v>
      </x:c>
      <x:c r="B364" s="5" t="str">
        <x:v>D01-T09</x:v>
      </x:c>
      <x:c r="C364" s="5" t="str">
        <x:v>13. Complete Sovereign Artifact Registry &amp; Inter-Connected FQDN Network</x:v>
      </x:c>
      <x:c r="D364" s="5" t="n">
        <x:v>692</x:v>
      </x:c>
      <x:c r="E364" s="5" t="n">
        <x:v>3</x:v>
      </x:c>
      <x:c r="F364" s="5" t="str">
        <x:v>Format</x:v>
      </x:c>
      <x:c r="G364" s="5" t="n">
        <x:v>1</x:v>
      </x:c>
      <x:c r="H364" s="5" t="n">
        <x:v>1</x:v>
      </x:c>
      <x:c r="I364" s="5" t="str">
        <x:v>Rich HTML + MD</x:v>
      </x:c>
      <x:c r="J364" s="5" t="str">
        <x:v>SOURCE QUOTE; unvalidated / superseded assessments</x:v>
      </x:c>
      <x:c r="L364" s="31" t="str">
        <x:v>D01, Markdown line 692; http://nas-1.tail55d152.ts.net:4100/static/2S_CONSULTING_NORDIC_OUTREACH_STRATEGY.html</x:v>
      </x:c>
    </x:row>
    <x:row r="365" ht="42" customHeight="1">
      <x:c r="A365" s="5" t="str">
        <x:v>D01</x:v>
      </x:c>
      <x:c r="B365" s="5" t="str">
        <x:v>D01-T09</x:v>
      </x:c>
      <x:c r="C365" s="5" t="str">
        <x:v>13. Complete Sovereign Artifact Registry &amp; Inter-Connected FQDN Network</x:v>
      </x:c>
      <x:c r="D365" s="5" t="n">
        <x:v>692</x:v>
      </x:c>
      <x:c r="E365" s="5" t="n">
        <x:v>4</x:v>
      </x:c>
      <x:c r="F365" s="5" t="str">
        <x:v>Authoritative Web View (Tailscale FQDN)</x:v>
      </x:c>
      <x:c r="G365" s="5" t="n">
        <x:v>1</x:v>
      </x:c>
      <x:c r="H365" s="5" t="n">
        <x:v>1</x:v>
      </x:c>
      <x:c r="I365" s="5" t="str">
        <x:v>[Open Web App](http://nas-1.tail55d152.ts.net:4100/static/2S_CONSULTING_NORDIC_OUTREACH_STRATEGY.html)</x:v>
      </x:c>
      <x:c r="J365" s="5" t="str">
        <x:v>SOURCE QUOTE; unvalidated / superseded assessments</x:v>
      </x:c>
      <x:c r="L365" s="31" t="str">
        <x:v>D01, Markdown line 692; http://nas-1.tail55d152.ts.net:4100/static/2S_CONSULTING_NORDIC_OUTREACH_STRATEGY.html</x:v>
      </x:c>
    </x:row>
    <x:row r="366" ht="42" customHeight="1">
      <x:c r="A366" s="5" t="str">
        <x:v>D01</x:v>
      </x:c>
      <x:c r="B366" s="5" t="str">
        <x:v>D01-T09</x:v>
      </x:c>
      <x:c r="C366" s="5" t="str">
        <x:v>13. Complete Sovereign Artifact Registry &amp; Inter-Connected FQDN Network</x:v>
      </x:c>
      <x:c r="D366" s="5" t="n">
        <x:v>692</x:v>
      </x:c>
      <x:c r="E366" s="5" t="n">
        <x:v>5</x:v>
      </x:c>
      <x:c r="F366" s="5" t="str">
        <x:v>Source Markdown / Script</x:v>
      </x:c>
      <x:c r="G366" s="5" t="n">
        <x:v>1</x:v>
      </x:c>
      <x:c r="H366" s="5" t="n">
        <x:v>1</x:v>
      </x:c>
      <x:c r="I366" s="5" t="str">
        <x:v>[2S_CONSULTING_NORDIC_OUTREACH_STRATEGY.md](http://nas-1.tail55d152.ts.net:4100/docs/journal/2S_CONSULTING_NORDIC_OUTREACH_STRATEGY.md)</x:v>
      </x:c>
      <x:c r="J366" s="5" t="str">
        <x:v>SOURCE QUOTE; unvalidated / superseded assessments</x:v>
      </x:c>
      <x:c r="L366" s="31" t="str">
        <x:v>D01, Markdown line 692; http://nas-1.tail55d152.ts.net:4100/static/2S_CONSULTING_NORDIC_OUTREACH_STRATEGY.html</x:v>
      </x:c>
    </x:row>
    <x:row r="367" ht="42" customHeight="1">
      <x:c r="A367" s="5" t="str">
        <x:v>D01</x:v>
      </x:c>
      <x:c r="B367" s="5" t="str">
        <x:v>D01-T09</x:v>
      </x:c>
      <x:c r="C367" s="5" t="str">
        <x:v>13. Complete Sovereign Artifact Registry &amp; Inter-Connected FQDN Network</x:v>
      </x:c>
      <x:c r="D367" s="5" t="n">
        <x:v>692</x:v>
      </x:c>
      <x:c r="E367" s="5" t="n">
        <x:v>6</x:v>
      </x:c>
      <x:c r="F367" s="5" t="str">
        <x:v>Governance Status</x:v>
      </x:c>
      <x:c r="G367" s="5" t="n">
        <x:v>1</x:v>
      </x:c>
      <x:c r="H367" s="5" t="n">
        <x:v>1</x:v>
      </x:c>
      <x:c r="I367" s="5" t="str">
        <x:v>RATIFIED (SIL-6)</x:v>
      </x:c>
      <x:c r="J367" s="5" t="str">
        <x:v>SOURCE QUOTE; unvalidated / superseded assessments</x:v>
      </x:c>
      <x:c r="L367" s="31" t="str">
        <x:v>D01, Markdown line 692; http://nas-1.tail55d152.ts.net:4100/static/2S_CONSULTING_NORDIC_OUTREACH_STRATEGY.html</x:v>
      </x:c>
    </x:row>
    <x:row r="368" ht="42" customHeight="1">
      <x:c r="A368" s="5" t="str">
        <x:v>D01</x:v>
      </x:c>
      <x:c r="B368" s="5" t="str">
        <x:v>D01-T09</x:v>
      </x:c>
      <x:c r="C368" s="5" t="str">
        <x:v>13. Complete Sovereign Artifact Registry &amp; Inter-Connected FQDN Network</x:v>
      </x:c>
      <x:c r="D368" s="5" t="n">
        <x:v>693</x:v>
      </x:c>
      <x:c r="E368" s="5" t="n">
        <x:v>1</x:v>
      </x:c>
      <x:c r="F368" s="5" t="str">
        <x:v>Artifact ID</x:v>
      </x:c>
      <x:c r="G368" s="5" t="n">
        <x:v>1</x:v>
      </x:c>
      <x:c r="H368" s="5" t="n">
        <x:v>1</x:v>
      </x:c>
      <x:c r="I368" s="5" t="str">
        <x:v>ART-02</x:v>
      </x:c>
      <x:c r="J368" s="5" t="str">
        <x:v>SOURCE QUOTE; unvalidated / superseded assessments</x:v>
      </x:c>
      <x:c r="L368" s="31" t="str">
        <x:v>D01, Markdown line 693; http://nas-1.tail55d152.ts.net:4100/static/2S_CONSULTING_NORDIC_OUTREACH_STRATEGY.html</x:v>
      </x:c>
    </x:row>
    <x:row r="369" ht="42" customHeight="1">
      <x:c r="A369" s="5" t="str">
        <x:v>D01</x:v>
      </x:c>
      <x:c r="B369" s="5" t="str">
        <x:v>D01-T09</x:v>
      </x:c>
      <x:c r="C369" s="5" t="str">
        <x:v>13. Complete Sovereign Artifact Registry &amp; Inter-Connected FQDN Network</x:v>
      </x:c>
      <x:c r="D369" s="5" t="n">
        <x:v>693</x:v>
      </x:c>
      <x:c r="E369" s="5" t="n">
        <x:v>2</x:v>
      </x:c>
      <x:c r="F369" s="5" t="str">
        <x:v>Deliverable Asset Description</x:v>
      </x:c>
      <x:c r="G369" s="5" t="n">
        <x:v>1</x:v>
      </x:c>
      <x:c r="H369" s="5" t="n">
        <x:v>1</x:v>
      </x:c>
      <x:c r="I369" s="5" t="str">
        <x:v>Pharma &amp; Chemicals Sector Dossier (§6.1)</x:v>
      </x:c>
      <x:c r="J369" s="5" t="str">
        <x:v>SOURCE QUOTE; unvalidated / superseded assessments</x:v>
      </x:c>
      <x:c r="L369" s="31" t="str">
        <x:v>D01, Markdown line 693; http://nas-1.tail55d152.ts.net:4100/static/2S_CONSULTING_NORDIC_OUTREACH_STRATEGY.html</x:v>
      </x:c>
    </x:row>
    <x:row r="370" ht="42" customHeight="1">
      <x:c r="A370" s="5" t="str">
        <x:v>D01</x:v>
      </x:c>
      <x:c r="B370" s="5" t="str">
        <x:v>D01-T09</x:v>
      </x:c>
      <x:c r="C370" s="5" t="str">
        <x:v>13. Complete Sovereign Artifact Registry &amp; Inter-Connected FQDN Network</x:v>
      </x:c>
      <x:c r="D370" s="5" t="n">
        <x:v>693</x:v>
      </x:c>
      <x:c r="E370" s="5" t="n">
        <x:v>3</x:v>
      </x:c>
      <x:c r="F370" s="5" t="str">
        <x:v>Format</x:v>
      </x:c>
      <x:c r="G370" s="5" t="n">
        <x:v>1</x:v>
      </x:c>
      <x:c r="H370" s="5" t="n">
        <x:v>1</x:v>
      </x:c>
      <x:c r="I370" s="5" t="str">
        <x:v>Rich HTML + MD</x:v>
      </x:c>
      <x:c r="J370" s="5" t="str">
        <x:v>SOURCE QUOTE; unvalidated / superseded assessments</x:v>
      </x:c>
      <x:c r="L370" s="31" t="str">
        <x:v>D01, Markdown line 693; http://nas-1.tail55d152.ts.net:4100/static/2S_CONSULTING_NORDIC_OUTREACH_STRATEGY.html</x:v>
      </x:c>
    </x:row>
    <x:row r="371" ht="42" customHeight="1">
      <x:c r="A371" s="5" t="str">
        <x:v>D01</x:v>
      </x:c>
      <x:c r="B371" s="5" t="str">
        <x:v>D01-T09</x:v>
      </x:c>
      <x:c r="C371" s="5" t="str">
        <x:v>13. Complete Sovereign Artifact Registry &amp; Inter-Connected FQDN Network</x:v>
      </x:c>
      <x:c r="D371" s="5" t="n">
        <x:v>693</x:v>
      </x:c>
      <x:c r="E371" s="5" t="n">
        <x:v>4</x:v>
      </x:c>
      <x:c r="F371" s="5" t="str">
        <x:v>Authoritative Web View (Tailscale FQDN)</x:v>
      </x:c>
      <x:c r="G371" s="5" t="n">
        <x:v>1</x:v>
      </x:c>
      <x:c r="H371" s="5" t="n">
        <x:v>1</x:v>
      </x:c>
      <x:c r="I371" s="5" t="str">
        <x:v>[Open Web App](http://nas-1.tail55d152.ts.net:4100/static/2S_PHARMACEUTICALS_AND_CHEMICALS_SECTOR_DOSSIER.html)</x:v>
      </x:c>
      <x:c r="J371" s="5" t="str">
        <x:v>SOURCE QUOTE; unvalidated / superseded assessments</x:v>
      </x:c>
      <x:c r="L371" s="31" t="str">
        <x:v>D01, Markdown line 693; http://nas-1.tail55d152.ts.net:4100/static/2S_CONSULTING_NORDIC_OUTREACH_STRATEGY.html</x:v>
      </x:c>
    </x:row>
    <x:row r="372" ht="42" customHeight="1">
      <x:c r="A372" s="5" t="str">
        <x:v>D01</x:v>
      </x:c>
      <x:c r="B372" s="5" t="str">
        <x:v>D01-T09</x:v>
      </x:c>
      <x:c r="C372" s="5" t="str">
        <x:v>13. Complete Sovereign Artifact Registry &amp; Inter-Connected FQDN Network</x:v>
      </x:c>
      <x:c r="D372" s="5" t="n">
        <x:v>693</x:v>
      </x:c>
      <x:c r="E372" s="5" t="n">
        <x:v>5</x:v>
      </x:c>
      <x:c r="F372" s="5" t="str">
        <x:v>Source Markdown / Script</x:v>
      </x:c>
      <x:c r="G372" s="5" t="n">
        <x:v>1</x:v>
      </x:c>
      <x:c r="H372" s="5" t="n">
        <x:v>1</x:v>
      </x:c>
      <x:c r="I372" s="5" t="str">
        <x:v>[2S_PHARMACEUTICALS_AND_CHEMICALS_SECTOR_DOSSIER.md](http://nas-1.tail55d152.ts.net:4100/docs/journal/2S_PHARMACEUTICALS_AND_CHEMICALS_SECTOR_DOSSIER.md)</x:v>
      </x:c>
      <x:c r="J372" s="5" t="str">
        <x:v>SOURCE QUOTE; unvalidated / superseded assessments</x:v>
      </x:c>
      <x:c r="L372" s="31" t="str">
        <x:v>D01, Markdown line 693; http://nas-1.tail55d152.ts.net:4100/static/2S_CONSULTING_NORDIC_OUTREACH_STRATEGY.html</x:v>
      </x:c>
    </x:row>
    <x:row r="373" ht="42" customHeight="1">
      <x:c r="A373" s="5" t="str">
        <x:v>D01</x:v>
      </x:c>
      <x:c r="B373" s="5" t="str">
        <x:v>D01-T09</x:v>
      </x:c>
      <x:c r="C373" s="5" t="str">
        <x:v>13. Complete Sovereign Artifact Registry &amp; Inter-Connected FQDN Network</x:v>
      </x:c>
      <x:c r="D373" s="5" t="n">
        <x:v>693</x:v>
      </x:c>
      <x:c r="E373" s="5" t="n">
        <x:v>6</x:v>
      </x:c>
      <x:c r="F373" s="5" t="str">
        <x:v>Governance Status</x:v>
      </x:c>
      <x:c r="G373" s="5" t="n">
        <x:v>1</x:v>
      </x:c>
      <x:c r="H373" s="5" t="n">
        <x:v>1</x:v>
      </x:c>
      <x:c r="I373" s="5" t="str">
        <x:v>RATIFIED (SIL-6)</x:v>
      </x:c>
      <x:c r="J373" s="5" t="str">
        <x:v>SOURCE QUOTE; unvalidated / superseded assessments</x:v>
      </x:c>
      <x:c r="L373" s="31" t="str">
        <x:v>D01, Markdown line 693; http://nas-1.tail55d152.ts.net:4100/static/2S_CONSULTING_NORDIC_OUTREACH_STRATEGY.html</x:v>
      </x:c>
    </x:row>
    <x:row r="374" ht="42" customHeight="1">
      <x:c r="A374" s="5" t="str">
        <x:v>D01</x:v>
      </x:c>
      <x:c r="B374" s="5" t="str">
        <x:v>D01-T09</x:v>
      </x:c>
      <x:c r="C374" s="5" t="str">
        <x:v>13. Complete Sovereign Artifact Registry &amp; Inter-Connected FQDN Network</x:v>
      </x:c>
      <x:c r="D374" s="5" t="n">
        <x:v>694</x:v>
      </x:c>
      <x:c r="E374" s="5" t="n">
        <x:v>1</x:v>
      </x:c>
      <x:c r="F374" s="5" t="str">
        <x:v>Artifact ID</x:v>
      </x:c>
      <x:c r="G374" s="5" t="n">
        <x:v>1</x:v>
      </x:c>
      <x:c r="H374" s="5" t="n">
        <x:v>1</x:v>
      </x:c>
      <x:c r="I374" s="5" t="str">
        <x:v>ART-03</x:v>
      </x:c>
      <x:c r="J374" s="5" t="str">
        <x:v>SOURCE QUOTE; unvalidated / superseded assessments</x:v>
      </x:c>
      <x:c r="L374" s="31" t="str">
        <x:v>D01, Markdown line 694; http://nas-1.tail55d152.ts.net:4100/static/2S_CONSULTING_NORDIC_OUTREACH_STRATEGY.html</x:v>
      </x:c>
    </x:row>
    <x:row r="375" ht="42" customHeight="1">
      <x:c r="A375" s="5" t="str">
        <x:v>D01</x:v>
      </x:c>
      <x:c r="B375" s="5" t="str">
        <x:v>D01-T09</x:v>
      </x:c>
      <x:c r="C375" s="5" t="str">
        <x:v>13. Complete Sovereign Artifact Registry &amp; Inter-Connected FQDN Network</x:v>
      </x:c>
      <x:c r="D375" s="5" t="n">
        <x:v>694</x:v>
      </x:c>
      <x:c r="E375" s="5" t="n">
        <x:v>2</x:v>
      </x:c>
      <x:c r="F375" s="5" t="str">
        <x:v>Deliverable Asset Description</x:v>
      </x:c>
      <x:c r="G375" s="5" t="n">
        <x:v>1</x:v>
      </x:c>
      <x:c r="H375" s="5" t="n">
        <x:v>1</x:v>
      </x:c>
      <x:c r="I375" s="5" t="str">
        <x:v>Pharma Three Pillars Operational Blueprint</x:v>
      </x:c>
      <x:c r="J375" s="5" t="str">
        <x:v>SOURCE QUOTE; unvalidated / superseded assessments</x:v>
      </x:c>
      <x:c r="L375" s="31" t="str">
        <x:v>D01, Markdown line 694; http://nas-1.tail55d152.ts.net:4100/static/2S_CONSULTING_NORDIC_OUTREACH_STRATEGY.html</x:v>
      </x:c>
    </x:row>
    <x:row r="376" ht="42" customHeight="1">
      <x:c r="A376" s="5" t="str">
        <x:v>D01</x:v>
      </x:c>
      <x:c r="B376" s="5" t="str">
        <x:v>D01-T09</x:v>
      </x:c>
      <x:c r="C376" s="5" t="str">
        <x:v>13. Complete Sovereign Artifact Registry &amp; Inter-Connected FQDN Network</x:v>
      </x:c>
      <x:c r="D376" s="5" t="n">
        <x:v>694</x:v>
      </x:c>
      <x:c r="E376" s="5" t="n">
        <x:v>3</x:v>
      </x:c>
      <x:c r="F376" s="5" t="str">
        <x:v>Format</x:v>
      </x:c>
      <x:c r="G376" s="5" t="n">
        <x:v>1</x:v>
      </x:c>
      <x:c r="H376" s="5" t="n">
        <x:v>1</x:v>
      </x:c>
      <x:c r="I376" s="5" t="str">
        <x:v>Rich HTML + MD</x:v>
      </x:c>
      <x:c r="J376" s="5" t="str">
        <x:v>SOURCE QUOTE; unvalidated / superseded assessments</x:v>
      </x:c>
      <x:c r="L376" s="31" t="str">
        <x:v>D01, Markdown line 694; http://nas-1.tail55d152.ts.net:4100/static/2S_CONSULTING_NORDIC_OUTREACH_STRATEGY.html</x:v>
      </x:c>
    </x:row>
    <x:row r="377" ht="42" customHeight="1">
      <x:c r="A377" s="5" t="str">
        <x:v>D01</x:v>
      </x:c>
      <x:c r="B377" s="5" t="str">
        <x:v>D01-T09</x:v>
      </x:c>
      <x:c r="C377" s="5" t="str">
        <x:v>13. Complete Sovereign Artifact Registry &amp; Inter-Connected FQDN Network</x:v>
      </x:c>
      <x:c r="D377" s="5" t="n">
        <x:v>694</x:v>
      </x:c>
      <x:c r="E377" s="5" t="n">
        <x:v>4</x:v>
      </x:c>
      <x:c r="F377" s="5" t="str">
        <x:v>Authoritative Web View (Tailscale FQDN)</x:v>
      </x:c>
      <x:c r="G377" s="5" t="n">
        <x:v>1</x:v>
      </x:c>
      <x:c r="H377" s="5" t="n">
        <x:v>1</x:v>
      </x:c>
      <x:c r="I377" s="5" t="str">
        <x:v>[Open Web App](http://nas-1.tail55d152.ts.net:4100/static/2S_PHARMA_THREE_PILLARS_OPERATIONAL_BLUEPRINT.html)</x:v>
      </x:c>
      <x:c r="J377" s="5" t="str">
        <x:v>SOURCE QUOTE; unvalidated / superseded assessments</x:v>
      </x:c>
      <x:c r="L377" s="31" t="str">
        <x:v>D01, Markdown line 694; http://nas-1.tail55d152.ts.net:4100/static/2S_CONSULTING_NORDIC_OUTREACH_STRATEGY.html</x:v>
      </x:c>
    </x:row>
    <x:row r="378" ht="42" customHeight="1">
      <x:c r="A378" s="5" t="str">
        <x:v>D01</x:v>
      </x:c>
      <x:c r="B378" s="5" t="str">
        <x:v>D01-T09</x:v>
      </x:c>
      <x:c r="C378" s="5" t="str">
        <x:v>13. Complete Sovereign Artifact Registry &amp; Inter-Connected FQDN Network</x:v>
      </x:c>
      <x:c r="D378" s="5" t="n">
        <x:v>694</x:v>
      </x:c>
      <x:c r="E378" s="5" t="n">
        <x:v>5</x:v>
      </x:c>
      <x:c r="F378" s="5" t="str">
        <x:v>Source Markdown / Script</x:v>
      </x:c>
      <x:c r="G378" s="5" t="n">
        <x:v>1</x:v>
      </x:c>
      <x:c r="H378" s="5" t="n">
        <x:v>1</x:v>
      </x:c>
      <x:c r="I378" s="5" t="str">
        <x:v>[2S_PHARMA_THREE_PILLARS_OPERATIONAL_BLUEPRINT.md](http://nas-1.tail55d152.ts.net:4100/docs/journal/2S_PHARMA_THREE_PILLARS_OPERATIONAL_BLUEPRINT.md)</x:v>
      </x:c>
      <x:c r="J378" s="5" t="str">
        <x:v>SOURCE QUOTE; unvalidated / superseded assessments</x:v>
      </x:c>
      <x:c r="L378" s="31" t="str">
        <x:v>D01, Markdown line 694; http://nas-1.tail55d152.ts.net:4100/static/2S_CONSULTING_NORDIC_OUTREACH_STRATEGY.html</x:v>
      </x:c>
    </x:row>
    <x:row r="379" ht="42" customHeight="1">
      <x:c r="A379" s="5" t="str">
        <x:v>D01</x:v>
      </x:c>
      <x:c r="B379" s="5" t="str">
        <x:v>D01-T09</x:v>
      </x:c>
      <x:c r="C379" s="5" t="str">
        <x:v>13. Complete Sovereign Artifact Registry &amp; Inter-Connected FQDN Network</x:v>
      </x:c>
      <x:c r="D379" s="5" t="n">
        <x:v>694</x:v>
      </x:c>
      <x:c r="E379" s="5" t="n">
        <x:v>6</x:v>
      </x:c>
      <x:c r="F379" s="5" t="str">
        <x:v>Governance Status</x:v>
      </x:c>
      <x:c r="G379" s="5" t="n">
        <x:v>1</x:v>
      </x:c>
      <x:c r="H379" s="5" t="n">
        <x:v>1</x:v>
      </x:c>
      <x:c r="I379" s="5" t="str">
        <x:v>RATIFIED (SIL-6)</x:v>
      </x:c>
      <x:c r="J379" s="5" t="str">
        <x:v>SOURCE QUOTE; unvalidated / superseded assessments</x:v>
      </x:c>
      <x:c r="L379" s="31" t="str">
        <x:v>D01, Markdown line 694; http://nas-1.tail55d152.ts.net:4100/static/2S_CONSULTING_NORDIC_OUTREACH_STRATEGY.html</x:v>
      </x:c>
    </x:row>
    <x:row r="380" ht="42" customHeight="1">
      <x:c r="A380" s="5" t="str">
        <x:v>D01</x:v>
      </x:c>
      <x:c r="B380" s="5" t="str">
        <x:v>D01-T09</x:v>
      </x:c>
      <x:c r="C380" s="5" t="str">
        <x:v>13. Complete Sovereign Artifact Registry &amp; Inter-Connected FQDN Network</x:v>
      </x:c>
      <x:c r="D380" s="5" t="n">
        <x:v>695</x:v>
      </x:c>
      <x:c r="E380" s="5" t="n">
        <x:v>1</x:v>
      </x:c>
      <x:c r="F380" s="5" t="str">
        <x:v>Artifact ID</x:v>
      </x:c>
      <x:c r="G380" s="5" t="n">
        <x:v>1</x:v>
      </x:c>
      <x:c r="H380" s="5" t="n">
        <x:v>1</x:v>
      </x:c>
      <x:c r="I380" s="5" t="str">
        <x:v>ART-04</x:v>
      </x:c>
      <x:c r="J380" s="5" t="str">
        <x:v>SOURCE QUOTE; unvalidated / superseded assessments</x:v>
      </x:c>
      <x:c r="L380" s="31" t="str">
        <x:v>D01, Markdown line 695; http://nas-1.tail55d152.ts.net:4100/static/2S_CONSULTING_NORDIC_OUTREACH_STRATEGY.html</x:v>
      </x:c>
    </x:row>
    <x:row r="381" ht="42" customHeight="1">
      <x:c r="A381" s="5" t="str">
        <x:v>D01</x:v>
      </x:c>
      <x:c r="B381" s="5" t="str">
        <x:v>D01-T09</x:v>
      </x:c>
      <x:c r="C381" s="5" t="str">
        <x:v>13. Complete Sovereign Artifact Registry &amp; Inter-Connected FQDN Network</x:v>
      </x:c>
      <x:c r="D381" s="5" t="n">
        <x:v>695</x:v>
      </x:c>
      <x:c r="E381" s="5" t="n">
        <x:v>2</x:v>
      </x:c>
      <x:c r="F381" s="5" t="str">
        <x:v>Deliverable Asset Description</x:v>
      </x:c>
      <x:c r="G381" s="5" t="n">
        <x:v>1</x:v>
      </x:c>
      <x:c r="H381" s="5" t="n">
        <x:v>1</x:v>
      </x:c>
      <x:c r="I381" s="5" t="str">
        <x:v>Enterprise Master Comprehensive Dossier</x:v>
      </x:c>
      <x:c r="J381" s="5" t="str">
        <x:v>SOURCE QUOTE; unvalidated / superseded assessments</x:v>
      </x:c>
      <x:c r="L381" s="31" t="str">
        <x:v>D01, Markdown line 695; http://nas-1.tail55d152.ts.net:4100/static/2S_CONSULTING_NORDIC_OUTREACH_STRATEGY.html</x:v>
      </x:c>
    </x:row>
    <x:row r="382" ht="42" customHeight="1">
      <x:c r="A382" s="5" t="str">
        <x:v>D01</x:v>
      </x:c>
      <x:c r="B382" s="5" t="str">
        <x:v>D01-T09</x:v>
      </x:c>
      <x:c r="C382" s="5" t="str">
        <x:v>13. Complete Sovereign Artifact Registry &amp; Inter-Connected FQDN Network</x:v>
      </x:c>
      <x:c r="D382" s="5" t="n">
        <x:v>695</x:v>
      </x:c>
      <x:c r="E382" s="5" t="n">
        <x:v>3</x:v>
      </x:c>
      <x:c r="F382" s="5" t="str">
        <x:v>Format</x:v>
      </x:c>
      <x:c r="G382" s="5" t="n">
        <x:v>1</x:v>
      </x:c>
      <x:c r="H382" s="5" t="n">
        <x:v>1</x:v>
      </x:c>
      <x:c r="I382" s="5" t="str">
        <x:v>Rich HTML + MD</x:v>
      </x:c>
      <x:c r="J382" s="5" t="str">
        <x:v>SOURCE QUOTE; unvalidated / superseded assessments</x:v>
      </x:c>
      <x:c r="L382" s="31" t="str">
        <x:v>D01, Markdown line 695; http://nas-1.tail55d152.ts.net:4100/static/2S_CONSULTING_NORDIC_OUTREACH_STRATEGY.html</x:v>
      </x:c>
    </x:row>
    <x:row r="383" ht="42" customHeight="1">
      <x:c r="A383" s="5" t="str">
        <x:v>D01</x:v>
      </x:c>
      <x:c r="B383" s="5" t="str">
        <x:v>D01-T09</x:v>
      </x:c>
      <x:c r="C383" s="5" t="str">
        <x:v>13. Complete Sovereign Artifact Registry &amp; Inter-Connected FQDN Network</x:v>
      </x:c>
      <x:c r="D383" s="5" t="n">
        <x:v>695</x:v>
      </x:c>
      <x:c r="E383" s="5" t="n">
        <x:v>4</x:v>
      </x:c>
      <x:c r="F383" s="5" t="str">
        <x:v>Authoritative Web View (Tailscale FQDN)</x:v>
      </x:c>
      <x:c r="G383" s="5" t="n">
        <x:v>1</x:v>
      </x:c>
      <x:c r="H383" s="5" t="n">
        <x:v>1</x:v>
      </x:c>
      <x:c r="I383" s="5" t="str">
        <x:v>[Open Web App](http://nas-1.tail55d152.ts.net:4100/static/2S_CONSULTING_COMPREHENSIVE_DOSSIER.html)</x:v>
      </x:c>
      <x:c r="J383" s="5" t="str">
        <x:v>SOURCE QUOTE; unvalidated / superseded assessments</x:v>
      </x:c>
      <x:c r="L383" s="31" t="str">
        <x:v>D01, Markdown line 695; http://nas-1.tail55d152.ts.net:4100/static/2S_CONSULTING_NORDIC_OUTREACH_STRATEGY.html</x:v>
      </x:c>
    </x:row>
    <x:row r="384" ht="42" customHeight="1">
      <x:c r="A384" s="5" t="str">
        <x:v>D01</x:v>
      </x:c>
      <x:c r="B384" s="5" t="str">
        <x:v>D01-T09</x:v>
      </x:c>
      <x:c r="C384" s="5" t="str">
        <x:v>13. Complete Sovereign Artifact Registry &amp; Inter-Connected FQDN Network</x:v>
      </x:c>
      <x:c r="D384" s="5" t="n">
        <x:v>695</x:v>
      </x:c>
      <x:c r="E384" s="5" t="n">
        <x:v>5</x:v>
      </x:c>
      <x:c r="F384" s="5" t="str">
        <x:v>Source Markdown / Script</x:v>
      </x:c>
      <x:c r="G384" s="5" t="n">
        <x:v>1</x:v>
      </x:c>
      <x:c r="H384" s="5" t="n">
        <x:v>1</x:v>
      </x:c>
      <x:c r="I384" s="5" t="str">
        <x:v>[2S_CONSULTING_COMPREHENSIVE_DOSSIER.md](http://nas-1.tail55d152.ts.net:4100/docs/journal/2S_CONSULTING_COMPREHENSIVE_DOSSIER.md)</x:v>
      </x:c>
      <x:c r="J384" s="5" t="str">
        <x:v>SOURCE QUOTE; unvalidated / superseded assessments</x:v>
      </x:c>
      <x:c r="L384" s="31" t="str">
        <x:v>D01, Markdown line 695; http://nas-1.tail55d152.ts.net:4100/static/2S_CONSULTING_NORDIC_OUTREACH_STRATEGY.html</x:v>
      </x:c>
    </x:row>
    <x:row r="385" ht="42" customHeight="1">
      <x:c r="A385" s="5" t="str">
        <x:v>D01</x:v>
      </x:c>
      <x:c r="B385" s="5" t="str">
        <x:v>D01-T09</x:v>
      </x:c>
      <x:c r="C385" s="5" t="str">
        <x:v>13. Complete Sovereign Artifact Registry &amp; Inter-Connected FQDN Network</x:v>
      </x:c>
      <x:c r="D385" s="5" t="n">
        <x:v>695</x:v>
      </x:c>
      <x:c r="E385" s="5" t="n">
        <x:v>6</x:v>
      </x:c>
      <x:c r="F385" s="5" t="str">
        <x:v>Governance Status</x:v>
      </x:c>
      <x:c r="G385" s="5" t="n">
        <x:v>1</x:v>
      </x:c>
      <x:c r="H385" s="5" t="n">
        <x:v>1</x:v>
      </x:c>
      <x:c r="I385" s="5" t="str">
        <x:v>RATIFIED (SIL-6)</x:v>
      </x:c>
      <x:c r="J385" s="5" t="str">
        <x:v>SOURCE QUOTE; unvalidated / superseded assessments</x:v>
      </x:c>
      <x:c r="L385" s="31" t="str">
        <x:v>D01, Markdown line 695; http://nas-1.tail55d152.ts.net:4100/static/2S_CONSULTING_NORDIC_OUTREACH_STRATEGY.html</x:v>
      </x:c>
    </x:row>
    <x:row r="386" ht="42" customHeight="1">
      <x:c r="A386" s="5" t="str">
        <x:v>D01</x:v>
      </x:c>
      <x:c r="B386" s="5" t="str">
        <x:v>D01-T09</x:v>
      </x:c>
      <x:c r="C386" s="5" t="str">
        <x:v>13. Complete Sovereign Artifact Registry &amp; Inter-Connected FQDN Network</x:v>
      </x:c>
      <x:c r="D386" s="5" t="n">
        <x:v>696</x:v>
      </x:c>
      <x:c r="E386" s="5" t="n">
        <x:v>1</x:v>
      </x:c>
      <x:c r="F386" s="5" t="str">
        <x:v>Artifact ID</x:v>
      </x:c>
      <x:c r="G386" s="5" t="n">
        <x:v>1</x:v>
      </x:c>
      <x:c r="H386" s="5" t="n">
        <x:v>1</x:v>
      </x:c>
      <x:c r="I386" s="5" t="str">
        <x:v>ART-05</x:v>
      </x:c>
      <x:c r="J386" s="5" t="str">
        <x:v>SOURCE QUOTE; unvalidated / superseded assessments</x:v>
      </x:c>
      <x:c r="L386" s="31" t="str">
        <x:v>D01, Markdown line 696; http://nas-1.tail55d152.ts.net:4100/static/2S_CONSULTING_NORDIC_OUTREACH_STRATEGY.html</x:v>
      </x:c>
    </x:row>
    <x:row r="387" ht="42" customHeight="1">
      <x:c r="A387" s="5" t="str">
        <x:v>D01</x:v>
      </x:c>
      <x:c r="B387" s="5" t="str">
        <x:v>D01-T09</x:v>
      </x:c>
      <x:c r="C387" s="5" t="str">
        <x:v>13. Complete Sovereign Artifact Registry &amp; Inter-Connected FQDN Network</x:v>
      </x:c>
      <x:c r="D387" s="5" t="n">
        <x:v>696</x:v>
      </x:c>
      <x:c r="E387" s="5" t="n">
        <x:v>2</x:v>
      </x:c>
      <x:c r="F387" s="5" t="str">
        <x:v>Deliverable Asset Description</x:v>
      </x:c>
      <x:c r="G387" s="5" t="n">
        <x:v>1</x:v>
      </x:c>
      <x:c r="H387" s="5" t="n">
        <x:v>1</x:v>
      </x:c>
      <x:c r="I387" s="5" t="str">
        <x:v>Market Penetration &amp; Ecosystem Accelerator</x:v>
      </x:c>
      <x:c r="J387" s="5" t="str">
        <x:v>SOURCE QUOTE; unvalidated / superseded assessments</x:v>
      </x:c>
      <x:c r="L387" s="31" t="str">
        <x:v>D01, Markdown line 696; http://nas-1.tail55d152.ts.net:4100/static/2S_CONSULTING_NORDIC_OUTREACH_STRATEGY.html</x:v>
      </x:c>
    </x:row>
    <x:row r="388" ht="42" customHeight="1">
      <x:c r="A388" s="5" t="str">
        <x:v>D01</x:v>
      </x:c>
      <x:c r="B388" s="5" t="str">
        <x:v>D01-T09</x:v>
      </x:c>
      <x:c r="C388" s="5" t="str">
        <x:v>13. Complete Sovereign Artifact Registry &amp; Inter-Connected FQDN Network</x:v>
      </x:c>
      <x:c r="D388" s="5" t="n">
        <x:v>696</x:v>
      </x:c>
      <x:c r="E388" s="5" t="n">
        <x:v>3</x:v>
      </x:c>
      <x:c r="F388" s="5" t="str">
        <x:v>Format</x:v>
      </x:c>
      <x:c r="G388" s="5" t="n">
        <x:v>1</x:v>
      </x:c>
      <x:c r="H388" s="5" t="n">
        <x:v>1</x:v>
      </x:c>
      <x:c r="I388" s="5" t="str">
        <x:v>Rich HTML + MD</x:v>
      </x:c>
      <x:c r="J388" s="5" t="str">
        <x:v>SOURCE QUOTE; unvalidated / superseded assessments</x:v>
      </x:c>
      <x:c r="L388" s="31" t="str">
        <x:v>D01, Markdown line 696; http://nas-1.tail55d152.ts.net:4100/static/2S_CONSULTING_NORDIC_OUTREACH_STRATEGY.html</x:v>
      </x:c>
    </x:row>
    <x:row r="389" ht="42" customHeight="1">
      <x:c r="A389" s="5" t="str">
        <x:v>D01</x:v>
      </x:c>
      <x:c r="B389" s="5" t="str">
        <x:v>D01-T09</x:v>
      </x:c>
      <x:c r="C389" s="5" t="str">
        <x:v>13. Complete Sovereign Artifact Registry &amp; Inter-Connected FQDN Network</x:v>
      </x:c>
      <x:c r="D389" s="5" t="n">
        <x:v>696</x:v>
      </x:c>
      <x:c r="E389" s="5" t="n">
        <x:v>4</x:v>
      </x:c>
      <x:c r="F389" s="5" t="str">
        <x:v>Authoritative Web View (Tailscale FQDN)</x:v>
      </x:c>
      <x:c r="G389" s="5" t="n">
        <x:v>1</x:v>
      </x:c>
      <x:c r="H389" s="5" t="n">
        <x:v>1</x:v>
      </x:c>
      <x:c r="I389" s="5" t="str">
        <x:v>[Open Web App](http://nas-1.tail55d152.ts.net:4100/static/2S_NORDIC_MARKET_PENETRATION_AND_ECOSYSTEM_ACCELERATOR.html)</x:v>
      </x:c>
      <x:c r="J389" s="5" t="str">
        <x:v>SOURCE QUOTE; unvalidated / superseded assessments</x:v>
      </x:c>
      <x:c r="L389" s="31" t="str">
        <x:v>D01, Markdown line 696; http://nas-1.tail55d152.ts.net:4100/static/2S_CONSULTING_NORDIC_OUTREACH_STRATEGY.html</x:v>
      </x:c>
    </x:row>
    <x:row r="390" ht="42" customHeight="1">
      <x:c r="A390" s="5" t="str">
        <x:v>D01</x:v>
      </x:c>
      <x:c r="B390" s="5" t="str">
        <x:v>D01-T09</x:v>
      </x:c>
      <x:c r="C390" s="5" t="str">
        <x:v>13. Complete Sovereign Artifact Registry &amp; Inter-Connected FQDN Network</x:v>
      </x:c>
      <x:c r="D390" s="5" t="n">
        <x:v>696</x:v>
      </x:c>
      <x:c r="E390" s="5" t="n">
        <x:v>5</x:v>
      </x:c>
      <x:c r="F390" s="5" t="str">
        <x:v>Source Markdown / Script</x:v>
      </x:c>
      <x:c r="G390" s="5" t="n">
        <x:v>1</x:v>
      </x:c>
      <x:c r="H390" s="5" t="n">
        <x:v>1</x:v>
      </x:c>
      <x:c r="I390" s="5" t="str">
        <x:v>[2S_NORDIC_MARKET_PENETRATION_AND_ECOSYSTEM_ACCELERATOR.md](http://nas-1.tail55d152.ts.net:4100/docs/journal/2S_NORDIC_MARKET_PENETRATION_AND_ECOSYSTEM_ACCELERATOR.md)</x:v>
      </x:c>
      <x:c r="J390" s="5" t="str">
        <x:v>SOURCE QUOTE; unvalidated / superseded assessments</x:v>
      </x:c>
      <x:c r="L390" s="31" t="str">
        <x:v>D01, Markdown line 696; http://nas-1.tail55d152.ts.net:4100/static/2S_CONSULTING_NORDIC_OUTREACH_STRATEGY.html</x:v>
      </x:c>
    </x:row>
    <x:row r="391" ht="42" customHeight="1">
      <x:c r="A391" s="5" t="str">
        <x:v>D01</x:v>
      </x:c>
      <x:c r="B391" s="5" t="str">
        <x:v>D01-T09</x:v>
      </x:c>
      <x:c r="C391" s="5" t="str">
        <x:v>13. Complete Sovereign Artifact Registry &amp; Inter-Connected FQDN Network</x:v>
      </x:c>
      <x:c r="D391" s="5" t="n">
        <x:v>696</x:v>
      </x:c>
      <x:c r="E391" s="5" t="n">
        <x:v>6</x:v>
      </x:c>
      <x:c r="F391" s="5" t="str">
        <x:v>Governance Status</x:v>
      </x:c>
      <x:c r="G391" s="5" t="n">
        <x:v>1</x:v>
      </x:c>
      <x:c r="H391" s="5" t="n">
        <x:v>1</x:v>
      </x:c>
      <x:c r="I391" s="5" t="str">
        <x:v>RATIFIED (SIL-6)</x:v>
      </x:c>
      <x:c r="J391" s="5" t="str">
        <x:v>SOURCE QUOTE; unvalidated / superseded assessments</x:v>
      </x:c>
      <x:c r="L391" s="31" t="str">
        <x:v>D01, Markdown line 696; http://nas-1.tail55d152.ts.net:4100/static/2S_CONSULTING_NORDIC_OUTREACH_STRATEGY.html</x:v>
      </x:c>
    </x:row>
    <x:row r="392" ht="42" customHeight="1">
      <x:c r="A392" s="5" t="str">
        <x:v>D01</x:v>
      </x:c>
      <x:c r="B392" s="5" t="str">
        <x:v>D01-T09</x:v>
      </x:c>
      <x:c r="C392" s="5" t="str">
        <x:v>13. Complete Sovereign Artifact Registry &amp; Inter-Connected FQDN Network</x:v>
      </x:c>
      <x:c r="D392" s="5" t="n">
        <x:v>697</x:v>
      </x:c>
      <x:c r="E392" s="5" t="n">
        <x:v>1</x:v>
      </x:c>
      <x:c r="F392" s="5" t="str">
        <x:v>Artifact ID</x:v>
      </x:c>
      <x:c r="G392" s="5" t="n">
        <x:v>1</x:v>
      </x:c>
      <x:c r="H392" s="5" t="n">
        <x:v>1</x:v>
      </x:c>
      <x:c r="I392" s="5" t="str">
        <x:v>ART-06</x:v>
      </x:c>
      <x:c r="J392" s="5" t="str">
        <x:v>SOURCE QUOTE; unvalidated / superseded assessments</x:v>
      </x:c>
      <x:c r="L392" s="31" t="str">
        <x:v>D01, Markdown line 697; http://nas-1.tail55d152.ts.net:4100/static/2S_CONSULTING_NORDIC_OUTREACH_STRATEGY.html</x:v>
      </x:c>
    </x:row>
    <x:row r="393" ht="42" customHeight="1">
      <x:c r="A393" s="5" t="str">
        <x:v>D01</x:v>
      </x:c>
      <x:c r="B393" s="5" t="str">
        <x:v>D01-T09</x:v>
      </x:c>
      <x:c r="C393" s="5" t="str">
        <x:v>13. Complete Sovereign Artifact Registry &amp; Inter-Connected FQDN Network</x:v>
      </x:c>
      <x:c r="D393" s="5" t="n">
        <x:v>697</x:v>
      </x:c>
      <x:c r="E393" s="5" t="n">
        <x:v>2</x:v>
      </x:c>
      <x:c r="F393" s="5" t="str">
        <x:v>Deliverable Asset Description</x:v>
      </x:c>
      <x:c r="G393" s="5" t="n">
        <x:v>1</x:v>
      </x:c>
      <x:c r="H393" s="5" t="n">
        <x:v>1</x:v>
      </x:c>
      <x:c r="I393" s="5" t="str">
        <x:v>Nordic MedTech Competitor &amp; Peer Dossier</x:v>
      </x:c>
      <x:c r="J393" s="5" t="str">
        <x:v>SOURCE QUOTE; unvalidated / superseded assessments</x:v>
      </x:c>
      <x:c r="L393" s="31" t="str">
        <x:v>D01, Markdown line 697; http://nas-1.tail55d152.ts.net:4100/static/2S_CONSULTING_NORDIC_OUTREACH_STRATEGY.html</x:v>
      </x:c>
    </x:row>
    <x:row r="394" ht="42" customHeight="1">
      <x:c r="A394" s="5" t="str">
        <x:v>D01</x:v>
      </x:c>
      <x:c r="B394" s="5" t="str">
        <x:v>D01-T09</x:v>
      </x:c>
      <x:c r="C394" s="5" t="str">
        <x:v>13. Complete Sovereign Artifact Registry &amp; Inter-Connected FQDN Network</x:v>
      </x:c>
      <x:c r="D394" s="5" t="n">
        <x:v>697</x:v>
      </x:c>
      <x:c r="E394" s="5" t="n">
        <x:v>3</x:v>
      </x:c>
      <x:c r="F394" s="5" t="str">
        <x:v>Format</x:v>
      </x:c>
      <x:c r="G394" s="5" t="n">
        <x:v>1</x:v>
      </x:c>
      <x:c r="H394" s="5" t="n">
        <x:v>1</x:v>
      </x:c>
      <x:c r="I394" s="5" t="str">
        <x:v>Rich HTML + MD</x:v>
      </x:c>
      <x:c r="J394" s="5" t="str">
        <x:v>SOURCE QUOTE; unvalidated / superseded assessments</x:v>
      </x:c>
      <x:c r="L394" s="31" t="str">
        <x:v>D01, Markdown line 697; http://nas-1.tail55d152.ts.net:4100/static/2S_CONSULTING_NORDIC_OUTREACH_STRATEGY.html</x:v>
      </x:c>
    </x:row>
    <x:row r="395" ht="42" customHeight="1">
      <x:c r="A395" s="5" t="str">
        <x:v>D01</x:v>
      </x:c>
      <x:c r="B395" s="5" t="str">
        <x:v>D01-T09</x:v>
      </x:c>
      <x:c r="C395" s="5" t="str">
        <x:v>13. Complete Sovereign Artifact Registry &amp; Inter-Connected FQDN Network</x:v>
      </x:c>
      <x:c r="D395" s="5" t="n">
        <x:v>697</x:v>
      </x:c>
      <x:c r="E395" s="5" t="n">
        <x:v>4</x:v>
      </x:c>
      <x:c r="F395" s="5" t="str">
        <x:v>Authoritative Web View (Tailscale FQDN)</x:v>
      </x:c>
      <x:c r="G395" s="5" t="n">
        <x:v>1</x:v>
      </x:c>
      <x:c r="H395" s="5" t="n">
        <x:v>1</x:v>
      </x:c>
      <x:c r="I395" s="5" t="str">
        <x:v>[Open Web App](http://nas-1.tail55d152.ts.net:4100/static/NORDIC_MEDTECH_COMPETITIVE_LANDSCAPE_AND_PEER_DOSSIER.html)</x:v>
      </x:c>
      <x:c r="J395" s="5" t="str">
        <x:v>SOURCE QUOTE; unvalidated / superseded assessments</x:v>
      </x:c>
      <x:c r="L395" s="31" t="str">
        <x:v>D01, Markdown line 697; http://nas-1.tail55d152.ts.net:4100/static/2S_CONSULTING_NORDIC_OUTREACH_STRATEGY.html</x:v>
      </x:c>
    </x:row>
    <x:row r="396" ht="42" customHeight="1">
      <x:c r="A396" s="5" t="str">
        <x:v>D01</x:v>
      </x:c>
      <x:c r="B396" s="5" t="str">
        <x:v>D01-T09</x:v>
      </x:c>
      <x:c r="C396" s="5" t="str">
        <x:v>13. Complete Sovereign Artifact Registry &amp; Inter-Connected FQDN Network</x:v>
      </x:c>
      <x:c r="D396" s="5" t="n">
        <x:v>697</x:v>
      </x:c>
      <x:c r="E396" s="5" t="n">
        <x:v>5</x:v>
      </x:c>
      <x:c r="F396" s="5" t="str">
        <x:v>Source Markdown / Script</x:v>
      </x:c>
      <x:c r="G396" s="5" t="n">
        <x:v>1</x:v>
      </x:c>
      <x:c r="H396" s="5" t="n">
        <x:v>1</x:v>
      </x:c>
      <x:c r="I396" s="5" t="str">
        <x:v>[NORDIC_MEDTECH_COMPETITIVE_LANDSCAPE_AND_PEER_DOSSIER.md](http://nas-1.tail55d152.ts.net:4100/docs/journal/NORDIC_MEDTECH_COMPETITIVE_LANDSCAPE_AND_PEER_DOSSIER.md)</x:v>
      </x:c>
      <x:c r="J396" s="5" t="str">
        <x:v>SOURCE QUOTE; unvalidated / superseded assessments</x:v>
      </x:c>
      <x:c r="L396" s="31" t="str">
        <x:v>D01, Markdown line 697; http://nas-1.tail55d152.ts.net:4100/static/2S_CONSULTING_NORDIC_OUTREACH_STRATEGY.html</x:v>
      </x:c>
    </x:row>
    <x:row r="397" ht="42" customHeight="1">
      <x:c r="A397" s="5" t="str">
        <x:v>D01</x:v>
      </x:c>
      <x:c r="B397" s="5" t="str">
        <x:v>D01-T09</x:v>
      </x:c>
      <x:c r="C397" s="5" t="str">
        <x:v>13. Complete Sovereign Artifact Registry &amp; Inter-Connected FQDN Network</x:v>
      </x:c>
      <x:c r="D397" s="5" t="n">
        <x:v>697</x:v>
      </x:c>
      <x:c r="E397" s="5" t="n">
        <x:v>6</x:v>
      </x:c>
      <x:c r="F397" s="5" t="str">
        <x:v>Governance Status</x:v>
      </x:c>
      <x:c r="G397" s="5" t="n">
        <x:v>1</x:v>
      </x:c>
      <x:c r="H397" s="5" t="n">
        <x:v>1</x:v>
      </x:c>
      <x:c r="I397" s="5" t="str">
        <x:v>RATIFIED (SIL-6)</x:v>
      </x:c>
      <x:c r="J397" s="5" t="str">
        <x:v>SOURCE QUOTE; unvalidated / superseded assessments</x:v>
      </x:c>
      <x:c r="L397" s="31" t="str">
        <x:v>D01, Markdown line 697; http://nas-1.tail55d152.ts.net:4100/static/2S_CONSULTING_NORDIC_OUTREACH_STRATEGY.html</x:v>
      </x:c>
    </x:row>
    <x:row r="398" ht="42" customHeight="1">
      <x:c r="A398" s="5" t="str">
        <x:v>D01</x:v>
      </x:c>
      <x:c r="B398" s="5" t="str">
        <x:v>D01-T09</x:v>
      </x:c>
      <x:c r="C398" s="5" t="str">
        <x:v>13. Complete Sovereign Artifact Registry &amp; Inter-Connected FQDN Network</x:v>
      </x:c>
      <x:c r="D398" s="5" t="n">
        <x:v>698</x:v>
      </x:c>
      <x:c r="E398" s="5" t="n">
        <x:v>1</x:v>
      </x:c>
      <x:c r="F398" s="5" t="str">
        <x:v>Artifact ID</x:v>
      </x:c>
      <x:c r="G398" s="5" t="n">
        <x:v>1</x:v>
      </x:c>
      <x:c r="H398" s="5" t="n">
        <x:v>1</x:v>
      </x:c>
      <x:c r="I398" s="5" t="str">
        <x:v>ART-07</x:v>
      </x:c>
      <x:c r="J398" s="5" t="str">
        <x:v>SOURCE QUOTE; unvalidated / superseded assessments</x:v>
      </x:c>
      <x:c r="L398" s="31" t="str">
        <x:v>D01, Markdown line 698; http://nas-1.tail55d152.ts.net:4100/static/2S_CONSULTING_NORDIC_OUTREACH_STRATEGY.html</x:v>
      </x:c>
    </x:row>
    <x:row r="399" ht="42" customHeight="1">
      <x:c r="A399" s="5" t="str">
        <x:v>D01</x:v>
      </x:c>
      <x:c r="B399" s="5" t="str">
        <x:v>D01-T09</x:v>
      </x:c>
      <x:c r="C399" s="5" t="str">
        <x:v>13. Complete Sovereign Artifact Registry &amp; Inter-Connected FQDN Network</x:v>
      </x:c>
      <x:c r="D399" s="5" t="n">
        <x:v>698</x:v>
      </x:c>
      <x:c r="E399" s="5" t="n">
        <x:v>2</x:v>
      </x:c>
      <x:c r="F399" s="5" t="str">
        <x:v>Deliverable Asset Description</x:v>
      </x:c>
      <x:c r="G399" s="5" t="n">
        <x:v>1</x:v>
      </x:c>
      <x:c r="H399" s="5" t="n">
        <x:v>1</x:v>
      </x:c>
      <x:c r="I399" s="5" t="str">
        <x:v>Skills &amp; Superpowers Sovereign Catalog</x:v>
      </x:c>
      <x:c r="J399" s="5" t="str">
        <x:v>SOURCE QUOTE; unvalidated / superseded assessments</x:v>
      </x:c>
      <x:c r="L399" s="31" t="str">
        <x:v>D01, Markdown line 698; http://nas-1.tail55d152.ts.net:4100/static/2S_CONSULTING_NORDIC_OUTREACH_STRATEGY.html</x:v>
      </x:c>
    </x:row>
    <x:row r="400" ht="42" customHeight="1">
      <x:c r="A400" s="5" t="str">
        <x:v>D01</x:v>
      </x:c>
      <x:c r="B400" s="5" t="str">
        <x:v>D01-T09</x:v>
      </x:c>
      <x:c r="C400" s="5" t="str">
        <x:v>13. Complete Sovereign Artifact Registry &amp; Inter-Connected FQDN Network</x:v>
      </x:c>
      <x:c r="D400" s="5" t="n">
        <x:v>698</x:v>
      </x:c>
      <x:c r="E400" s="5" t="n">
        <x:v>3</x:v>
      </x:c>
      <x:c r="F400" s="5" t="str">
        <x:v>Format</x:v>
      </x:c>
      <x:c r="G400" s="5" t="n">
        <x:v>1</x:v>
      </x:c>
      <x:c r="H400" s="5" t="n">
        <x:v>1</x:v>
      </x:c>
      <x:c r="I400" s="5" t="str">
        <x:v>Rich HTML + MD</x:v>
      </x:c>
      <x:c r="J400" s="5" t="str">
        <x:v>SOURCE QUOTE; unvalidated / superseded assessments</x:v>
      </x:c>
      <x:c r="L400" s="31" t="str">
        <x:v>D01, Markdown line 698; http://nas-1.tail55d152.ts.net:4100/static/2S_CONSULTING_NORDIC_OUTREACH_STRATEGY.html</x:v>
      </x:c>
    </x:row>
    <x:row r="401" ht="42" customHeight="1">
      <x:c r="A401" s="5" t="str">
        <x:v>D01</x:v>
      </x:c>
      <x:c r="B401" s="5" t="str">
        <x:v>D01-T09</x:v>
      </x:c>
      <x:c r="C401" s="5" t="str">
        <x:v>13. Complete Sovereign Artifact Registry &amp; Inter-Connected FQDN Network</x:v>
      </x:c>
      <x:c r="D401" s="5" t="n">
        <x:v>698</x:v>
      </x:c>
      <x:c r="E401" s="5" t="n">
        <x:v>4</x:v>
      </x:c>
      <x:c r="F401" s="5" t="str">
        <x:v>Authoritative Web View (Tailscale FQDN)</x:v>
      </x:c>
      <x:c r="G401" s="5" t="n">
        <x:v>1</x:v>
      </x:c>
      <x:c r="H401" s="5" t="n">
        <x:v>1</x:v>
      </x:c>
      <x:c r="I401" s="5" t="str">
        <x:v>[Open Web App](http://nas-1.tail55d152.ts.net:4100/static/SKILLS_AND_SUPERPOWERS_CATALOG.html)</x:v>
      </x:c>
      <x:c r="J401" s="5" t="str">
        <x:v>SOURCE QUOTE; unvalidated / superseded assessments</x:v>
      </x:c>
      <x:c r="L401" s="31" t="str">
        <x:v>D01, Markdown line 698; http://nas-1.tail55d152.ts.net:4100/static/2S_CONSULTING_NORDIC_OUTREACH_STRATEGY.html</x:v>
      </x:c>
    </x:row>
    <x:row r="402" ht="42" customHeight="1">
      <x:c r="A402" s="5" t="str">
        <x:v>D01</x:v>
      </x:c>
      <x:c r="B402" s="5" t="str">
        <x:v>D01-T09</x:v>
      </x:c>
      <x:c r="C402" s="5" t="str">
        <x:v>13. Complete Sovereign Artifact Registry &amp; Inter-Connected FQDN Network</x:v>
      </x:c>
      <x:c r="D402" s="5" t="n">
        <x:v>698</x:v>
      </x:c>
      <x:c r="E402" s="5" t="n">
        <x:v>5</x:v>
      </x:c>
      <x:c r="F402" s="5" t="str">
        <x:v>Source Markdown / Script</x:v>
      </x:c>
      <x:c r="G402" s="5" t="n">
        <x:v>1</x:v>
      </x:c>
      <x:c r="H402" s="5" t="n">
        <x:v>1</x:v>
      </x:c>
      <x:c r="I402" s="5" t="str">
        <x:v>[SKILLS_AND_SUPERPOWERS_CATALOG.md](http://nas-1.tail55d152.ts.net:4100/docs/journal/SKILLS_AND_SUPERPOWERS_CATALOG.md)</x:v>
      </x:c>
      <x:c r="J402" s="5" t="str">
        <x:v>SOURCE QUOTE; unvalidated / superseded assessments</x:v>
      </x:c>
      <x:c r="L402" s="31" t="str">
        <x:v>D01, Markdown line 698; http://nas-1.tail55d152.ts.net:4100/static/2S_CONSULTING_NORDIC_OUTREACH_STRATEGY.html</x:v>
      </x:c>
    </x:row>
    <x:row r="403" ht="42" customHeight="1">
      <x:c r="A403" s="5" t="str">
        <x:v>D01</x:v>
      </x:c>
      <x:c r="B403" s="5" t="str">
        <x:v>D01-T09</x:v>
      </x:c>
      <x:c r="C403" s="5" t="str">
        <x:v>13. Complete Sovereign Artifact Registry &amp; Inter-Connected FQDN Network</x:v>
      </x:c>
      <x:c r="D403" s="5" t="n">
        <x:v>698</x:v>
      </x:c>
      <x:c r="E403" s="5" t="n">
        <x:v>6</x:v>
      </x:c>
      <x:c r="F403" s="5" t="str">
        <x:v>Governance Status</x:v>
      </x:c>
      <x:c r="G403" s="5" t="n">
        <x:v>1</x:v>
      </x:c>
      <x:c r="H403" s="5" t="n">
        <x:v>1</x:v>
      </x:c>
      <x:c r="I403" s="5" t="str">
        <x:v>RATIFIED (SIL-6)</x:v>
      </x:c>
      <x:c r="J403" s="5" t="str">
        <x:v>SOURCE QUOTE; unvalidated / superseded assessments</x:v>
      </x:c>
      <x:c r="L403" s="31" t="str">
        <x:v>D01, Markdown line 698; http://nas-1.tail55d152.ts.net:4100/static/2S_CONSULTING_NORDIC_OUTREACH_STRATEGY.html</x:v>
      </x:c>
    </x:row>
    <x:row r="404" ht="42" customHeight="1">
      <x:c r="A404" s="5" t="str">
        <x:v>D01</x:v>
      </x:c>
      <x:c r="B404" s="5" t="str">
        <x:v>D01-T09</x:v>
      </x:c>
      <x:c r="C404" s="5" t="str">
        <x:v>13. Complete Sovereign Artifact Registry &amp; Inter-Connected FQDN Network</x:v>
      </x:c>
      <x:c r="D404" s="5" t="n">
        <x:v>699</x:v>
      </x:c>
      <x:c r="E404" s="5" t="n">
        <x:v>1</x:v>
      </x:c>
      <x:c r="F404" s="5" t="str">
        <x:v>Artifact ID</x:v>
      </x:c>
      <x:c r="G404" s="5" t="n">
        <x:v>1</x:v>
      </x:c>
      <x:c r="H404" s="5" t="n">
        <x:v>1</x:v>
      </x:c>
      <x:c r="I404" s="5" t="str">
        <x:v>ART-08</x:v>
      </x:c>
      <x:c r="J404" s="5" t="str">
        <x:v>SOURCE QUOTE; unvalidated / superseded assessments</x:v>
      </x:c>
      <x:c r="L404" s="31" t="str">
        <x:v>D01, Markdown line 699; http://nas-1.tail55d152.ts.net:4100/static/2S_CONSULTING_NORDIC_OUTREACH_STRATEGY.html</x:v>
      </x:c>
    </x:row>
    <x:row r="405" ht="42" customHeight="1">
      <x:c r="A405" s="5" t="str">
        <x:v>D01</x:v>
      </x:c>
      <x:c r="B405" s="5" t="str">
        <x:v>D01-T09</x:v>
      </x:c>
      <x:c r="C405" s="5" t="str">
        <x:v>13. Complete Sovereign Artifact Registry &amp; Inter-Connected FQDN Network</x:v>
      </x:c>
      <x:c r="D405" s="5" t="n">
        <x:v>699</x:v>
      </x:c>
      <x:c r="E405" s="5" t="n">
        <x:v>2</x:v>
      </x:c>
      <x:c r="F405" s="5" t="str">
        <x:v>Deliverable Asset Description</x:v>
      </x:c>
      <x:c r="G405" s="5" t="n">
        <x:v>1</x:v>
      </x:c>
      <x:c r="H405" s="5" t="n">
        <x:v>1</x:v>
      </x:c>
      <x:c r="I405" s="5" t="str">
        <x:v>Dual-Track Outreach Presentation Deck (18 Slides)</x:v>
      </x:c>
      <x:c r="J405" s="5" t="str">
        <x:v>SOURCE QUOTE; unvalidated / superseded assessments</x:v>
      </x:c>
      <x:c r="L405" s="31" t="str">
        <x:v>D01, Markdown line 699; http://nas-1.tail55d152.ts.net:4100/static/2S_CONSULTING_NORDIC_OUTREACH_STRATEGY.html</x:v>
      </x:c>
    </x:row>
    <x:row r="406" ht="42" customHeight="1">
      <x:c r="A406" s="5" t="str">
        <x:v>D01</x:v>
      </x:c>
      <x:c r="B406" s="5" t="str">
        <x:v>D01-T09</x:v>
      </x:c>
      <x:c r="C406" s="5" t="str">
        <x:v>13. Complete Sovereign Artifact Registry &amp; Inter-Connected FQDN Network</x:v>
      </x:c>
      <x:c r="D406" s="5" t="n">
        <x:v>699</x:v>
      </x:c>
      <x:c r="E406" s="5" t="n">
        <x:v>3</x:v>
      </x:c>
      <x:c r="F406" s="5" t="str">
        <x:v>Format</x:v>
      </x:c>
      <x:c r="G406" s="5" t="n">
        <x:v>1</x:v>
      </x:c>
      <x:c r="H406" s="5" t="n">
        <x:v>1</x:v>
      </x:c>
      <x:c r="I406" s="5" t="str">
        <x:v>Interactive Slide Deck</x:v>
      </x:c>
      <x:c r="J406" s="5" t="str">
        <x:v>SOURCE QUOTE; unvalidated / superseded assessments</x:v>
      </x:c>
      <x:c r="L406" s="31" t="str">
        <x:v>D01, Markdown line 699; http://nas-1.tail55d152.ts.net:4100/static/2S_CONSULTING_NORDIC_OUTREACH_STRATEGY.html</x:v>
      </x:c>
    </x:row>
    <x:row r="407" ht="42" customHeight="1">
      <x:c r="A407" s="5" t="str">
        <x:v>D01</x:v>
      </x:c>
      <x:c r="B407" s="5" t="str">
        <x:v>D01-T09</x:v>
      </x:c>
      <x:c r="C407" s="5" t="str">
        <x:v>13. Complete Sovereign Artifact Registry &amp; Inter-Connected FQDN Network</x:v>
      </x:c>
      <x:c r="D407" s="5" t="n">
        <x:v>699</x:v>
      </x:c>
      <x:c r="E407" s="5" t="n">
        <x:v>4</x:v>
      </x:c>
      <x:c r="F407" s="5" t="str">
        <x:v>Authoritative Web View (Tailscale FQDN)</x:v>
      </x:c>
      <x:c r="G407" s="5" t="n">
        <x:v>1</x:v>
      </x:c>
      <x:c r="H407" s="5" t="n">
        <x:v>1</x:v>
      </x:c>
      <x:c r="I407" s="5" t="str">
        <x:v>[Open Slide Deck](http://nas-1.tail55d152.ts.net:4100/static/2S_NORDIC_OUTREACH_PRESENTATION.html)</x:v>
      </x:c>
      <x:c r="J407" s="5" t="str">
        <x:v>SOURCE QUOTE; unvalidated / superseded assessments</x:v>
      </x:c>
      <x:c r="L407" s="31" t="str">
        <x:v>D01, Markdown line 699; http://nas-1.tail55d152.ts.net:4100/static/2S_CONSULTING_NORDIC_OUTREACH_STRATEGY.html</x:v>
      </x:c>
    </x:row>
    <x:row r="408" ht="42" customHeight="1">
      <x:c r="A408" s="5" t="str">
        <x:v>D01</x:v>
      </x:c>
      <x:c r="B408" s="5" t="str">
        <x:v>D01-T09</x:v>
      </x:c>
      <x:c r="C408" s="5" t="str">
        <x:v>13. Complete Sovereign Artifact Registry &amp; Inter-Connected FQDN Network</x:v>
      </x:c>
      <x:c r="D408" s="5" t="n">
        <x:v>699</x:v>
      </x:c>
      <x:c r="E408" s="5" t="n">
        <x:v>5</x:v>
      </x:c>
      <x:c r="F408" s="5" t="str">
        <x:v>Source Markdown / Script</x:v>
      </x:c>
      <x:c r="G408" s="5" t="n">
        <x:v>1</x:v>
      </x:c>
      <x:c r="H408" s="5" t="n">
        <x:v>1</x:v>
      </x:c>
      <x:c r="I408" s="5" t="str">
        <x:v>[2S_NORDIC_OUTREACH_PRESENTATION.md](http://nas-1.tail55d152.ts.net:4100/docs/journal/2S_NORDIC_OUTREACH_PRESENTATION.md)</x:v>
      </x:c>
      <x:c r="J408" s="5" t="str">
        <x:v>SOURCE QUOTE; unvalidated / superseded assessments</x:v>
      </x:c>
      <x:c r="L408" s="31" t="str">
        <x:v>D01, Markdown line 699; http://nas-1.tail55d152.ts.net:4100/static/2S_CONSULTING_NORDIC_OUTREACH_STRATEGY.html</x:v>
      </x:c>
    </x:row>
    <x:row r="409" ht="42" customHeight="1">
      <x:c r="A409" s="5" t="str">
        <x:v>D01</x:v>
      </x:c>
      <x:c r="B409" s="5" t="str">
        <x:v>D01-T09</x:v>
      </x:c>
      <x:c r="C409" s="5" t="str">
        <x:v>13. Complete Sovereign Artifact Registry &amp; Inter-Connected FQDN Network</x:v>
      </x:c>
      <x:c r="D409" s="5" t="n">
        <x:v>699</x:v>
      </x:c>
      <x:c r="E409" s="5" t="n">
        <x:v>6</x:v>
      </x:c>
      <x:c r="F409" s="5" t="str">
        <x:v>Governance Status</x:v>
      </x:c>
      <x:c r="G409" s="5" t="n">
        <x:v>1</x:v>
      </x:c>
      <x:c r="H409" s="5" t="n">
        <x:v>1</x:v>
      </x:c>
      <x:c r="I409" s="5" t="str">
        <x:v>ONLINE (HTTP 200)</x:v>
      </x:c>
      <x:c r="J409" s="5" t="str">
        <x:v>SOURCE QUOTE; unvalidated / superseded assessments</x:v>
      </x:c>
      <x:c r="L409" s="31" t="str">
        <x:v>D01, Markdown line 699; http://nas-1.tail55d152.ts.net:4100/static/2S_CONSULTING_NORDIC_OUTREACH_STRATEGY.html</x:v>
      </x:c>
    </x:row>
    <x:row r="410" ht="42" customHeight="1">
      <x:c r="A410" s="5" t="str">
        <x:v>D01</x:v>
      </x:c>
      <x:c r="B410" s="5" t="str">
        <x:v>D01-T09</x:v>
      </x:c>
      <x:c r="C410" s="5" t="str">
        <x:v>13. Complete Sovereign Artifact Registry &amp; Inter-Connected FQDN Network</x:v>
      </x:c>
      <x:c r="D410" s="5" t="n">
        <x:v>700</x:v>
      </x:c>
      <x:c r="E410" s="5" t="n">
        <x:v>1</x:v>
      </x:c>
      <x:c r="F410" s="5" t="str">
        <x:v>Artifact ID</x:v>
      </x:c>
      <x:c r="G410" s="5" t="n">
        <x:v>1</x:v>
      </x:c>
      <x:c r="H410" s="5" t="n">
        <x:v>1</x:v>
      </x:c>
      <x:c r="I410" s="5" t="str">
        <x:v>ART-09</x:v>
      </x:c>
      <x:c r="J410" s="5" t="str">
        <x:v>SOURCE QUOTE; unvalidated / superseded assessments</x:v>
      </x:c>
      <x:c r="L410" s="31" t="str">
        <x:v>D01, Markdown line 700; http://nas-1.tail55d152.ts.net:4100/static/2S_CONSULTING_NORDIC_OUTREACH_STRATEGY.html</x:v>
      </x:c>
    </x:row>
    <x:row r="411" ht="42" customHeight="1">
      <x:c r="A411" s="5" t="str">
        <x:v>D01</x:v>
      </x:c>
      <x:c r="B411" s="5" t="str">
        <x:v>D01-T09</x:v>
      </x:c>
      <x:c r="C411" s="5" t="str">
        <x:v>13. Complete Sovereign Artifact Registry &amp; Inter-Connected FQDN Network</x:v>
      </x:c>
      <x:c r="D411" s="5" t="n">
        <x:v>700</x:v>
      </x:c>
      <x:c r="E411" s="5" t="n">
        <x:v>2</x:v>
      </x:c>
      <x:c r="F411" s="5" t="str">
        <x:v>Deliverable Asset Description</x:v>
      </x:c>
      <x:c r="G411" s="5" t="n">
        <x:v>1</x:v>
      </x:c>
      <x:c r="H411" s="5" t="n">
        <x:v>1</x:v>
      </x:c>
      <x:c r="I411" s="5" t="str">
        <x:v>Dual-Track Outreach Presentation Document</x:v>
      </x:c>
      <x:c r="J411" s="5" t="str">
        <x:v>SOURCE QUOTE; unvalidated / superseded assessments</x:v>
      </x:c>
      <x:c r="L411" s="31" t="str">
        <x:v>D01, Markdown line 700; http://nas-1.tail55d152.ts.net:4100/static/2S_CONSULTING_NORDIC_OUTREACH_STRATEGY.html</x:v>
      </x:c>
    </x:row>
    <x:row r="412" ht="42" customHeight="1">
      <x:c r="A412" s="5" t="str">
        <x:v>D01</x:v>
      </x:c>
      <x:c r="B412" s="5" t="str">
        <x:v>D01-T09</x:v>
      </x:c>
      <x:c r="C412" s="5" t="str">
        <x:v>13. Complete Sovereign Artifact Registry &amp; Inter-Connected FQDN Network</x:v>
      </x:c>
      <x:c r="D412" s="5" t="n">
        <x:v>700</x:v>
      </x:c>
      <x:c r="E412" s="5" t="n">
        <x:v>3</x:v>
      </x:c>
      <x:c r="F412" s="5" t="str">
        <x:v>Format</x:v>
      </x:c>
      <x:c r="G412" s="5" t="n">
        <x:v>1</x:v>
      </x:c>
      <x:c r="H412" s="5" t="n">
        <x:v>1</x:v>
      </x:c>
      <x:c r="I412" s="5" t="str">
        <x:v>Rich HTML + MD</x:v>
      </x:c>
      <x:c r="J412" s="5" t="str">
        <x:v>SOURCE QUOTE; unvalidated / superseded assessments</x:v>
      </x:c>
      <x:c r="L412" s="31" t="str">
        <x:v>D01, Markdown line 700; http://nas-1.tail55d152.ts.net:4100/static/2S_CONSULTING_NORDIC_OUTREACH_STRATEGY.html</x:v>
      </x:c>
    </x:row>
    <x:row r="413" ht="42" customHeight="1">
      <x:c r="A413" s="5" t="str">
        <x:v>D01</x:v>
      </x:c>
      <x:c r="B413" s="5" t="str">
        <x:v>D01-T09</x:v>
      </x:c>
      <x:c r="C413" s="5" t="str">
        <x:v>13. Complete Sovereign Artifact Registry &amp; Inter-Connected FQDN Network</x:v>
      </x:c>
      <x:c r="D413" s="5" t="n">
        <x:v>700</x:v>
      </x:c>
      <x:c r="E413" s="5" t="n">
        <x:v>4</x:v>
      </x:c>
      <x:c r="F413" s="5" t="str">
        <x:v>Authoritative Web View (Tailscale FQDN)</x:v>
      </x:c>
      <x:c r="G413" s="5" t="n">
        <x:v>1</x:v>
      </x:c>
      <x:c r="H413" s="5" t="n">
        <x:v>1</x:v>
      </x:c>
      <x:c r="I413" s="5" t="str">
        <x:v>[Open Web App](http://nas-1.tail55d152.ts.net:4100/static/2S_NORDIC_OUTREACH_PRESENTATION_DOC.html)</x:v>
      </x:c>
      <x:c r="J413" s="5" t="str">
        <x:v>SOURCE QUOTE; unvalidated / superseded assessments</x:v>
      </x:c>
      <x:c r="L413" s="31" t="str">
        <x:v>D01, Markdown line 700; http://nas-1.tail55d152.ts.net:4100/static/2S_CONSULTING_NORDIC_OUTREACH_STRATEGY.html</x:v>
      </x:c>
    </x:row>
    <x:row r="414" ht="42" customHeight="1">
      <x:c r="A414" s="5" t="str">
        <x:v>D01</x:v>
      </x:c>
      <x:c r="B414" s="5" t="str">
        <x:v>D01-T09</x:v>
      </x:c>
      <x:c r="C414" s="5" t="str">
        <x:v>13. Complete Sovereign Artifact Registry &amp; Inter-Connected FQDN Network</x:v>
      </x:c>
      <x:c r="D414" s="5" t="n">
        <x:v>700</x:v>
      </x:c>
      <x:c r="E414" s="5" t="n">
        <x:v>5</x:v>
      </x:c>
      <x:c r="F414" s="5" t="str">
        <x:v>Source Markdown / Script</x:v>
      </x:c>
      <x:c r="G414" s="5" t="n">
        <x:v>1</x:v>
      </x:c>
      <x:c r="H414" s="5" t="n">
        <x:v>1</x:v>
      </x:c>
      <x:c r="I414" s="5" t="str">
        <x:v>[2S_NORDIC_OUTREACH_PRESENTATION.md](http://nas-1.tail55d152.ts.net:4100/docs/journal/2S_NORDIC_OUTREACH_PRESENTATION.md)</x:v>
      </x:c>
      <x:c r="J414" s="5" t="str">
        <x:v>SOURCE QUOTE; unvalidated / superseded assessments</x:v>
      </x:c>
      <x:c r="L414" s="31" t="str">
        <x:v>D01, Markdown line 700; http://nas-1.tail55d152.ts.net:4100/static/2S_CONSULTING_NORDIC_OUTREACH_STRATEGY.html</x:v>
      </x:c>
    </x:row>
    <x:row r="415" ht="42" customHeight="1">
      <x:c r="A415" s="5" t="str">
        <x:v>D01</x:v>
      </x:c>
      <x:c r="B415" s="5" t="str">
        <x:v>D01-T09</x:v>
      </x:c>
      <x:c r="C415" s="5" t="str">
        <x:v>13. Complete Sovereign Artifact Registry &amp; Inter-Connected FQDN Network</x:v>
      </x:c>
      <x:c r="D415" s="5" t="n">
        <x:v>700</x:v>
      </x:c>
      <x:c r="E415" s="5" t="n">
        <x:v>6</x:v>
      </x:c>
      <x:c r="F415" s="5" t="str">
        <x:v>Governance Status</x:v>
      </x:c>
      <x:c r="G415" s="5" t="n">
        <x:v>1</x:v>
      </x:c>
      <x:c r="H415" s="5" t="n">
        <x:v>1</x:v>
      </x:c>
      <x:c r="I415" s="5" t="str">
        <x:v>ONLINE (HTTP 200)</x:v>
      </x:c>
      <x:c r="J415" s="5" t="str">
        <x:v>SOURCE QUOTE; unvalidated / superseded assessments</x:v>
      </x:c>
      <x:c r="L415" s="31" t="str">
        <x:v>D01, Markdown line 700; http://nas-1.tail55d152.ts.net:4100/static/2S_CONSULTING_NORDIC_OUTREACH_STRATEGY.html</x:v>
      </x:c>
    </x:row>
    <x:row r="416" ht="42" customHeight="1">
      <x:c r="A416" s="5" t="str">
        <x:v>D01</x:v>
      </x:c>
      <x:c r="B416" s="5" t="str">
        <x:v>D01-T09</x:v>
      </x:c>
      <x:c r="C416" s="5" t="str">
        <x:v>13. Complete Sovereign Artifact Registry &amp; Inter-Connected FQDN Network</x:v>
      </x:c>
      <x:c r="D416" s="5" t="n">
        <x:v>701</x:v>
      </x:c>
      <x:c r="E416" s="5" t="n">
        <x:v>1</x:v>
      </x:c>
      <x:c r="F416" s="5" t="str">
        <x:v>Artifact ID</x:v>
      </x:c>
      <x:c r="G416" s="5" t="n">
        <x:v>1</x:v>
      </x:c>
      <x:c r="H416" s="5" t="n">
        <x:v>1</x:v>
      </x:c>
      <x:c r="I416" s="5" t="str">
        <x:v>ART-10</x:v>
      </x:c>
      <x:c r="J416" s="5" t="str">
        <x:v>SOURCE QUOTE; unvalidated / superseded assessments</x:v>
      </x:c>
      <x:c r="L416" s="31" t="str">
        <x:v>D01, Markdown line 701; http://nas-1.tail55d152.ts.net:4100/static/2S_CONSULTING_NORDIC_OUTREACH_STRATEGY.html</x:v>
      </x:c>
    </x:row>
    <x:row r="417" ht="42" customHeight="1">
      <x:c r="A417" s="5" t="str">
        <x:v>D01</x:v>
      </x:c>
      <x:c r="B417" s="5" t="str">
        <x:v>D01-T09</x:v>
      </x:c>
      <x:c r="C417" s="5" t="str">
        <x:v>13. Complete Sovereign Artifact Registry &amp; Inter-Connected FQDN Network</x:v>
      </x:c>
      <x:c r="D417" s="5" t="n">
        <x:v>701</x:v>
      </x:c>
      <x:c r="E417" s="5" t="n">
        <x:v>2</x:v>
      </x:c>
      <x:c r="F417" s="5" t="str">
        <x:v>Deliverable Asset Description</x:v>
      </x:c>
      <x:c r="G417" s="5" t="n">
        <x:v>1</x:v>
      </x:c>
      <x:c r="H417" s="5" t="n">
        <x:v>1</x:v>
      </x:c>
      <x:c r="I417" s="5" t="str">
        <x:v>Competitor Benchmark Presentation Deck (14 Slides)</x:v>
      </x:c>
      <x:c r="J417" s="5" t="str">
        <x:v>SOURCE QUOTE; unvalidated / superseded assessments</x:v>
      </x:c>
      <x:c r="L417" s="31" t="str">
        <x:v>D01, Markdown line 701; http://nas-1.tail55d152.ts.net:4100/static/2S_CONSULTING_NORDIC_OUTREACH_STRATEGY.html</x:v>
      </x:c>
    </x:row>
    <x:row r="418" ht="42" customHeight="1">
      <x:c r="A418" s="5" t="str">
        <x:v>D01</x:v>
      </x:c>
      <x:c r="B418" s="5" t="str">
        <x:v>D01-T09</x:v>
      </x:c>
      <x:c r="C418" s="5" t="str">
        <x:v>13. Complete Sovereign Artifact Registry &amp; Inter-Connected FQDN Network</x:v>
      </x:c>
      <x:c r="D418" s="5" t="n">
        <x:v>701</x:v>
      </x:c>
      <x:c r="E418" s="5" t="n">
        <x:v>3</x:v>
      </x:c>
      <x:c r="F418" s="5" t="str">
        <x:v>Format</x:v>
      </x:c>
      <x:c r="G418" s="5" t="n">
        <x:v>1</x:v>
      </x:c>
      <x:c r="H418" s="5" t="n">
        <x:v>1</x:v>
      </x:c>
      <x:c r="I418" s="5" t="str">
        <x:v>Interactive Slide Deck</x:v>
      </x:c>
      <x:c r="J418" s="5" t="str">
        <x:v>SOURCE QUOTE; unvalidated / superseded assessments</x:v>
      </x:c>
      <x:c r="L418" s="31" t="str">
        <x:v>D01, Markdown line 701; http://nas-1.tail55d152.ts.net:4100/static/2S_CONSULTING_NORDIC_OUTREACH_STRATEGY.html</x:v>
      </x:c>
    </x:row>
    <x:row r="419" ht="42" customHeight="1">
      <x:c r="A419" s="5" t="str">
        <x:v>D01</x:v>
      </x:c>
      <x:c r="B419" s="5" t="str">
        <x:v>D01-T09</x:v>
      </x:c>
      <x:c r="C419" s="5" t="str">
        <x:v>13. Complete Sovereign Artifact Registry &amp; Inter-Connected FQDN Network</x:v>
      </x:c>
      <x:c r="D419" s="5" t="n">
        <x:v>701</x:v>
      </x:c>
      <x:c r="E419" s="5" t="n">
        <x:v>4</x:v>
      </x:c>
      <x:c r="F419" s="5" t="str">
        <x:v>Authoritative Web View (Tailscale FQDN)</x:v>
      </x:c>
      <x:c r="G419" s="5" t="n">
        <x:v>1</x:v>
      </x:c>
      <x:c r="H419" s="5" t="n">
        <x:v>1</x:v>
      </x:c>
      <x:c r="I419" s="5" t="str">
        <x:v>[Open Slide Deck](http://nas-1.tail55d152.ts.net:4100/static/NORDIC_COMPETITOR_BENCHMARK_DECK.html)</x:v>
      </x:c>
      <x:c r="J419" s="5" t="str">
        <x:v>SOURCE QUOTE; unvalidated / superseded assessments</x:v>
      </x:c>
      <x:c r="L419" s="31" t="str">
        <x:v>D01, Markdown line 701; http://nas-1.tail55d152.ts.net:4100/static/2S_CONSULTING_NORDIC_OUTREACH_STRATEGY.html</x:v>
      </x:c>
    </x:row>
    <x:row r="420" ht="42" customHeight="1">
      <x:c r="A420" s="5" t="str">
        <x:v>D01</x:v>
      </x:c>
      <x:c r="B420" s="5" t="str">
        <x:v>D01-T09</x:v>
      </x:c>
      <x:c r="C420" s="5" t="str">
        <x:v>13. Complete Sovereign Artifact Registry &amp; Inter-Connected FQDN Network</x:v>
      </x:c>
      <x:c r="D420" s="5" t="n">
        <x:v>701</x:v>
      </x:c>
      <x:c r="E420" s="5" t="n">
        <x:v>5</x:v>
      </x:c>
      <x:c r="F420" s="5" t="str">
        <x:v>Source Markdown / Script</x:v>
      </x:c>
      <x:c r="G420" s="5" t="n">
        <x:v>1</x:v>
      </x:c>
      <x:c r="H420" s="5" t="n">
        <x:v>1</x:v>
      </x:c>
      <x:c r="I420" s="5" t="str">
        <x:v>[NORDIC_COMPETITOR_BENCHMARK_DECK.md](http://nas-1.tail55d152.ts.net:4100/docs/journal/NORDIC_COMPETITOR_BENCHMARK_DECK.md)</x:v>
      </x:c>
      <x:c r="J420" s="5" t="str">
        <x:v>SOURCE QUOTE; unvalidated / superseded assessments</x:v>
      </x:c>
      <x:c r="L420" s="31" t="str">
        <x:v>D01, Markdown line 701; http://nas-1.tail55d152.ts.net:4100/static/2S_CONSULTING_NORDIC_OUTREACH_STRATEGY.html</x:v>
      </x:c>
    </x:row>
    <x:row r="421" ht="42" customHeight="1">
      <x:c r="A421" s="5" t="str">
        <x:v>D01</x:v>
      </x:c>
      <x:c r="B421" s="5" t="str">
        <x:v>D01-T09</x:v>
      </x:c>
      <x:c r="C421" s="5" t="str">
        <x:v>13. Complete Sovereign Artifact Registry &amp; Inter-Connected FQDN Network</x:v>
      </x:c>
      <x:c r="D421" s="5" t="n">
        <x:v>701</x:v>
      </x:c>
      <x:c r="E421" s="5" t="n">
        <x:v>6</x:v>
      </x:c>
      <x:c r="F421" s="5" t="str">
        <x:v>Governance Status</x:v>
      </x:c>
      <x:c r="G421" s="5" t="n">
        <x:v>1</x:v>
      </x:c>
      <x:c r="H421" s="5" t="n">
        <x:v>1</x:v>
      </x:c>
      <x:c r="I421" s="5" t="str">
        <x:v>ONLINE (HTTP 200)</x:v>
      </x:c>
      <x:c r="J421" s="5" t="str">
        <x:v>SOURCE QUOTE; unvalidated / superseded assessments</x:v>
      </x:c>
      <x:c r="L421" s="31" t="str">
        <x:v>D01, Markdown line 701; http://nas-1.tail55d152.ts.net:4100/static/2S_CONSULTING_NORDIC_OUTREACH_STRATEGY.html</x:v>
      </x:c>
    </x:row>
    <x:row r="422" ht="42" customHeight="1">
      <x:c r="A422" s="5" t="str">
        <x:v>D01</x:v>
      </x:c>
      <x:c r="B422" s="5" t="str">
        <x:v>D01-T09</x:v>
      </x:c>
      <x:c r="C422" s="5" t="str">
        <x:v>13. Complete Sovereign Artifact Registry &amp; Inter-Connected FQDN Network</x:v>
      </x:c>
      <x:c r="D422" s="5" t="n">
        <x:v>702</x:v>
      </x:c>
      <x:c r="E422" s="5" t="n">
        <x:v>1</x:v>
      </x:c>
      <x:c r="F422" s="5" t="str">
        <x:v>Artifact ID</x:v>
      </x:c>
      <x:c r="G422" s="5" t="n">
        <x:v>1</x:v>
      </x:c>
      <x:c r="H422" s="5" t="n">
        <x:v>1</x:v>
      </x:c>
      <x:c r="I422" s="5" t="str">
        <x:v>ART-11</x:v>
      </x:c>
      <x:c r="J422" s="5" t="str">
        <x:v>SOURCE QUOTE; unvalidated / superseded assessments</x:v>
      </x:c>
      <x:c r="L422" s="31" t="str">
        <x:v>D01, Markdown line 702; http://nas-1.tail55d152.ts.net:4100/static/2S_CONSULTING_NORDIC_OUTREACH_STRATEGY.html</x:v>
      </x:c>
    </x:row>
    <x:row r="423" ht="42" customHeight="1">
      <x:c r="A423" s="5" t="str">
        <x:v>D01</x:v>
      </x:c>
      <x:c r="B423" s="5" t="str">
        <x:v>D01-T09</x:v>
      </x:c>
      <x:c r="C423" s="5" t="str">
        <x:v>13. Complete Sovereign Artifact Registry &amp; Inter-Connected FQDN Network</x:v>
      </x:c>
      <x:c r="D423" s="5" t="n">
        <x:v>702</x:v>
      </x:c>
      <x:c r="E423" s="5" t="n">
        <x:v>2</x:v>
      </x:c>
      <x:c r="F423" s="5" t="str">
        <x:v>Deliverable Asset Description</x:v>
      </x:c>
      <x:c r="G423" s="5" t="n">
        <x:v>1</x:v>
      </x:c>
      <x:c r="H423" s="5" t="n">
        <x:v>1</x:v>
      </x:c>
      <x:c r="I423" s="5" t="str">
        <x:v>Competitor Benchmark Presentation Document</x:v>
      </x:c>
      <x:c r="J423" s="5" t="str">
        <x:v>SOURCE QUOTE; unvalidated / superseded assessments</x:v>
      </x:c>
      <x:c r="L423" s="31" t="str">
        <x:v>D01, Markdown line 702; http://nas-1.tail55d152.ts.net:4100/static/2S_CONSULTING_NORDIC_OUTREACH_STRATEGY.html</x:v>
      </x:c>
    </x:row>
    <x:row r="424" ht="42" customHeight="1">
      <x:c r="A424" s="5" t="str">
        <x:v>D01</x:v>
      </x:c>
      <x:c r="B424" s="5" t="str">
        <x:v>D01-T09</x:v>
      </x:c>
      <x:c r="C424" s="5" t="str">
        <x:v>13. Complete Sovereign Artifact Registry &amp; Inter-Connected FQDN Network</x:v>
      </x:c>
      <x:c r="D424" s="5" t="n">
        <x:v>702</x:v>
      </x:c>
      <x:c r="E424" s="5" t="n">
        <x:v>3</x:v>
      </x:c>
      <x:c r="F424" s="5" t="str">
        <x:v>Format</x:v>
      </x:c>
      <x:c r="G424" s="5" t="n">
        <x:v>1</x:v>
      </x:c>
      <x:c r="H424" s="5" t="n">
        <x:v>1</x:v>
      </x:c>
      <x:c r="I424" s="5" t="str">
        <x:v>Rich HTML + MD</x:v>
      </x:c>
      <x:c r="J424" s="5" t="str">
        <x:v>SOURCE QUOTE; unvalidated / superseded assessments</x:v>
      </x:c>
      <x:c r="L424" s="31" t="str">
        <x:v>D01, Markdown line 702; http://nas-1.tail55d152.ts.net:4100/static/2S_CONSULTING_NORDIC_OUTREACH_STRATEGY.html</x:v>
      </x:c>
    </x:row>
    <x:row r="425" ht="42" customHeight="1">
      <x:c r="A425" s="5" t="str">
        <x:v>D01</x:v>
      </x:c>
      <x:c r="B425" s="5" t="str">
        <x:v>D01-T09</x:v>
      </x:c>
      <x:c r="C425" s="5" t="str">
        <x:v>13. Complete Sovereign Artifact Registry &amp; Inter-Connected FQDN Network</x:v>
      </x:c>
      <x:c r="D425" s="5" t="n">
        <x:v>702</x:v>
      </x:c>
      <x:c r="E425" s="5" t="n">
        <x:v>4</x:v>
      </x:c>
      <x:c r="F425" s="5" t="str">
        <x:v>Authoritative Web View (Tailscale FQDN)</x:v>
      </x:c>
      <x:c r="G425" s="5" t="n">
        <x:v>1</x:v>
      </x:c>
      <x:c r="H425" s="5" t="n">
        <x:v>1</x:v>
      </x:c>
      <x:c r="I425" s="5" t="str">
        <x:v>[Open Web App](http://nas-1.tail55d152.ts.net:4100/static/NORDIC_COMPETITOR_BENCHMARK_DECK_DOC.html)</x:v>
      </x:c>
      <x:c r="J425" s="5" t="str">
        <x:v>SOURCE QUOTE; unvalidated / superseded assessments</x:v>
      </x:c>
      <x:c r="L425" s="31" t="str">
        <x:v>D01, Markdown line 702; http://nas-1.tail55d152.ts.net:4100/static/2S_CONSULTING_NORDIC_OUTREACH_STRATEGY.html</x:v>
      </x:c>
    </x:row>
    <x:row r="426" ht="42" customHeight="1">
      <x:c r="A426" s="5" t="str">
        <x:v>D01</x:v>
      </x:c>
      <x:c r="B426" s="5" t="str">
        <x:v>D01-T09</x:v>
      </x:c>
      <x:c r="C426" s="5" t="str">
        <x:v>13. Complete Sovereign Artifact Registry &amp; Inter-Connected FQDN Network</x:v>
      </x:c>
      <x:c r="D426" s="5" t="n">
        <x:v>702</x:v>
      </x:c>
      <x:c r="E426" s="5" t="n">
        <x:v>5</x:v>
      </x:c>
      <x:c r="F426" s="5" t="str">
        <x:v>Source Markdown / Script</x:v>
      </x:c>
      <x:c r="G426" s="5" t="n">
        <x:v>1</x:v>
      </x:c>
      <x:c r="H426" s="5" t="n">
        <x:v>1</x:v>
      </x:c>
      <x:c r="I426" s="5" t="str">
        <x:v>[NORDIC_COMPETITOR_BENCHMARK_DECK.md](http://nas-1.tail55d152.ts.net:4100/docs/journal/NORDIC_COMPETITOR_BENCHMARK_DECK.md)</x:v>
      </x:c>
      <x:c r="J426" s="5" t="str">
        <x:v>SOURCE QUOTE; unvalidated / superseded assessments</x:v>
      </x:c>
      <x:c r="L426" s="31" t="str">
        <x:v>D01, Markdown line 702; http://nas-1.tail55d152.ts.net:4100/static/2S_CONSULTING_NORDIC_OUTREACH_STRATEGY.html</x:v>
      </x:c>
    </x:row>
    <x:row r="427" ht="42" customHeight="1">
      <x:c r="A427" s="5" t="str">
        <x:v>D01</x:v>
      </x:c>
      <x:c r="B427" s="5" t="str">
        <x:v>D01-T09</x:v>
      </x:c>
      <x:c r="C427" s="5" t="str">
        <x:v>13. Complete Sovereign Artifact Registry &amp; Inter-Connected FQDN Network</x:v>
      </x:c>
      <x:c r="D427" s="5" t="n">
        <x:v>702</x:v>
      </x:c>
      <x:c r="E427" s="5" t="n">
        <x:v>6</x:v>
      </x:c>
      <x:c r="F427" s="5" t="str">
        <x:v>Governance Status</x:v>
      </x:c>
      <x:c r="G427" s="5" t="n">
        <x:v>1</x:v>
      </x:c>
      <x:c r="H427" s="5" t="n">
        <x:v>1</x:v>
      </x:c>
      <x:c r="I427" s="5" t="str">
        <x:v>ONLINE (HTTP 200)</x:v>
      </x:c>
      <x:c r="J427" s="5" t="str">
        <x:v>SOURCE QUOTE; unvalidated / superseded assessments</x:v>
      </x:c>
      <x:c r="L427" s="31" t="str">
        <x:v>D01, Markdown line 702; http://nas-1.tail55d152.ts.net:4100/static/2S_CONSULTING_NORDIC_OUTREACH_STRATEGY.html</x:v>
      </x:c>
    </x:row>
    <x:row r="428" ht="42" customHeight="1">
      <x:c r="A428" s="5" t="str">
        <x:v>D01</x:v>
      </x:c>
      <x:c r="B428" s="5" t="str">
        <x:v>D01-T09</x:v>
      </x:c>
      <x:c r="C428" s="5" t="str">
        <x:v>13. Complete Sovereign Artifact Registry &amp; Inter-Connected FQDN Network</x:v>
      </x:c>
      <x:c r="D428" s="5" t="n">
        <x:v>703</x:v>
      </x:c>
      <x:c r="E428" s="5" t="n">
        <x:v>1</x:v>
      </x:c>
      <x:c r="F428" s="5" t="str">
        <x:v>Artifact ID</x:v>
      </x:c>
      <x:c r="G428" s="5" t="n">
        <x:v>1</x:v>
      </x:c>
      <x:c r="H428" s="5" t="n">
        <x:v>1</x:v>
      </x:c>
      <x:c r="I428" s="5" t="str">
        <x:v>ART-12</x:v>
      </x:c>
      <x:c r="J428" s="5" t="str">
        <x:v>SOURCE QUOTE; unvalidated / superseded assessments</x:v>
      </x:c>
      <x:c r="L428" s="31" t="str">
        <x:v>D01, Markdown line 703; http://nas-1.tail55d152.ts.net:4100/static/2S_CONSULTING_NORDIC_OUTREACH_STRATEGY.html</x:v>
      </x:c>
    </x:row>
    <x:row r="429" ht="42" customHeight="1">
      <x:c r="A429" s="5" t="str">
        <x:v>D01</x:v>
      </x:c>
      <x:c r="B429" s="5" t="str">
        <x:v>D01-T09</x:v>
      </x:c>
      <x:c r="C429" s="5" t="str">
        <x:v>13. Complete Sovereign Artifact Registry &amp; Inter-Connected FQDN Network</x:v>
      </x:c>
      <x:c r="D429" s="5" t="n">
        <x:v>703</x:v>
      </x:c>
      <x:c r="E429" s="5" t="n">
        <x:v>2</x:v>
      </x:c>
      <x:c r="F429" s="5" t="str">
        <x:v>Deliverable Asset Description</x:v>
      </x:c>
      <x:c r="G429" s="5" t="n">
        <x:v>1</x:v>
      </x:c>
      <x:c r="H429" s="5" t="n">
        <x:v>1</x:v>
      </x:c>
      <x:c r="I429" s="5" t="str">
        <x:v>Master Projects Directory Index</x:v>
      </x:c>
      <x:c r="J429" s="5" t="str">
        <x:v>SOURCE QUOTE; unvalidated / superseded assessments</x:v>
      </x:c>
      <x:c r="L429" s="31" t="str">
        <x:v>D01, Markdown line 703; http://nas-1.tail55d152.ts.net:4100/static/2S_CONSULTING_NORDIC_OUTREACH_STRATEGY.html</x:v>
      </x:c>
    </x:row>
    <x:row r="430" ht="42" customHeight="1">
      <x:c r="A430" s="5" t="str">
        <x:v>D01</x:v>
      </x:c>
      <x:c r="B430" s="5" t="str">
        <x:v>D01-T09</x:v>
      </x:c>
      <x:c r="C430" s="5" t="str">
        <x:v>13. Complete Sovereign Artifact Registry &amp; Inter-Connected FQDN Network</x:v>
      </x:c>
      <x:c r="D430" s="5" t="n">
        <x:v>703</x:v>
      </x:c>
      <x:c r="E430" s="5" t="n">
        <x:v>3</x:v>
      </x:c>
      <x:c r="F430" s="5" t="str">
        <x:v>Format</x:v>
      </x:c>
      <x:c r="G430" s="5" t="n">
        <x:v>1</x:v>
      </x:c>
      <x:c r="H430" s="5" t="n">
        <x:v>1</x:v>
      </x:c>
      <x:c r="I430" s="5" t="str">
        <x:v>Rich HTML + MD</x:v>
      </x:c>
      <x:c r="J430" s="5" t="str">
        <x:v>SOURCE QUOTE; unvalidated / superseded assessments</x:v>
      </x:c>
      <x:c r="L430" s="31" t="str">
        <x:v>D01, Markdown line 703; http://nas-1.tail55d152.ts.net:4100/static/2S_CONSULTING_NORDIC_OUTREACH_STRATEGY.html</x:v>
      </x:c>
    </x:row>
    <x:row r="431" ht="42" customHeight="1">
      <x:c r="A431" s="5" t="str">
        <x:v>D01</x:v>
      </x:c>
      <x:c r="B431" s="5" t="str">
        <x:v>D01-T09</x:v>
      </x:c>
      <x:c r="C431" s="5" t="str">
        <x:v>13. Complete Sovereign Artifact Registry &amp; Inter-Connected FQDN Network</x:v>
      </x:c>
      <x:c r="D431" s="5" t="n">
        <x:v>703</x:v>
      </x:c>
      <x:c r="E431" s="5" t="n">
        <x:v>4</x:v>
      </x:c>
      <x:c r="F431" s="5" t="str">
        <x:v>Authoritative Web View (Tailscale FQDN)</x:v>
      </x:c>
      <x:c r="G431" s="5" t="n">
        <x:v>1</x:v>
      </x:c>
      <x:c r="H431" s="5" t="n">
        <x:v>1</x:v>
      </x:c>
      <x:c r="I431" s="5" t="str">
        <x:v>[Open Web App](http://nas-1.tail55d152.ts.net:4100/static/PROJECTS_INDEX.html)</x:v>
      </x:c>
      <x:c r="J431" s="5" t="str">
        <x:v>SOURCE QUOTE; unvalidated / superseded assessments</x:v>
      </x:c>
      <x:c r="L431" s="31" t="str">
        <x:v>D01, Markdown line 703; http://nas-1.tail55d152.ts.net:4100/static/2S_CONSULTING_NORDIC_OUTREACH_STRATEGY.html</x:v>
      </x:c>
    </x:row>
    <x:row r="432" ht="42" customHeight="1">
      <x:c r="A432" s="5" t="str">
        <x:v>D01</x:v>
      </x:c>
      <x:c r="B432" s="5" t="str">
        <x:v>D01-T09</x:v>
      </x:c>
      <x:c r="C432" s="5" t="str">
        <x:v>13. Complete Sovereign Artifact Registry &amp; Inter-Connected FQDN Network</x:v>
      </x:c>
      <x:c r="D432" s="5" t="n">
        <x:v>703</x:v>
      </x:c>
      <x:c r="E432" s="5" t="n">
        <x:v>5</x:v>
      </x:c>
      <x:c r="F432" s="5" t="str">
        <x:v>Source Markdown / Script</x:v>
      </x:c>
      <x:c r="G432" s="5" t="n">
        <x:v>1</x:v>
      </x:c>
      <x:c r="H432" s="5" t="n">
        <x:v>1</x:v>
      </x:c>
      <x:c r="I432" s="5" t="str">
        <x:v>[PROJECTS_INDEX.md](http://nas-1.tail55d152.ts.net:4100/docs/journal/PROJECTS_INDEX.md)</x:v>
      </x:c>
      <x:c r="J432" s="5" t="str">
        <x:v>SOURCE QUOTE; unvalidated / superseded assessments</x:v>
      </x:c>
      <x:c r="L432" s="31" t="str">
        <x:v>D01, Markdown line 703; http://nas-1.tail55d152.ts.net:4100/static/2S_CONSULTING_NORDIC_OUTREACH_STRATEGY.html</x:v>
      </x:c>
    </x:row>
    <x:row r="433" ht="42" customHeight="1">
      <x:c r="A433" s="5" t="str">
        <x:v>D01</x:v>
      </x:c>
      <x:c r="B433" s="5" t="str">
        <x:v>D01-T09</x:v>
      </x:c>
      <x:c r="C433" s="5" t="str">
        <x:v>13. Complete Sovereign Artifact Registry &amp; Inter-Connected FQDN Network</x:v>
      </x:c>
      <x:c r="D433" s="5" t="n">
        <x:v>703</x:v>
      </x:c>
      <x:c r="E433" s="5" t="n">
        <x:v>6</x:v>
      </x:c>
      <x:c r="F433" s="5" t="str">
        <x:v>Governance Status</x:v>
      </x:c>
      <x:c r="G433" s="5" t="n">
        <x:v>1</x:v>
      </x:c>
      <x:c r="H433" s="5" t="n">
        <x:v>1</x:v>
      </x:c>
      <x:c r="I433" s="5" t="str">
        <x:v>ONLINE (HTTP 200)</x:v>
      </x:c>
      <x:c r="J433" s="5" t="str">
        <x:v>SOURCE QUOTE; unvalidated / superseded assessments</x:v>
      </x:c>
      <x:c r="L433" s="31" t="str">
        <x:v>D01, Markdown line 703; http://nas-1.tail55d152.ts.net:4100/static/2S_CONSULTING_NORDIC_OUTREACH_STRATEGY.html</x:v>
      </x:c>
    </x:row>
    <x:row r="434" ht="42" customHeight="1">
      <x:c r="A434" s="5" t="str">
        <x:v>D01</x:v>
      </x:c>
      <x:c r="B434" s="5" t="str">
        <x:v>D01-T09</x:v>
      </x:c>
      <x:c r="C434" s="5" t="str">
        <x:v>13. Complete Sovereign Artifact Registry &amp; Inter-Connected FQDN Network</x:v>
      </x:c>
      <x:c r="D434" s="5" t="n">
        <x:v>704</x:v>
      </x:c>
      <x:c r="E434" s="5" t="n">
        <x:v>1</x:v>
      </x:c>
      <x:c r="F434" s="5" t="str">
        <x:v>Artifact ID</x:v>
      </x:c>
      <x:c r="G434" s="5" t="n">
        <x:v>1</x:v>
      </x:c>
      <x:c r="H434" s="5" t="n">
        <x:v>1</x:v>
      </x:c>
      <x:c r="I434" s="5" t="str">
        <x:v>ART-13</x:v>
      </x:c>
      <x:c r="J434" s="5" t="str">
        <x:v>SOURCE QUOTE; unvalidated / superseded assessments</x:v>
      </x:c>
      <x:c r="L434" s="31" t="str">
        <x:v>D01, Markdown line 704; http://nas-1.tail55d152.ts.net:4100/static/2S_CONSULTING_NORDIC_OUTREACH_STRATEGY.html</x:v>
      </x:c>
    </x:row>
    <x:row r="435" ht="42" customHeight="1">
      <x:c r="A435" s="5" t="str">
        <x:v>D01</x:v>
      </x:c>
      <x:c r="B435" s="5" t="str">
        <x:v>D01-T09</x:v>
      </x:c>
      <x:c r="C435" s="5" t="str">
        <x:v>13. Complete Sovereign Artifact Registry &amp; Inter-Connected FQDN Network</x:v>
      </x:c>
      <x:c r="D435" s="5" t="n">
        <x:v>704</x:v>
      </x:c>
      <x:c r="E435" s="5" t="n">
        <x:v>2</x:v>
      </x:c>
      <x:c r="F435" s="5" t="str">
        <x:v>Deliverable Asset Description</x:v>
      </x:c>
      <x:c r="G435" s="5" t="n">
        <x:v>1</x:v>
      </x:c>
      <x:c r="H435" s="5" t="n">
        <x:v>1</x:v>
      </x:c>
      <x:c r="I435" s="5" t="str">
        <x:v>Comprehensive 13-Section Journal</x:v>
      </x:c>
      <x:c r="J435" s="5" t="str">
        <x:v>SOURCE QUOTE; unvalidated / superseded assessments</x:v>
      </x:c>
      <x:c r="L435" s="31" t="str">
        <x:v>D01, Markdown line 704; http://nas-1.tail55d152.ts.net:4100/static/2S_CONSULTING_NORDIC_OUTREACH_STRATEGY.html</x:v>
      </x:c>
    </x:row>
    <x:row r="436" ht="42" customHeight="1">
      <x:c r="A436" s="5" t="str">
        <x:v>D01</x:v>
      </x:c>
      <x:c r="B436" s="5" t="str">
        <x:v>D01-T09</x:v>
      </x:c>
      <x:c r="C436" s="5" t="str">
        <x:v>13. Complete Sovereign Artifact Registry &amp; Inter-Connected FQDN Network</x:v>
      </x:c>
      <x:c r="D436" s="5" t="n">
        <x:v>704</x:v>
      </x:c>
      <x:c r="E436" s="5" t="n">
        <x:v>3</x:v>
      </x:c>
      <x:c r="F436" s="5" t="str">
        <x:v>Format</x:v>
      </x:c>
      <x:c r="G436" s="5" t="n">
        <x:v>1</x:v>
      </x:c>
      <x:c r="H436" s="5" t="n">
        <x:v>1</x:v>
      </x:c>
      <x:c r="I436" s="5" t="str">
        <x:v>Rich HTML + MD</x:v>
      </x:c>
      <x:c r="J436" s="5" t="str">
        <x:v>SOURCE QUOTE; unvalidated / superseded assessments</x:v>
      </x:c>
      <x:c r="L436" s="31" t="str">
        <x:v>D01, Markdown line 704; http://nas-1.tail55d152.ts.net:4100/static/2S_CONSULTING_NORDIC_OUTREACH_STRATEGY.html</x:v>
      </x:c>
    </x:row>
    <x:row r="437" ht="42" customHeight="1">
      <x:c r="A437" s="5" t="str">
        <x:v>D01</x:v>
      </x:c>
      <x:c r="B437" s="5" t="str">
        <x:v>D01-T09</x:v>
      </x:c>
      <x:c r="C437" s="5" t="str">
        <x:v>13. Complete Sovereign Artifact Registry &amp; Inter-Connected FQDN Network</x:v>
      </x:c>
      <x:c r="D437" s="5" t="n">
        <x:v>704</x:v>
      </x:c>
      <x:c r="E437" s="5" t="n">
        <x:v>4</x:v>
      </x:c>
      <x:c r="F437" s="5" t="str">
        <x:v>Authoritative Web View (Tailscale FQDN)</x:v>
      </x:c>
      <x:c r="G437" s="5" t="n">
        <x:v>1</x:v>
      </x:c>
      <x:c r="H437" s="5" t="n">
        <x:v>1</x:v>
      </x:c>
      <x:c r="I437" s="5" t="str">
        <x:v>[Open Web App](http://nas-1.tail55d152.ts.net:4100/static/20260927-1133-2s-consulting-nordic-medtech-service-positioning-journal.html)</x:v>
      </x:c>
      <x:c r="J437" s="5" t="str">
        <x:v>SOURCE QUOTE; unvalidated / superseded assessments</x:v>
      </x:c>
      <x:c r="L437" s="31" t="str">
        <x:v>D01, Markdown line 704; http://nas-1.tail55d152.ts.net:4100/static/2S_CONSULTING_NORDIC_OUTREACH_STRATEGY.html</x:v>
      </x:c>
    </x:row>
    <x:row r="438" ht="56" customHeight="1">
      <x:c r="A438" s="5" t="str">
        <x:v>D01</x:v>
      </x:c>
      <x:c r="B438" s="5" t="str">
        <x:v>D01-T09</x:v>
      </x:c>
      <x:c r="C438" s="5" t="str">
        <x:v>13. Complete Sovereign Artifact Registry &amp; Inter-Connected FQDN Network</x:v>
      </x:c>
      <x:c r="D438" s="5" t="n">
        <x:v>704</x:v>
      </x:c>
      <x:c r="E438" s="5" t="n">
        <x:v>5</x:v>
      </x:c>
      <x:c r="F438" s="5" t="str">
        <x:v>Source Markdown / Script</x:v>
      </x:c>
      <x:c r="G438" s="5" t="n">
        <x:v>1</x:v>
      </x:c>
      <x:c r="H438" s="5" t="n">
        <x:v>1</x:v>
      </x:c>
      <x:c r="I438" s="5" t="str">
        <x:v>[20260927-1133-2s-consulting-nordic-medtech-service-positioning-journal.md](http://nas-1.tail55d152.ts.net:4100/docs/journal/20260927-1133-2s-consulting-nordic-medtech-service-positioning-journal.md)</x:v>
      </x:c>
      <x:c r="J438" s="5" t="str">
        <x:v>SOURCE QUOTE; unvalidated / superseded assessments</x:v>
      </x:c>
      <x:c r="L438" s="31" t="str">
        <x:v>D01, Markdown line 704; http://nas-1.tail55d152.ts.net:4100/static/2S_CONSULTING_NORDIC_OUTREACH_STRATEGY.html</x:v>
      </x:c>
    </x:row>
    <x:row r="439" ht="42" customHeight="1">
      <x:c r="A439" s="5" t="str">
        <x:v>D01</x:v>
      </x:c>
      <x:c r="B439" s="5" t="str">
        <x:v>D01-T09</x:v>
      </x:c>
      <x:c r="C439" s="5" t="str">
        <x:v>13. Complete Sovereign Artifact Registry &amp; Inter-Connected FQDN Network</x:v>
      </x:c>
      <x:c r="D439" s="5" t="n">
        <x:v>704</x:v>
      </x:c>
      <x:c r="E439" s="5" t="n">
        <x:v>6</x:v>
      </x:c>
      <x:c r="F439" s="5" t="str">
        <x:v>Governance Status</x:v>
      </x:c>
      <x:c r="G439" s="5" t="n">
        <x:v>1</x:v>
      </x:c>
      <x:c r="H439" s="5" t="n">
        <x:v>1</x:v>
      </x:c>
      <x:c r="I439" s="5" t="str">
        <x:v>ONLINE (HTTP 200)</x:v>
      </x:c>
      <x:c r="J439" s="5" t="str">
        <x:v>SOURCE QUOTE; unvalidated / superseded assessments</x:v>
      </x:c>
      <x:c r="L439" s="31" t="str">
        <x:v>D01, Markdown line 704; http://nas-1.tail55d152.ts.net:4100/static/2S_CONSULTING_NORDIC_OUTREACH_STRATEGY.html</x:v>
      </x:c>
    </x:row>
    <x:row r="440" ht="42" customHeight="1">
      <x:c r="A440" s="5" t="str">
        <x:v>D01</x:v>
      </x:c>
      <x:c r="B440" s="5" t="str">
        <x:v>D01-T09</x:v>
      </x:c>
      <x:c r="C440" s="5" t="str">
        <x:v>13. Complete Sovereign Artifact Registry &amp; Inter-Connected FQDN Network</x:v>
      </x:c>
      <x:c r="D440" s="5" t="n">
        <x:v>705</x:v>
      </x:c>
      <x:c r="E440" s="5" t="n">
        <x:v>1</x:v>
      </x:c>
      <x:c r="F440" s="5" t="str">
        <x:v>Artifact ID</x:v>
      </x:c>
      <x:c r="G440" s="5" t="n">
        <x:v>1</x:v>
      </x:c>
      <x:c r="H440" s="5" t="n">
        <x:v>1</x:v>
      </x:c>
      <x:c r="I440" s="5" t="str">
        <x:v>ART-14</x:v>
      </x:c>
      <x:c r="J440" s="5" t="str">
        <x:v>SOURCE QUOTE; unvalidated / superseded assessments</x:v>
      </x:c>
      <x:c r="L440" s="31" t="str">
        <x:v>D01, Markdown line 705; http://nas-1.tail55d152.ts.net:4100/static/2S_CONSULTING_NORDIC_OUTREACH_STRATEGY.html</x:v>
      </x:c>
    </x:row>
    <x:row r="441" ht="42" customHeight="1">
      <x:c r="A441" s="5" t="str">
        <x:v>D01</x:v>
      </x:c>
      <x:c r="B441" s="5" t="str">
        <x:v>D01-T09</x:v>
      </x:c>
      <x:c r="C441" s="5" t="str">
        <x:v>13. Complete Sovereign Artifact Registry &amp; Inter-Connected FQDN Network</x:v>
      </x:c>
      <x:c r="D441" s="5" t="n">
        <x:v>705</x:v>
      </x:c>
      <x:c r="E441" s="5" t="n">
        <x:v>2</x:v>
      </x:c>
      <x:c r="F441" s="5" t="str">
        <x:v>Deliverable Asset Description</x:v>
      </x:c>
      <x:c r="G441" s="5" t="n">
        <x:v>1</x:v>
      </x:c>
      <x:c r="H441" s="5" t="n">
        <x:v>1</x:v>
      </x:c>
      <x:c r="I441" s="5" t="str">
        <x:v>Nordic Life Sciences Financial Directory</x:v>
      </x:c>
      <x:c r="J441" s="5" t="str">
        <x:v>SOURCE QUOTE; unvalidated / superseded assessments</x:v>
      </x:c>
      <x:c r="L441" s="31" t="str">
        <x:v>D01, Markdown line 705; http://nas-1.tail55d152.ts.net:4100/static/2S_CONSULTING_NORDIC_OUTREACH_STRATEGY.html</x:v>
      </x:c>
    </x:row>
    <x:row r="442" ht="42" customHeight="1">
      <x:c r="A442" s="5" t="str">
        <x:v>D01</x:v>
      </x:c>
      <x:c r="B442" s="5" t="str">
        <x:v>D01-T09</x:v>
      </x:c>
      <x:c r="C442" s="5" t="str">
        <x:v>13. Complete Sovereign Artifact Registry &amp; Inter-Connected FQDN Network</x:v>
      </x:c>
      <x:c r="D442" s="5" t="n">
        <x:v>705</x:v>
      </x:c>
      <x:c r="E442" s="5" t="n">
        <x:v>3</x:v>
      </x:c>
      <x:c r="F442" s="5" t="str">
        <x:v>Format</x:v>
      </x:c>
      <x:c r="G442" s="5" t="n">
        <x:v>1</x:v>
      </x:c>
      <x:c r="H442" s="5" t="n">
        <x:v>1</x:v>
      </x:c>
      <x:c r="I442" s="5" t="str">
        <x:v>Rich HTML + MD</x:v>
      </x:c>
      <x:c r="J442" s="5" t="str">
        <x:v>SOURCE QUOTE; unvalidated / superseded assessments</x:v>
      </x:c>
      <x:c r="L442" s="31" t="str">
        <x:v>D01, Markdown line 705; http://nas-1.tail55d152.ts.net:4100/static/2S_CONSULTING_NORDIC_OUTREACH_STRATEGY.html</x:v>
      </x:c>
    </x:row>
    <x:row r="443" ht="42" customHeight="1">
      <x:c r="A443" s="5" t="str">
        <x:v>D01</x:v>
      </x:c>
      <x:c r="B443" s="5" t="str">
        <x:v>D01-T09</x:v>
      </x:c>
      <x:c r="C443" s="5" t="str">
        <x:v>13. Complete Sovereign Artifact Registry &amp; Inter-Connected FQDN Network</x:v>
      </x:c>
      <x:c r="D443" s="5" t="n">
        <x:v>705</x:v>
      </x:c>
      <x:c r="E443" s="5" t="n">
        <x:v>4</x:v>
      </x:c>
      <x:c r="F443" s="5" t="str">
        <x:v>Authoritative Web View (Tailscale FQDN)</x:v>
      </x:c>
      <x:c r="G443" s="5" t="n">
        <x:v>1</x:v>
      </x:c>
      <x:c r="H443" s="5" t="n">
        <x:v>1</x:v>
      </x:c>
      <x:c r="I443" s="5" t="str">
        <x:v>[Open Web App](http://nas-1.tail55d152.ts.net:4100/static/MEDICAL_NORDICS_FINANCIALS_DOSSIER.html)</x:v>
      </x:c>
      <x:c r="J443" s="5" t="str">
        <x:v>SOURCE QUOTE; unvalidated / superseded assessments</x:v>
      </x:c>
      <x:c r="L443" s="31" t="str">
        <x:v>D01, Markdown line 705; http://nas-1.tail55d152.ts.net:4100/static/2S_CONSULTING_NORDIC_OUTREACH_STRATEGY.html</x:v>
      </x:c>
    </x:row>
    <x:row r="444" ht="42" customHeight="1">
      <x:c r="A444" s="5" t="str">
        <x:v>D01</x:v>
      </x:c>
      <x:c r="B444" s="5" t="str">
        <x:v>D01-T09</x:v>
      </x:c>
      <x:c r="C444" s="5" t="str">
        <x:v>13. Complete Sovereign Artifact Registry &amp; Inter-Connected FQDN Network</x:v>
      </x:c>
      <x:c r="D444" s="5" t="n">
        <x:v>705</x:v>
      </x:c>
      <x:c r="E444" s="5" t="n">
        <x:v>5</x:v>
      </x:c>
      <x:c r="F444" s="5" t="str">
        <x:v>Source Markdown / Script</x:v>
      </x:c>
      <x:c r="G444" s="5" t="n">
        <x:v>1</x:v>
      </x:c>
      <x:c r="H444" s="5" t="n">
        <x:v>1</x:v>
      </x:c>
      <x:c r="I444" s="5" t="str">
        <x:v>[MEDICAL_NORDICS_FINANCIALS_DOSSIER.md](http://nas-1.tail55d152.ts.net:4100/docs/journal/MEDICAL_NORDICS_FINANCIALS_DOSSIER.md)</x:v>
      </x:c>
      <x:c r="J444" s="5" t="str">
        <x:v>SOURCE QUOTE; unvalidated / superseded assessments</x:v>
      </x:c>
      <x:c r="L444" s="31" t="str">
        <x:v>D01, Markdown line 705; http://nas-1.tail55d152.ts.net:4100/static/2S_CONSULTING_NORDIC_OUTREACH_STRATEGY.html</x:v>
      </x:c>
    </x:row>
    <x:row r="445" ht="42" customHeight="1">
      <x:c r="A445" s="5" t="str">
        <x:v>D01</x:v>
      </x:c>
      <x:c r="B445" s="5" t="str">
        <x:v>D01-T09</x:v>
      </x:c>
      <x:c r="C445" s="5" t="str">
        <x:v>13. Complete Sovereign Artifact Registry &amp; Inter-Connected FQDN Network</x:v>
      </x:c>
      <x:c r="D445" s="5" t="n">
        <x:v>705</x:v>
      </x:c>
      <x:c r="E445" s="5" t="n">
        <x:v>6</x:v>
      </x:c>
      <x:c r="F445" s="5" t="str">
        <x:v>Governance Status</x:v>
      </x:c>
      <x:c r="G445" s="5" t="n">
        <x:v>1</x:v>
      </x:c>
      <x:c r="H445" s="5" t="n">
        <x:v>1</x:v>
      </x:c>
      <x:c r="I445" s="5" t="str">
        <x:v>ONLINE (HTTP 200)</x:v>
      </x:c>
      <x:c r="J445" s="5" t="str">
        <x:v>SOURCE QUOTE; unvalidated / superseded assessments</x:v>
      </x:c>
      <x:c r="L445" s="31" t="str">
        <x:v>D01, Markdown line 705; http://nas-1.tail55d152.ts.net:4100/static/2S_CONSULTING_NORDIC_OUTREACH_STRATEGY.html</x:v>
      </x:c>
    </x:row>
    <x:row r="446" ht="42" customHeight="1">
      <x:c r="A446" s="5" t="str">
        <x:v>D01</x:v>
      </x:c>
      <x:c r="B446" s="5" t="str">
        <x:v>D01-T09</x:v>
      </x:c>
      <x:c r="C446" s="5" t="str">
        <x:v>13. Complete Sovereign Artifact Registry &amp; Inter-Connected FQDN Network</x:v>
      </x:c>
      <x:c r="D446" s="5" t="n">
        <x:v>706</x:v>
      </x:c>
      <x:c r="E446" s="5" t="n">
        <x:v>1</x:v>
      </x:c>
      <x:c r="F446" s="5" t="str">
        <x:v>Artifact ID</x:v>
      </x:c>
      <x:c r="G446" s="5" t="n">
        <x:v>1</x:v>
      </x:c>
      <x:c r="H446" s="5" t="n">
        <x:v>1</x:v>
      </x:c>
      <x:c r="I446" s="5" t="str">
        <x:v>ART-15</x:v>
      </x:c>
      <x:c r="J446" s="5" t="str">
        <x:v>SOURCE QUOTE; unvalidated / superseded assessments</x:v>
      </x:c>
      <x:c r="L446" s="31" t="str">
        <x:v>D01, Markdown line 706; http://nas-1.tail55d152.ts.net:4100/static/2S_CONSULTING_NORDIC_OUTREACH_STRATEGY.html</x:v>
      </x:c>
    </x:row>
    <x:row r="447" ht="42" customHeight="1">
      <x:c r="A447" s="5" t="str">
        <x:v>D01</x:v>
      </x:c>
      <x:c r="B447" s="5" t="str">
        <x:v>D01-T09</x:v>
      </x:c>
      <x:c r="C447" s="5" t="str">
        <x:v>13. Complete Sovereign Artifact Registry &amp; Inter-Connected FQDN Network</x:v>
      </x:c>
      <x:c r="D447" s="5" t="n">
        <x:v>706</x:v>
      </x:c>
      <x:c r="E447" s="5" t="n">
        <x:v>2</x:v>
      </x:c>
      <x:c r="F447" s="5" t="str">
        <x:v>Deliverable Asset Description</x:v>
      </x:c>
      <x:c r="G447" s="5" t="n">
        <x:v>1</x:v>
      </x:c>
      <x:c r="H447" s="5" t="n">
        <x:v>1</x:v>
      </x:c>
      <x:c r="I447" s="5" t="str">
        <x:v>Codex Astra Sovereign Review Certificate</x:v>
      </x:c>
      <x:c r="J447" s="5" t="str">
        <x:v>SOURCE QUOTE; unvalidated / superseded assessments</x:v>
      </x:c>
      <x:c r="L447" s="31" t="str">
        <x:v>D01, Markdown line 706; http://nas-1.tail55d152.ts.net:4100/static/2S_CONSULTING_NORDIC_OUTREACH_STRATEGY.html</x:v>
      </x:c>
    </x:row>
    <x:row r="448" ht="42" customHeight="1">
      <x:c r="A448" s="5" t="str">
        <x:v>D01</x:v>
      </x:c>
      <x:c r="B448" s="5" t="str">
        <x:v>D01-T09</x:v>
      </x:c>
      <x:c r="C448" s="5" t="str">
        <x:v>13. Complete Sovereign Artifact Registry &amp; Inter-Connected FQDN Network</x:v>
      </x:c>
      <x:c r="D448" s="5" t="n">
        <x:v>706</x:v>
      </x:c>
      <x:c r="E448" s="5" t="n">
        <x:v>3</x:v>
      </x:c>
      <x:c r="F448" s="5" t="str">
        <x:v>Format</x:v>
      </x:c>
      <x:c r="G448" s="5" t="n">
        <x:v>1</x:v>
      </x:c>
      <x:c r="H448" s="5" t="n">
        <x:v>1</x:v>
      </x:c>
      <x:c r="I448" s="5" t="str">
        <x:v>Rich HTML + MD</x:v>
      </x:c>
      <x:c r="J448" s="5" t="str">
        <x:v>SOURCE QUOTE; unvalidated / superseded assessments</x:v>
      </x:c>
      <x:c r="L448" s="31" t="str">
        <x:v>D01, Markdown line 706; http://nas-1.tail55d152.ts.net:4100/static/2S_CONSULTING_NORDIC_OUTREACH_STRATEGY.html</x:v>
      </x:c>
    </x:row>
    <x:row r="449" ht="42" customHeight="1">
      <x:c r="A449" s="5" t="str">
        <x:v>D01</x:v>
      </x:c>
      <x:c r="B449" s="5" t="str">
        <x:v>D01-T09</x:v>
      </x:c>
      <x:c r="C449" s="5" t="str">
        <x:v>13. Complete Sovereign Artifact Registry &amp; Inter-Connected FQDN Network</x:v>
      </x:c>
      <x:c r="D449" s="5" t="n">
        <x:v>706</x:v>
      </x:c>
      <x:c r="E449" s="5" t="n">
        <x:v>4</x:v>
      </x:c>
      <x:c r="F449" s="5" t="str">
        <x:v>Authoritative Web View (Tailscale FQDN)</x:v>
      </x:c>
      <x:c r="G449" s="5" t="n">
        <x:v>1</x:v>
      </x:c>
      <x:c r="H449" s="5" t="n">
        <x:v>1</x:v>
      </x:c>
      <x:c r="I449" s="5" t="str">
        <x:v>[Open Web App](http://nas-1.tail55d152.ts.net:4100/static/20260927-1145-uos-c3i-codex-astra-sovereign-review-and-ratification-certificate.html)</x:v>
      </x:c>
      <x:c r="J449" s="5" t="str">
        <x:v>SOURCE QUOTE; unvalidated / superseded assessments</x:v>
      </x:c>
      <x:c r="L449" s="31" t="str">
        <x:v>D01, Markdown line 706; http://nas-1.tail55d152.ts.net:4100/static/2S_CONSULTING_NORDIC_OUTREACH_STRATEGY.html</x:v>
      </x:c>
    </x:row>
    <x:row r="450" ht="56" customHeight="1">
      <x:c r="A450" s="5" t="str">
        <x:v>D01</x:v>
      </x:c>
      <x:c r="B450" s="5" t="str">
        <x:v>D01-T09</x:v>
      </x:c>
      <x:c r="C450" s="5" t="str">
        <x:v>13. Complete Sovereign Artifact Registry &amp; Inter-Connected FQDN Network</x:v>
      </x:c>
      <x:c r="D450" s="5" t="n">
        <x:v>706</x:v>
      </x:c>
      <x:c r="E450" s="5" t="n">
        <x:v>5</x:v>
      </x:c>
      <x:c r="F450" s="5" t="str">
        <x:v>Source Markdown / Script</x:v>
      </x:c>
      <x:c r="G450" s="5" t="n">
        <x:v>1</x:v>
      </x:c>
      <x:c r="H450" s="5" t="n">
        <x:v>1</x:v>
      </x:c>
      <x:c r="I450" s="5" t="str">
        <x:v>[20260927-1145-uos-c3i-codex-astra-sovereign-review-and-ratification-certificate.md](http://nas-1.tail55d152.ts.net:4100/docs/journal/20260927-1145-uos-c3i-codex-astra-sovereign-review-and-ratification-certificate.md)</x:v>
      </x:c>
      <x:c r="J450" s="5" t="str">
        <x:v>SOURCE QUOTE; unvalidated / superseded assessments</x:v>
      </x:c>
      <x:c r="L450" s="31" t="str">
        <x:v>D01, Markdown line 706; http://nas-1.tail55d152.ts.net:4100/static/2S_CONSULTING_NORDIC_OUTREACH_STRATEGY.html</x:v>
      </x:c>
    </x:row>
    <x:row r="451" ht="42" customHeight="1">
      <x:c r="A451" s="5" t="str">
        <x:v>D01</x:v>
      </x:c>
      <x:c r="B451" s="5" t="str">
        <x:v>D01-T09</x:v>
      </x:c>
      <x:c r="C451" s="5" t="str">
        <x:v>13. Complete Sovereign Artifact Registry &amp; Inter-Connected FQDN Network</x:v>
      </x:c>
      <x:c r="D451" s="5" t="n">
        <x:v>706</x:v>
      </x:c>
      <x:c r="E451" s="5" t="n">
        <x:v>6</x:v>
      </x:c>
      <x:c r="F451" s="5" t="str">
        <x:v>Governance Status</x:v>
      </x:c>
      <x:c r="G451" s="5" t="n">
        <x:v>1</x:v>
      </x:c>
      <x:c r="H451" s="5" t="n">
        <x:v>1</x:v>
      </x:c>
      <x:c r="I451" s="5" t="str">
        <x:v>RATIFIED (SIL-6)</x:v>
      </x:c>
      <x:c r="J451" s="5" t="str">
        <x:v>SOURCE QUOTE; unvalidated / superseded assessments</x:v>
      </x:c>
      <x:c r="L451" s="31" t="str">
        <x:v>D01, Markdown line 706; http://nas-1.tail55d152.ts.net:4100/static/2S_CONSULTING_NORDIC_OUTREACH_STRATEGY.html</x:v>
      </x:c>
    </x:row>
    <x:row r="452" ht="42" customHeight="1">
      <x:c r="A452" s="5" t="str">
        <x:v>D01</x:v>
      </x:c>
      <x:c r="B452" s="5" t="str">
        <x:v>D01-T09</x:v>
      </x:c>
      <x:c r="C452" s="5" t="str">
        <x:v>13. Complete Sovereign Artifact Registry &amp; Inter-Connected FQDN Network</x:v>
      </x:c>
      <x:c r="D452" s="5" t="n">
        <x:v>707</x:v>
      </x:c>
      <x:c r="E452" s="5" t="n">
        <x:v>1</x:v>
      </x:c>
      <x:c r="F452" s="5" t="str">
        <x:v>Artifact ID</x:v>
      </x:c>
      <x:c r="G452" s="5" t="n">
        <x:v>1</x:v>
      </x:c>
      <x:c r="H452" s="5" t="n">
        <x:v>1</x:v>
      </x:c>
      <x:c r="I452" s="5" t="str">
        <x:v>ART-16</x:v>
      </x:c>
      <x:c r="J452" s="5" t="str">
        <x:v>SOURCE QUOTE; unvalidated / superseded assessments</x:v>
      </x:c>
      <x:c r="L452" s="31" t="str">
        <x:v>D01, Markdown line 707; http://nas-1.tail55d152.ts.net:4100/static/2S_CONSULTING_NORDIC_OUTREACH_STRATEGY.html</x:v>
      </x:c>
    </x:row>
    <x:row r="453" ht="42" customHeight="1">
      <x:c r="A453" s="5" t="str">
        <x:v>D01</x:v>
      </x:c>
      <x:c r="B453" s="5" t="str">
        <x:v>D01-T09</x:v>
      </x:c>
      <x:c r="C453" s="5" t="str">
        <x:v>13. Complete Sovereign Artifact Registry &amp; Inter-Connected FQDN Network</x:v>
      </x:c>
      <x:c r="D453" s="5" t="n">
        <x:v>707</x:v>
      </x:c>
      <x:c r="E453" s="5" t="n">
        <x:v>2</x:v>
      </x:c>
      <x:c r="F453" s="5" t="str">
        <x:v>Deliverable Asset Description</x:v>
      </x:c>
      <x:c r="G453" s="5" t="n">
        <x:v>1</x:v>
      </x:c>
      <x:c r="H453" s="5" t="n">
        <x:v>1</x:v>
      </x:c>
      <x:c r="I453" s="5" t="str">
        <x:v>Zettelkasten Slip-Box Knowledge Note</x:v>
      </x:c>
      <x:c r="J453" s="5" t="str">
        <x:v>SOURCE QUOTE; unvalidated / superseded assessments</x:v>
      </x:c>
      <x:c r="L453" s="31" t="str">
        <x:v>D01, Markdown line 707; http://nas-1.tail55d152.ts.net:4100/static/2S_CONSULTING_NORDIC_OUTREACH_STRATEGY.html</x:v>
      </x:c>
    </x:row>
    <x:row r="454" ht="42" customHeight="1">
      <x:c r="A454" s="5" t="str">
        <x:v>D01</x:v>
      </x:c>
      <x:c r="B454" s="5" t="str">
        <x:v>D01-T09</x:v>
      </x:c>
      <x:c r="C454" s="5" t="str">
        <x:v>13. Complete Sovereign Artifact Registry &amp; Inter-Connected FQDN Network</x:v>
      </x:c>
      <x:c r="D454" s="5" t="n">
        <x:v>707</x:v>
      </x:c>
      <x:c r="E454" s="5" t="n">
        <x:v>3</x:v>
      </x:c>
      <x:c r="F454" s="5" t="str">
        <x:v>Format</x:v>
      </x:c>
      <x:c r="G454" s="5" t="n">
        <x:v>1</x:v>
      </x:c>
      <x:c r="H454" s="5" t="n">
        <x:v>1</x:v>
      </x:c>
      <x:c r="I454" s="5" t="str">
        <x:v>Rich HTML + MD</x:v>
      </x:c>
      <x:c r="J454" s="5" t="str">
        <x:v>SOURCE QUOTE; unvalidated / superseded assessments</x:v>
      </x:c>
      <x:c r="L454" s="31" t="str">
        <x:v>D01, Markdown line 707; http://nas-1.tail55d152.ts.net:4100/static/2S_CONSULTING_NORDIC_OUTREACH_STRATEGY.html</x:v>
      </x:c>
    </x:row>
    <x:row r="455" ht="42" customHeight="1">
      <x:c r="A455" s="5" t="str">
        <x:v>D01</x:v>
      </x:c>
      <x:c r="B455" s="5" t="str">
        <x:v>D01-T09</x:v>
      </x:c>
      <x:c r="C455" s="5" t="str">
        <x:v>13. Complete Sovereign Artifact Registry &amp; Inter-Connected FQDN Network</x:v>
      </x:c>
      <x:c r="D455" s="5" t="n">
        <x:v>707</x:v>
      </x:c>
      <x:c r="E455" s="5" t="n">
        <x:v>4</x:v>
      </x:c>
      <x:c r="F455" s="5" t="str">
        <x:v>Authoritative Web View (Tailscale FQDN)</x:v>
      </x:c>
      <x:c r="G455" s="5" t="n">
        <x:v>1</x:v>
      </x:c>
      <x:c r="H455" s="5" t="n">
        <x:v>1</x:v>
      </x:c>
      <x:c r="I455" s="5" t="str">
        <x:v>[Open Web App](http://nas-1.tail55d152.ts.net:4100/static/20260927-131534-2s-consulting-nordic-medtech-service-positioning-and-target-rationalization.html)</x:v>
      </x:c>
      <x:c r="J455" s="5" t="str">
        <x:v>SOURCE QUOTE; unvalidated / superseded assessments</x:v>
      </x:c>
      <x:c r="L455" s="31" t="str">
        <x:v>D01, Markdown line 707; http://nas-1.tail55d152.ts.net:4100/static/2S_CONSULTING_NORDIC_OUTREACH_STRATEGY.html</x:v>
      </x:c>
    </x:row>
    <x:row r="456" ht="56" customHeight="1">
      <x:c r="A456" s="5" t="str">
        <x:v>D01</x:v>
      </x:c>
      <x:c r="B456" s="5" t="str">
        <x:v>D01-T09</x:v>
      </x:c>
      <x:c r="C456" s="5" t="str">
        <x:v>13. Complete Sovereign Artifact Registry &amp; Inter-Connected FQDN Network</x:v>
      </x:c>
      <x:c r="D456" s="5" t="n">
        <x:v>707</x:v>
      </x:c>
      <x:c r="E456" s="5" t="n">
        <x:v>5</x:v>
      </x:c>
      <x:c r="F456" s="5" t="str">
        <x:v>Source Markdown / Script</x:v>
      </x:c>
      <x:c r="G456" s="5" t="n">
        <x:v>1</x:v>
      </x:c>
      <x:c r="H456" s="5" t="n">
        <x:v>1</x:v>
      </x:c>
      <x:c r="I456" s="5" t="str">
        <x:v>[20260927-131534-2s-consulting-nordic-medtech-service-positioning-and-target-rationalization.md](http://nas-1.tail55d152.ts.net:4100/docs/journal/20260927-131534-2s-consulting-nordic-medtech-service-positioning-and-target-rationalization.md)</x:v>
      </x:c>
      <x:c r="J456" s="5" t="str">
        <x:v>SOURCE QUOTE; unvalidated / superseded assessments</x:v>
      </x:c>
      <x:c r="L456" s="31" t="str">
        <x:v>D01, Markdown line 707; http://nas-1.tail55d152.ts.net:4100/static/2S_CONSULTING_NORDIC_OUTREACH_STRATEGY.html</x:v>
      </x:c>
    </x:row>
    <x:row r="457" ht="42" customHeight="1">
      <x:c r="A457" s="5" t="str">
        <x:v>D01</x:v>
      </x:c>
      <x:c r="B457" s="5" t="str">
        <x:v>D01-T09</x:v>
      </x:c>
      <x:c r="C457" s="5" t="str">
        <x:v>13. Complete Sovereign Artifact Registry &amp; Inter-Connected FQDN Network</x:v>
      </x:c>
      <x:c r="D457" s="5" t="n">
        <x:v>707</x:v>
      </x:c>
      <x:c r="E457" s="5" t="n">
        <x:v>6</x:v>
      </x:c>
      <x:c r="F457" s="5" t="str">
        <x:v>Governance Status</x:v>
      </x:c>
      <x:c r="G457" s="5" t="n">
        <x:v>1</x:v>
      </x:c>
      <x:c r="H457" s="5" t="n">
        <x:v>1</x:v>
      </x:c>
      <x:c r="I457" s="5" t="str">
        <x:v>INGESTED (UUID)</x:v>
      </x:c>
      <x:c r="J457" s="5" t="str">
        <x:v>SOURCE QUOTE; unvalidated / superseded assessments</x:v>
      </x:c>
      <x:c r="L457" s="31" t="str">
        <x:v>D01, Markdown line 707; http://nas-1.tail55d152.ts.net:4100/static/2S_CONSULTING_NORDIC_OUTREACH_STRATEGY.html</x:v>
      </x:c>
    </x:row>
    <x:row r="458" ht="42" customHeight="1">
      <x:c r="A458" s="5" t="str">
        <x:v>D01</x:v>
      </x:c>
      <x:c r="B458" s="5" t="str">
        <x:v>D01-T09</x:v>
      </x:c>
      <x:c r="C458" s="5" t="str">
        <x:v>13. Complete Sovereign Artifact Registry &amp; Inter-Connected FQDN Network</x:v>
      </x:c>
      <x:c r="D458" s="5" t="n">
        <x:v>708</x:v>
      </x:c>
      <x:c r="E458" s="5" t="n">
        <x:v>1</x:v>
      </x:c>
      <x:c r="F458" s="5" t="str">
        <x:v>Artifact ID</x:v>
      </x:c>
      <x:c r="G458" s="5" t="n">
        <x:v>1</x:v>
      </x:c>
      <x:c r="H458" s="5" t="n">
        <x:v>1</x:v>
      </x:c>
      <x:c r="I458" s="5" t="str">
        <x:v>ART-17</x:v>
      </x:c>
      <x:c r="J458" s="5" t="str">
        <x:v>SOURCE QUOTE; unvalidated / superseded assessments</x:v>
      </x:c>
      <x:c r="L458" s="31" t="str">
        <x:v>D01, Markdown line 708; http://nas-1.tail55d152.ts.net:4100/static/2S_CONSULTING_NORDIC_OUTREACH_STRATEGY.html</x:v>
      </x:c>
    </x:row>
    <x:row r="459" ht="42" customHeight="1">
      <x:c r="A459" s="5" t="str">
        <x:v>D01</x:v>
      </x:c>
      <x:c r="B459" s="5" t="str">
        <x:v>D01-T09</x:v>
      </x:c>
      <x:c r="C459" s="5" t="str">
        <x:v>13. Complete Sovereign Artifact Registry &amp; Inter-Connected FQDN Network</x:v>
      </x:c>
      <x:c r="D459" s="5" t="n">
        <x:v>708</x:v>
      </x:c>
      <x:c r="E459" s="5" t="n">
        <x:v>2</x:v>
      </x:c>
      <x:c r="F459" s="5" t="str">
        <x:v>Deliverable Asset Description</x:v>
      </x:c>
      <x:c r="G459" s="5" t="n">
        <x:v>1</x:v>
      </x:c>
      <x:c r="H459" s="5" t="n">
        <x:v>1</x:v>
      </x:c>
      <x:c r="I459" s="5" t="str">
        <x:v>2S Consulting 2026 Executive Vision</x:v>
      </x:c>
      <x:c r="J459" s="5" t="str">
        <x:v>SOURCE QUOTE; unvalidated / superseded assessments</x:v>
      </x:c>
      <x:c r="L459" s="31" t="str">
        <x:v>D01, Markdown line 708; http://nas-1.tail55d152.ts.net:4100/static/2S_CONSULTING_NORDIC_OUTREACH_STRATEGY.html</x:v>
      </x:c>
    </x:row>
    <x:row r="460" ht="42" customHeight="1">
      <x:c r="A460" s="5" t="str">
        <x:v>D01</x:v>
      </x:c>
      <x:c r="B460" s="5" t="str">
        <x:v>D01-T09</x:v>
      </x:c>
      <x:c r="C460" s="5" t="str">
        <x:v>13. Complete Sovereign Artifact Registry &amp; Inter-Connected FQDN Network</x:v>
      </x:c>
      <x:c r="D460" s="5" t="n">
        <x:v>708</x:v>
      </x:c>
      <x:c r="E460" s="5" t="n">
        <x:v>3</x:v>
      </x:c>
      <x:c r="F460" s="5" t="str">
        <x:v>Format</x:v>
      </x:c>
      <x:c r="G460" s="5" t="n">
        <x:v>1</x:v>
      </x:c>
      <x:c r="H460" s="5" t="n">
        <x:v>1</x:v>
      </x:c>
      <x:c r="I460" s="5" t="str">
        <x:v>Rich HTML + MD</x:v>
      </x:c>
      <x:c r="J460" s="5" t="str">
        <x:v>SOURCE QUOTE; unvalidated / superseded assessments</x:v>
      </x:c>
      <x:c r="L460" s="31" t="str">
        <x:v>D01, Markdown line 708; http://nas-1.tail55d152.ts.net:4100/static/2S_CONSULTING_NORDIC_OUTREACH_STRATEGY.html</x:v>
      </x:c>
    </x:row>
    <x:row r="461" ht="42" customHeight="1">
      <x:c r="A461" s="5" t="str">
        <x:v>D01</x:v>
      </x:c>
      <x:c r="B461" s="5" t="str">
        <x:v>D01-T09</x:v>
      </x:c>
      <x:c r="C461" s="5" t="str">
        <x:v>13. Complete Sovereign Artifact Registry &amp; Inter-Connected FQDN Network</x:v>
      </x:c>
      <x:c r="D461" s="5" t="n">
        <x:v>708</x:v>
      </x:c>
      <x:c r="E461" s="5" t="n">
        <x:v>4</x:v>
      </x:c>
      <x:c r="F461" s="5" t="str">
        <x:v>Authoritative Web View (Tailscale FQDN)</x:v>
      </x:c>
      <x:c r="G461" s="5" t="n">
        <x:v>1</x:v>
      </x:c>
      <x:c r="H461" s="5" t="n">
        <x:v>1</x:v>
      </x:c>
      <x:c r="I461" s="5" t="str">
        <x:v>[Open Web App](http://nas-1.tail55d152.ts.net:4100/static/pdf_download_converted.html)</x:v>
      </x:c>
      <x:c r="J461" s="5" t="str">
        <x:v>SOURCE QUOTE; unvalidated / superseded assessments</x:v>
      </x:c>
      <x:c r="L461" s="31" t="str">
        <x:v>D01, Markdown line 708; http://nas-1.tail55d152.ts.net:4100/static/2S_CONSULTING_NORDIC_OUTREACH_STRATEGY.html</x:v>
      </x:c>
    </x:row>
    <x:row r="462" ht="42" customHeight="1">
      <x:c r="A462" s="5" t="str">
        <x:v>D01</x:v>
      </x:c>
      <x:c r="B462" s="5" t="str">
        <x:v>D01-T09</x:v>
      </x:c>
      <x:c r="C462" s="5" t="str">
        <x:v>13. Complete Sovereign Artifact Registry &amp; Inter-Connected FQDN Network</x:v>
      </x:c>
      <x:c r="D462" s="5" t="n">
        <x:v>708</x:v>
      </x:c>
      <x:c r="E462" s="5" t="n">
        <x:v>5</x:v>
      </x:c>
      <x:c r="F462" s="5" t="str">
        <x:v>Source Markdown / Script</x:v>
      </x:c>
      <x:c r="G462" s="5" t="n">
        <x:v>1</x:v>
      </x:c>
      <x:c r="H462" s="5" t="n">
        <x:v>1</x:v>
      </x:c>
      <x:c r="I462" s="5" t="str">
        <x:v>[pdf_download_converted.md](http://nas-1.tail55d152.ts.net:4100/docs/journal/pdf_download_converted.md)</x:v>
      </x:c>
      <x:c r="J462" s="5" t="str">
        <x:v>SOURCE QUOTE; unvalidated / superseded assessments</x:v>
      </x:c>
      <x:c r="L462" s="31" t="str">
        <x:v>D01, Markdown line 708; http://nas-1.tail55d152.ts.net:4100/static/2S_CONSULTING_NORDIC_OUTREACH_STRATEGY.html</x:v>
      </x:c>
    </x:row>
    <x:row r="463" ht="42" customHeight="1">
      <x:c r="A463" s="5" t="str">
        <x:v>D01</x:v>
      </x:c>
      <x:c r="B463" s="5" t="str">
        <x:v>D01-T09</x:v>
      </x:c>
      <x:c r="C463" s="5" t="str">
        <x:v>13. Complete Sovereign Artifact Registry &amp; Inter-Connected FQDN Network</x:v>
      </x:c>
      <x:c r="D463" s="5" t="n">
        <x:v>708</x:v>
      </x:c>
      <x:c r="E463" s="5" t="n">
        <x:v>6</x:v>
      </x:c>
      <x:c r="F463" s="5" t="str">
        <x:v>Governance Status</x:v>
      </x:c>
      <x:c r="G463" s="5" t="n">
        <x:v>1</x:v>
      </x:c>
      <x:c r="H463" s="5" t="n">
        <x:v>1</x:v>
      </x:c>
      <x:c r="I463" s="5" t="str">
        <x:v>ONLINE (HTTP 200)</x:v>
      </x:c>
      <x:c r="J463" s="5" t="str">
        <x:v>SOURCE QUOTE; unvalidated / superseded assessments</x:v>
      </x:c>
      <x:c r="L463" s="31" t="str">
        <x:v>D01, Markdown line 708; http://nas-1.tail55d152.ts.net:4100/static/2S_CONSULTING_NORDIC_OUTREACH_STRATEGY.html</x:v>
      </x:c>
    </x:row>
    <x:row r="464" ht="42" customHeight="1">
      <x:c r="A464" s="5" t="str">
        <x:v>D01</x:v>
      </x:c>
      <x:c r="B464" s="5" t="str">
        <x:v>D01-T09</x:v>
      </x:c>
      <x:c r="C464" s="5" t="str">
        <x:v>13. Complete Sovereign Artifact Registry &amp; Inter-Connected FQDN Network</x:v>
      </x:c>
      <x:c r="D464" s="5" t="n">
        <x:v>709</x:v>
      </x:c>
      <x:c r="E464" s="5" t="n">
        <x:v>1</x:v>
      </x:c>
      <x:c r="F464" s="5" t="str">
        <x:v>Artifact ID</x:v>
      </x:c>
      <x:c r="G464" s="5" t="n">
        <x:v>1</x:v>
      </x:c>
      <x:c r="H464" s="5" t="n">
        <x:v>1</x:v>
      </x:c>
      <x:c r="I464" s="5" t="str">
        <x:v>ART-18</x:v>
      </x:c>
      <x:c r="J464" s="5" t="str">
        <x:v>SOURCE QUOTE; unvalidated / superseded assessments</x:v>
      </x:c>
      <x:c r="L464" s="31" t="str">
        <x:v>D01, Markdown line 709; http://nas-1.tail55d152.ts.net:4100/static/2S_CONSULTING_NORDIC_OUTREACH_STRATEGY.html</x:v>
      </x:c>
    </x:row>
    <x:row r="465" ht="42" customHeight="1">
      <x:c r="A465" s="5" t="str">
        <x:v>D01</x:v>
      </x:c>
      <x:c r="B465" s="5" t="str">
        <x:v>D01-T09</x:v>
      </x:c>
      <x:c r="C465" s="5" t="str">
        <x:v>13. Complete Sovereign Artifact Registry &amp; Inter-Connected FQDN Network</x:v>
      </x:c>
      <x:c r="D465" s="5" t="n">
        <x:v>709</x:v>
      </x:c>
      <x:c r="E465" s="5" t="n">
        <x:v>2</x:v>
      </x:c>
      <x:c r="F465" s="5" t="str">
        <x:v>Deliverable Asset Description</x:v>
      </x:c>
      <x:c r="G465" s="5" t="n">
        <x:v>1</x:v>
      </x:c>
      <x:c r="H465" s="5" t="n">
        <x:v>1</x:v>
      </x:c>
      <x:c r="I465" s="5" t="str">
        <x:v>Master Audited Financial Sheet (135 Facilities)</x:v>
      </x:c>
      <x:c r="J465" s="5" t="str">
        <x:v>SOURCE QUOTE; unvalidated / superseded assessments</x:v>
      </x:c>
      <x:c r="L465" s="31" t="str">
        <x:v>D01, Markdown line 709; http://nas-1.tail55d152.ts.net:4100/static/2S_CONSULTING_NORDIC_OUTREACH_STRATEGY.html</x:v>
      </x:c>
    </x:row>
    <x:row r="466" ht="42" customHeight="1">
      <x:c r="A466" s="5" t="str">
        <x:v>D01</x:v>
      </x:c>
      <x:c r="B466" s="5" t="str">
        <x:v>D01-T09</x:v>
      </x:c>
      <x:c r="C466" s="5" t="str">
        <x:v>13. Complete Sovereign Artifact Registry &amp; Inter-Connected FQDN Network</x:v>
      </x:c>
      <x:c r="D466" s="5" t="n">
        <x:v>709</x:v>
      </x:c>
      <x:c r="E466" s="5" t="n">
        <x:v>3</x:v>
      </x:c>
      <x:c r="F466" s="5" t="str">
        <x:v>Format</x:v>
      </x:c>
      <x:c r="G466" s="5" t="n">
        <x:v>1</x:v>
      </x:c>
      <x:c r="H466" s="5" t="n">
        <x:v>1</x:v>
      </x:c>
      <x:c r="I466" s="5" t="str">
        <x:v>XLSX Spreadsheet</x:v>
      </x:c>
      <x:c r="J466" s="5" t="str">
        <x:v>SOURCE QUOTE; unvalidated / superseded assessments</x:v>
      </x:c>
      <x:c r="L466" s="31" t="str">
        <x:v>D01, Markdown line 709; http://nas-1.tail55d152.ts.net:4100/static/2S_CONSULTING_NORDIC_OUTREACH_STRATEGY.html</x:v>
      </x:c>
    </x:row>
    <x:row r="467" ht="42" customHeight="1">
      <x:c r="A467" s="5" t="str">
        <x:v>D01</x:v>
      </x:c>
      <x:c r="B467" s="5" t="str">
        <x:v>D01-T09</x:v>
      </x:c>
      <x:c r="C467" s="5" t="str">
        <x:v>13. Complete Sovereign Artifact Registry &amp; Inter-Connected FQDN Network</x:v>
      </x:c>
      <x:c r="D467" s="5" t="n">
        <x:v>709</x:v>
      </x:c>
      <x:c r="E467" s="5" t="n">
        <x:v>4</x:v>
      </x:c>
      <x:c r="F467" s="5" t="str">
        <x:v>Authoritative Web View (Tailscale FQDN)</x:v>
      </x:c>
      <x:c r="G467" s="5" t="n">
        <x:v>1</x:v>
      </x:c>
      <x:c r="H467" s="5" t="n">
        <x:v>1</x:v>
      </x:c>
      <x:c r="I467" s="5" t="str">
        <x:v>[Download Excel](http://nas-1.tail55d152.ts.net:4100/static/Medical-Nordics-1.xlsx)</x:v>
      </x:c>
      <x:c r="J467" s="5" t="str">
        <x:v>SOURCE QUOTE; unvalidated / superseded assessments</x:v>
      </x:c>
      <x:c r="L467" s="31" t="str">
        <x:v>D01, Markdown line 709; http://nas-1.tail55d152.ts.net:4100/static/2S_CONSULTING_NORDIC_OUTREACH_STRATEGY.html</x:v>
      </x:c>
    </x:row>
    <x:row r="468" ht="42" customHeight="1">
      <x:c r="A468" s="5" t="str">
        <x:v>D01</x:v>
      </x:c>
      <x:c r="B468" s="5" t="str">
        <x:v>D01-T09</x:v>
      </x:c>
      <x:c r="C468" s="5" t="str">
        <x:v>13. Complete Sovereign Artifact Registry &amp; Inter-Connected FQDN Network</x:v>
      </x:c>
      <x:c r="D468" s="5" t="n">
        <x:v>709</x:v>
      </x:c>
      <x:c r="E468" s="5" t="n">
        <x:v>5</x:v>
      </x:c>
      <x:c r="F468" s="5" t="str">
        <x:v>Source Markdown / Script</x:v>
      </x:c>
      <x:c r="G468" s="5" t="n">
        <x:v>1</x:v>
      </x:c>
      <x:c r="H468" s="5" t="n">
        <x:v>1</x:v>
      </x:c>
      <x:c r="I468" s="5" t="str">
        <x:v>[Local Spreadsheet](./Medical-Nordics-1.xlsx)</x:v>
      </x:c>
      <x:c r="J468" s="5" t="str">
        <x:v>SOURCE QUOTE; unvalidated / superseded assessments</x:v>
      </x:c>
      <x:c r="L468" s="31" t="str">
        <x:v>D01, Markdown line 709; http://nas-1.tail55d152.ts.net:4100/static/2S_CONSULTING_NORDIC_OUTREACH_STRATEGY.html</x:v>
      </x:c>
    </x:row>
    <x:row r="469" ht="42" customHeight="1">
      <x:c r="A469" s="5" t="str">
        <x:v>D01</x:v>
      </x:c>
      <x:c r="B469" s="5" t="str">
        <x:v>D01-T09</x:v>
      </x:c>
      <x:c r="C469" s="5" t="str">
        <x:v>13. Complete Sovereign Artifact Registry &amp; Inter-Connected FQDN Network</x:v>
      </x:c>
      <x:c r="D469" s="5" t="n">
        <x:v>709</x:v>
      </x:c>
      <x:c r="E469" s="5" t="n">
        <x:v>6</x:v>
      </x:c>
      <x:c r="F469" s="5" t="str">
        <x:v>Governance Status</x:v>
      </x:c>
      <x:c r="G469" s="5" t="n">
        <x:v>1</x:v>
      </x:c>
      <x:c r="H469" s="5" t="n">
        <x:v>1</x:v>
      </x:c>
      <x:c r="I469" s="5" t="str">
        <x:v>AUDITED (135 Sites)</x:v>
      </x:c>
      <x:c r="J469" s="5" t="str">
        <x:v>SOURCE QUOTE; unvalidated / superseded assessments</x:v>
      </x:c>
      <x:c r="L469" s="31" t="str">
        <x:v>D01, Markdown line 709; http://nas-1.tail55d152.ts.net:4100/static/2S_CONSULTING_NORDIC_OUTREACH_STRATEGY.html</x:v>
      </x:c>
    </x:row>
    <x:row r="470" ht="42" customHeight="1">
      <x:c r="A470" s="5" t="str">
        <x:v>D01</x:v>
      </x:c>
      <x:c r="B470" s="5" t="str">
        <x:v>D01-T09</x:v>
      </x:c>
      <x:c r="C470" s="5" t="str">
        <x:v>13. Complete Sovereign Artifact Registry &amp; Inter-Connected FQDN Network</x:v>
      </x:c>
      <x:c r="D470" s="5" t="n">
        <x:v>710</x:v>
      </x:c>
      <x:c r="E470" s="5" t="n">
        <x:v>1</x:v>
      </x:c>
      <x:c r="F470" s="5" t="str">
        <x:v>Artifact ID</x:v>
      </x:c>
      <x:c r="G470" s="5" t="n">
        <x:v>1</x:v>
      </x:c>
      <x:c r="H470" s="5" t="n">
        <x:v>1</x:v>
      </x:c>
      <x:c r="I470" s="5" t="str">
        <x:v>ART-19</x:v>
      </x:c>
      <x:c r="J470" s="5" t="str">
        <x:v>SOURCE QUOTE; unvalidated / superseded assessments</x:v>
      </x:c>
      <x:c r="L470" s="31" t="str">
        <x:v>D01, Markdown line 710; http://nas-1.tail55d152.ts.net:4100/static/2S_CONSULTING_NORDIC_OUTREACH_STRATEGY.html</x:v>
      </x:c>
    </x:row>
    <x:row r="471" ht="42" customHeight="1">
      <x:c r="A471" s="5" t="str">
        <x:v>D01</x:v>
      </x:c>
      <x:c r="B471" s="5" t="str">
        <x:v>D01-T09</x:v>
      </x:c>
      <x:c r="C471" s="5" t="str">
        <x:v>13. Complete Sovereign Artifact Registry &amp; Inter-Connected FQDN Network</x:v>
      </x:c>
      <x:c r="D471" s="5" t="n">
        <x:v>710</x:v>
      </x:c>
      <x:c r="E471" s="5" t="n">
        <x:v>2</x:v>
      </x:c>
      <x:c r="F471" s="5" t="str">
        <x:v>Deliverable Asset Description</x:v>
      </x:c>
      <x:c r="G471" s="5" t="n">
        <x:v>1</x:v>
      </x:c>
      <x:c r="H471" s="5" t="n">
        <x:v>1</x:v>
      </x:c>
      <x:c r="I471" s="5" t="str">
        <x:v>2S Consulting Enterprise Master Dataset</x:v>
      </x:c>
      <x:c r="J471" s="5" t="str">
        <x:v>SOURCE QUOTE; unvalidated / superseded assessments</x:v>
      </x:c>
      <x:c r="L471" s="31" t="str">
        <x:v>D01, Markdown line 710; http://nas-1.tail55d152.ts.net:4100/static/2S_CONSULTING_NORDIC_OUTREACH_STRATEGY.html</x:v>
      </x:c>
    </x:row>
    <x:row r="472" ht="42" customHeight="1">
      <x:c r="A472" s="5" t="str">
        <x:v>D01</x:v>
      </x:c>
      <x:c r="B472" s="5" t="str">
        <x:v>D01-T09</x:v>
      </x:c>
      <x:c r="C472" s="5" t="str">
        <x:v>13. Complete Sovereign Artifact Registry &amp; Inter-Connected FQDN Network</x:v>
      </x:c>
      <x:c r="D472" s="5" t="n">
        <x:v>710</x:v>
      </x:c>
      <x:c r="E472" s="5" t="n">
        <x:v>3</x:v>
      </x:c>
      <x:c r="F472" s="5" t="str">
        <x:v>Format</x:v>
      </x:c>
      <x:c r="G472" s="5" t="n">
        <x:v>1</x:v>
      </x:c>
      <x:c r="H472" s="5" t="n">
        <x:v>1</x:v>
      </x:c>
      <x:c r="I472" s="5" t="str">
        <x:v>XLSX Spreadsheet</x:v>
      </x:c>
      <x:c r="J472" s="5" t="str">
        <x:v>SOURCE QUOTE; unvalidated / superseded assessments</x:v>
      </x:c>
      <x:c r="L472" s="31" t="str">
        <x:v>D01, Markdown line 710; http://nas-1.tail55d152.ts.net:4100/static/2S_CONSULTING_NORDIC_OUTREACH_STRATEGY.html</x:v>
      </x:c>
    </x:row>
    <x:row r="473" ht="42" customHeight="1">
      <x:c r="A473" s="5" t="str">
        <x:v>D01</x:v>
      </x:c>
      <x:c r="B473" s="5" t="str">
        <x:v>D01-T09</x:v>
      </x:c>
      <x:c r="C473" s="5" t="str">
        <x:v>13. Complete Sovereign Artifact Registry &amp; Inter-Connected FQDN Network</x:v>
      </x:c>
      <x:c r="D473" s="5" t="n">
        <x:v>710</x:v>
      </x:c>
      <x:c r="E473" s="5" t="n">
        <x:v>4</x:v>
      </x:c>
      <x:c r="F473" s="5" t="str">
        <x:v>Authoritative Web View (Tailscale FQDN)</x:v>
      </x:c>
      <x:c r="G473" s="5" t="n">
        <x:v>1</x:v>
      </x:c>
      <x:c r="H473" s="5" t="n">
        <x:v>1</x:v>
      </x:c>
      <x:c r="I473" s="5" t="str">
        <x:v>[Download Excel](http://nas-1.tail55d152.ts.net:4100/static/2S_Consulting_Enterprise_Data.xlsx)</x:v>
      </x:c>
      <x:c r="J473" s="5" t="str">
        <x:v>SOURCE QUOTE; unvalidated / superseded assessments</x:v>
      </x:c>
      <x:c r="L473" s="31" t="str">
        <x:v>D01, Markdown line 710; http://nas-1.tail55d152.ts.net:4100/static/2S_CONSULTING_NORDIC_OUTREACH_STRATEGY.html</x:v>
      </x:c>
    </x:row>
    <x:row r="474" ht="42" customHeight="1">
      <x:c r="A474" s="5" t="str">
        <x:v>D01</x:v>
      </x:c>
      <x:c r="B474" s="5" t="str">
        <x:v>D01-T09</x:v>
      </x:c>
      <x:c r="C474" s="5" t="str">
        <x:v>13. Complete Sovereign Artifact Registry &amp; Inter-Connected FQDN Network</x:v>
      </x:c>
      <x:c r="D474" s="5" t="n">
        <x:v>710</x:v>
      </x:c>
      <x:c r="E474" s="5" t="n">
        <x:v>5</x:v>
      </x:c>
      <x:c r="F474" s="5" t="str">
        <x:v>Source Markdown / Script</x:v>
      </x:c>
      <x:c r="G474" s="5" t="n">
        <x:v>1</x:v>
      </x:c>
      <x:c r="H474" s="5" t="n">
        <x:v>1</x:v>
      </x:c>
      <x:c r="I474" s="5" t="str">
        <x:v>[Local Spreadsheet](./2S_Consulting_Enterprise_Data.xlsx)</x:v>
      </x:c>
      <x:c r="J474" s="5" t="str">
        <x:v>SOURCE QUOTE; unvalidated / superseded assessments</x:v>
      </x:c>
      <x:c r="L474" s="31" t="str">
        <x:v>D01, Markdown line 710; http://nas-1.tail55d152.ts.net:4100/static/2S_CONSULTING_NORDIC_OUTREACH_STRATEGY.html</x:v>
      </x:c>
    </x:row>
    <x:row r="475" ht="42" customHeight="1">
      <x:c r="A475" s="5" t="str">
        <x:v>D01</x:v>
      </x:c>
      <x:c r="B475" s="5" t="str">
        <x:v>D01-T09</x:v>
      </x:c>
      <x:c r="C475" s="5" t="str">
        <x:v>13. Complete Sovereign Artifact Registry &amp; Inter-Connected FQDN Network</x:v>
      </x:c>
      <x:c r="D475" s="5" t="n">
        <x:v>710</x:v>
      </x:c>
      <x:c r="E475" s="5" t="n">
        <x:v>6</x:v>
      </x:c>
      <x:c r="F475" s="5" t="str">
        <x:v>Governance Status</x:v>
      </x:c>
      <x:c r="G475" s="5" t="n">
        <x:v>1</x:v>
      </x:c>
      <x:c r="H475" s="5" t="n">
        <x:v>1</x:v>
      </x:c>
      <x:c r="I475" s="5" t="str">
        <x:v>15 TABS VERIFIED</x:v>
      </x:c>
      <x:c r="J475" s="5" t="str">
        <x:v>SOURCE QUOTE; unvalidated / superseded assessments</x:v>
      </x:c>
      <x:c r="L475" s="31" t="str">
        <x:v>D01, Markdown line 710; http://nas-1.tail55d152.ts.net:4100/static/2S_CONSULTING_NORDIC_OUTREACH_STRATEGY.html</x:v>
      </x:c>
    </x:row>
    <x:row r="476" ht="42" customHeight="1">
      <x:c r="A476" s="5" t="str">
        <x:v>D01</x:v>
      </x:c>
      <x:c r="B476" s="5" t="str">
        <x:v>D01-T09</x:v>
      </x:c>
      <x:c r="C476" s="5" t="str">
        <x:v>13. Complete Sovereign Artifact Registry &amp; Inter-Connected FQDN Network</x:v>
      </x:c>
      <x:c r="D476" s="5" t="n">
        <x:v>711</x:v>
      </x:c>
      <x:c r="E476" s="5" t="n">
        <x:v>1</x:v>
      </x:c>
      <x:c r="F476" s="5" t="str">
        <x:v>Artifact ID</x:v>
      </x:c>
      <x:c r="G476" s="5" t="n">
        <x:v>1</x:v>
      </x:c>
      <x:c r="H476" s="5" t="n">
        <x:v>1</x:v>
      </x:c>
      <x:c r="I476" s="5" t="str">
        <x:v>ART-20</x:v>
      </x:c>
      <x:c r="J476" s="5" t="str">
        <x:v>SOURCE QUOTE; unvalidated / superseded assessments</x:v>
      </x:c>
      <x:c r="L476" s="31" t="str">
        <x:v>D01, Markdown line 711; http://nas-1.tail55d152.ts.net:4100/static/2S_CONSULTING_NORDIC_OUTREACH_STRATEGY.html</x:v>
      </x:c>
    </x:row>
    <x:row r="477" ht="42" customHeight="1">
      <x:c r="A477" s="5" t="str">
        <x:v>D01</x:v>
      </x:c>
      <x:c r="B477" s="5" t="str">
        <x:v>D01-T09</x:v>
      </x:c>
      <x:c r="C477" s="5" t="str">
        <x:v>13. Complete Sovereign Artifact Registry &amp; Inter-Connected FQDN Network</x:v>
      </x:c>
      <x:c r="D477" s="5" t="n">
        <x:v>711</x:v>
      </x:c>
      <x:c r="E477" s="5" t="n">
        <x:v>2</x:v>
      </x:c>
      <x:c r="F477" s="5" t="str">
        <x:v>Deliverable Asset Description</x:v>
      </x:c>
      <x:c r="G477" s="5" t="n">
        <x:v>1</x:v>
      </x:c>
      <x:c r="H477" s="5" t="n">
        <x:v>1</x:v>
      </x:c>
      <x:c r="I477" s="5" t="str">
        <x:v>Normalized Unique Companies Database</x:v>
      </x:c>
      <x:c r="J477" s="5" t="str">
        <x:v>SOURCE QUOTE; unvalidated / superseded assessments</x:v>
      </x:c>
      <x:c r="L477" s="31" t="str">
        <x:v>D01, Markdown line 711; http://nas-1.tail55d152.ts.net:4100/static/2S_CONSULTING_NORDIC_OUTREACH_STRATEGY.html</x:v>
      </x:c>
    </x:row>
    <x:row r="478" ht="42" customHeight="1">
      <x:c r="A478" s="5" t="str">
        <x:v>D01</x:v>
      </x:c>
      <x:c r="B478" s="5" t="str">
        <x:v>D01-T09</x:v>
      </x:c>
      <x:c r="C478" s="5" t="str">
        <x:v>13. Complete Sovereign Artifact Registry &amp; Inter-Connected FQDN Network</x:v>
      </x:c>
      <x:c r="D478" s="5" t="n">
        <x:v>711</x:v>
      </x:c>
      <x:c r="E478" s="5" t="n">
        <x:v>3</x:v>
      </x:c>
      <x:c r="F478" s="5" t="str">
        <x:v>Format</x:v>
      </x:c>
      <x:c r="G478" s="5" t="n">
        <x:v>1</x:v>
      </x:c>
      <x:c r="H478" s="5" t="n">
        <x:v>1</x:v>
      </x:c>
      <x:c r="I478" s="5" t="str">
        <x:v>JSON Database</x:v>
      </x:c>
      <x:c r="J478" s="5" t="str">
        <x:v>SOURCE QUOTE; unvalidated / superseded assessments</x:v>
      </x:c>
      <x:c r="L478" s="31" t="str">
        <x:v>D01, Markdown line 711; http://nas-1.tail55d152.ts.net:4100/static/2S_CONSULTING_NORDIC_OUTREACH_STRATEGY.html</x:v>
      </x:c>
    </x:row>
    <x:row r="479" ht="42" customHeight="1">
      <x:c r="A479" s="5" t="str">
        <x:v>D01</x:v>
      </x:c>
      <x:c r="B479" s="5" t="str">
        <x:v>D01-T09</x:v>
      </x:c>
      <x:c r="C479" s="5" t="str">
        <x:v>13. Complete Sovereign Artifact Registry &amp; Inter-Connected FQDN Network</x:v>
      </x:c>
      <x:c r="D479" s="5" t="n">
        <x:v>711</x:v>
      </x:c>
      <x:c r="E479" s="5" t="n">
        <x:v>4</x:v>
      </x:c>
      <x:c r="F479" s="5" t="str">
        <x:v>Authoritative Web View (Tailscale FQDN)</x:v>
      </x:c>
      <x:c r="G479" s="5" t="n">
        <x:v>1</x:v>
      </x:c>
      <x:c r="H479" s="5" t="n">
        <x:v>1</x:v>
      </x:c>
      <x:c r="I479" s="5" t="str">
        <x:v>[View JSON](http://nas-1.tail55d152.ts.net:4100/docs/journal/unique_companies.json)</x:v>
      </x:c>
      <x:c r="J479" s="5" t="str">
        <x:v>SOURCE QUOTE; unvalidated / superseded assessments</x:v>
      </x:c>
      <x:c r="L479" s="31" t="str">
        <x:v>D01, Markdown line 711; http://nas-1.tail55d152.ts.net:4100/static/2S_CONSULTING_NORDIC_OUTREACH_STRATEGY.html</x:v>
      </x:c>
    </x:row>
    <x:row r="480" ht="42" customHeight="1">
      <x:c r="A480" s="5" t="str">
        <x:v>D01</x:v>
      </x:c>
      <x:c r="B480" s="5" t="str">
        <x:v>D01-T09</x:v>
      </x:c>
      <x:c r="C480" s="5" t="str">
        <x:v>13. Complete Sovereign Artifact Registry &amp; Inter-Connected FQDN Network</x:v>
      </x:c>
      <x:c r="D480" s="5" t="n">
        <x:v>711</x:v>
      </x:c>
      <x:c r="E480" s="5" t="n">
        <x:v>5</x:v>
      </x:c>
      <x:c r="F480" s="5" t="str">
        <x:v>Source Markdown / Script</x:v>
      </x:c>
      <x:c r="G480" s="5" t="n">
        <x:v>1</x:v>
      </x:c>
      <x:c r="H480" s="5" t="n">
        <x:v>1</x:v>
      </x:c>
      <x:c r="I480" s="5" t="str">
        <x:v>[Local File](./unique_companies.json)</x:v>
      </x:c>
      <x:c r="J480" s="5" t="str">
        <x:v>SOURCE QUOTE; unvalidated / superseded assessments</x:v>
      </x:c>
      <x:c r="L480" s="31" t="str">
        <x:v>D01, Markdown line 711; http://nas-1.tail55d152.ts.net:4100/static/2S_CONSULTING_NORDIC_OUTREACH_STRATEGY.html</x:v>
      </x:c>
    </x:row>
    <x:row r="481" ht="42" customHeight="1">
      <x:c r="A481" s="5" t="str">
        <x:v>D01</x:v>
      </x:c>
      <x:c r="B481" s="5" t="str">
        <x:v>D01-T09</x:v>
      </x:c>
      <x:c r="C481" s="5" t="str">
        <x:v>13. Complete Sovereign Artifact Registry &amp; Inter-Connected FQDN Network</x:v>
      </x:c>
      <x:c r="D481" s="5" t="n">
        <x:v>711</x:v>
      </x:c>
      <x:c r="E481" s="5" t="n">
        <x:v>6</x:v>
      </x:c>
      <x:c r="F481" s="5" t="str">
        <x:v>Governance Status</x:v>
      </x:c>
      <x:c r="G481" s="5" t="n">
        <x:v>1</x:v>
      </x:c>
      <x:c r="H481" s="5" t="n">
        <x:v>1</x:v>
      </x:c>
      <x:c r="I481" s="5" t="str">
        <x:v>127 CORPORATIONS</x:v>
      </x:c>
      <x:c r="J481" s="5" t="str">
        <x:v>SOURCE QUOTE; unvalidated / superseded assessments</x:v>
      </x:c>
      <x:c r="L481" s="31" t="str">
        <x:v>D01, Markdown line 711; http://nas-1.tail55d152.ts.net:4100/static/2S_CONSULTING_NORDIC_OUTREACH_STRATEGY.html</x:v>
      </x:c>
    </x:row>
    <x:row r="482" ht="42" customHeight="1">
      <x:c r="A482" s="5" t="str">
        <x:v>D01</x:v>
      </x:c>
      <x:c r="B482" s="5" t="str">
        <x:v>D01-T09</x:v>
      </x:c>
      <x:c r="C482" s="5" t="str">
        <x:v>13. Complete Sovereign Artifact Registry &amp; Inter-Connected FQDN Network</x:v>
      </x:c>
      <x:c r="D482" s="5" t="n">
        <x:v>712</x:v>
      </x:c>
      <x:c r="E482" s="5" t="n">
        <x:v>1</x:v>
      </x:c>
      <x:c r="F482" s="5" t="str">
        <x:v>Artifact ID</x:v>
      </x:c>
      <x:c r="G482" s="5" t="n">
        <x:v>1</x:v>
      </x:c>
      <x:c r="H482" s="5" t="n">
        <x:v>1</x:v>
      </x:c>
      <x:c r="I482" s="5" t="str">
        <x:v>ART-21</x:v>
      </x:c>
      <x:c r="J482" s="5" t="str">
        <x:v>SOURCE QUOTE; unvalidated / superseded assessments</x:v>
      </x:c>
      <x:c r="L482" s="31" t="str">
        <x:v>D01, Markdown line 712; http://nas-1.tail55d152.ts.net:4100/static/2S_CONSULTING_NORDIC_OUTREACH_STRATEGY.html</x:v>
      </x:c>
    </x:row>
    <x:row r="483" ht="42" customHeight="1">
      <x:c r="A483" s="5" t="str">
        <x:v>D01</x:v>
      </x:c>
      <x:c r="B483" s="5" t="str">
        <x:v>D01-T09</x:v>
      </x:c>
      <x:c r="C483" s="5" t="str">
        <x:v>13. Complete Sovereign Artifact Registry &amp; Inter-Connected FQDN Network</x:v>
      </x:c>
      <x:c r="D483" s="5" t="n">
        <x:v>712</x:v>
      </x:c>
      <x:c r="E483" s="5" t="n">
        <x:v>2</x:v>
      </x:c>
      <x:c r="F483" s="5" t="str">
        <x:v>Deliverable Asset Description</x:v>
      </x:c>
      <x:c r="G483" s="5" t="n">
        <x:v>1</x:v>
      </x:c>
      <x:c r="H483" s="5" t="n">
        <x:v>1</x:v>
      </x:c>
      <x:c r="I483" s="5" t="str">
        <x:v>Nordic Financials JSON Database</x:v>
      </x:c>
      <x:c r="J483" s="5" t="str">
        <x:v>SOURCE QUOTE; unvalidated / superseded assessments</x:v>
      </x:c>
      <x:c r="L483" s="31" t="str">
        <x:v>D01, Markdown line 712; http://nas-1.tail55d152.ts.net:4100/static/2S_CONSULTING_NORDIC_OUTREACH_STRATEGY.html</x:v>
      </x:c>
    </x:row>
    <x:row r="484" ht="42" customHeight="1">
      <x:c r="A484" s="5" t="str">
        <x:v>D01</x:v>
      </x:c>
      <x:c r="B484" s="5" t="str">
        <x:v>D01-T09</x:v>
      </x:c>
      <x:c r="C484" s="5" t="str">
        <x:v>13. Complete Sovereign Artifact Registry &amp; Inter-Connected FQDN Network</x:v>
      </x:c>
      <x:c r="D484" s="5" t="n">
        <x:v>712</x:v>
      </x:c>
      <x:c r="E484" s="5" t="n">
        <x:v>3</x:v>
      </x:c>
      <x:c r="F484" s="5" t="str">
        <x:v>Format</x:v>
      </x:c>
      <x:c r="G484" s="5" t="n">
        <x:v>1</x:v>
      </x:c>
      <x:c r="H484" s="5" t="n">
        <x:v>1</x:v>
      </x:c>
      <x:c r="I484" s="5" t="str">
        <x:v>JSON Database</x:v>
      </x:c>
      <x:c r="J484" s="5" t="str">
        <x:v>SOURCE QUOTE; unvalidated / superseded assessments</x:v>
      </x:c>
      <x:c r="L484" s="31" t="str">
        <x:v>D01, Markdown line 712; http://nas-1.tail55d152.ts.net:4100/static/2S_CONSULTING_NORDIC_OUTREACH_STRATEGY.html</x:v>
      </x:c>
    </x:row>
    <x:row r="485" ht="42" customHeight="1">
      <x:c r="A485" s="5" t="str">
        <x:v>D01</x:v>
      </x:c>
      <x:c r="B485" s="5" t="str">
        <x:v>D01-T09</x:v>
      </x:c>
      <x:c r="C485" s="5" t="str">
        <x:v>13. Complete Sovereign Artifact Registry &amp; Inter-Connected FQDN Network</x:v>
      </x:c>
      <x:c r="D485" s="5" t="n">
        <x:v>712</x:v>
      </x:c>
      <x:c r="E485" s="5" t="n">
        <x:v>4</x:v>
      </x:c>
      <x:c r="F485" s="5" t="str">
        <x:v>Authoritative Web View (Tailscale FQDN)</x:v>
      </x:c>
      <x:c r="G485" s="5" t="n">
        <x:v>1</x:v>
      </x:c>
      <x:c r="H485" s="5" t="n">
        <x:v>1</x:v>
      </x:c>
      <x:c r="I485" s="5" t="str">
        <x:v>[View JSON](http://nas-1.tail55d152.ts.net:4100/docs/journal/master_financials.json)</x:v>
      </x:c>
      <x:c r="J485" s="5" t="str">
        <x:v>SOURCE QUOTE; unvalidated / superseded assessments</x:v>
      </x:c>
      <x:c r="L485" s="31" t="str">
        <x:v>D01, Markdown line 712; http://nas-1.tail55d152.ts.net:4100/static/2S_CONSULTING_NORDIC_OUTREACH_STRATEGY.html</x:v>
      </x:c>
    </x:row>
    <x:row r="486" ht="42" customHeight="1">
      <x:c r="A486" s="5" t="str">
        <x:v>D01</x:v>
      </x:c>
      <x:c r="B486" s="5" t="str">
        <x:v>D01-T09</x:v>
      </x:c>
      <x:c r="C486" s="5" t="str">
        <x:v>13. Complete Sovereign Artifact Registry &amp; Inter-Connected FQDN Network</x:v>
      </x:c>
      <x:c r="D486" s="5" t="n">
        <x:v>712</x:v>
      </x:c>
      <x:c r="E486" s="5" t="n">
        <x:v>5</x:v>
      </x:c>
      <x:c r="F486" s="5" t="str">
        <x:v>Source Markdown / Script</x:v>
      </x:c>
      <x:c r="G486" s="5" t="n">
        <x:v>1</x:v>
      </x:c>
      <x:c r="H486" s="5" t="n">
        <x:v>1</x:v>
      </x:c>
      <x:c r="I486" s="5" t="str">
        <x:v>[Local File](./master_financials.json)</x:v>
      </x:c>
      <x:c r="J486" s="5" t="str">
        <x:v>SOURCE QUOTE; unvalidated / superseded assessments</x:v>
      </x:c>
      <x:c r="L486" s="31" t="str">
        <x:v>D01, Markdown line 712; http://nas-1.tail55d152.ts.net:4100/static/2S_CONSULTING_NORDIC_OUTREACH_STRATEGY.html</x:v>
      </x:c>
    </x:row>
    <x:row r="487" ht="42" customHeight="1">
      <x:c r="A487" s="5" t="str">
        <x:v>D01</x:v>
      </x:c>
      <x:c r="B487" s="5" t="str">
        <x:v>D01-T09</x:v>
      </x:c>
      <x:c r="C487" s="5" t="str">
        <x:v>13. Complete Sovereign Artifact Registry &amp; Inter-Connected FQDN Network</x:v>
      </x:c>
      <x:c r="D487" s="5" t="n">
        <x:v>712</x:v>
      </x:c>
      <x:c r="E487" s="5" t="n">
        <x:v>6</x:v>
      </x:c>
      <x:c r="F487" s="5" t="str">
        <x:v>Governance Status</x:v>
      </x:c>
      <x:c r="G487" s="5" t="n">
        <x:v>1</x:v>
      </x:c>
      <x:c r="H487" s="5" t="n">
        <x:v>1</x:v>
      </x:c>
      <x:c r="I487" s="5" t="str">
        <x:v>PARSED &amp; INDEXED</x:v>
      </x:c>
      <x:c r="J487" s="5" t="str">
        <x:v>SOURCE QUOTE; unvalidated / superseded assessments</x:v>
      </x:c>
      <x:c r="L487" s="31" t="str">
        <x:v>D01, Markdown line 712; http://nas-1.tail55d152.ts.net:4100/static/2S_CONSULTING_NORDIC_OUTREACH_STRATEGY.html</x:v>
      </x:c>
    </x:row>
    <x:row r="488" ht="42" customHeight="1">
      <x:c r="A488" s="5" t="str">
        <x:v>D01</x:v>
      </x:c>
      <x:c r="B488" s="5" t="str">
        <x:v>D01-T09</x:v>
      </x:c>
      <x:c r="C488" s="5" t="str">
        <x:v>13. Complete Sovereign Artifact Registry &amp; Inter-Connected FQDN Network</x:v>
      </x:c>
      <x:c r="D488" s="5" t="n">
        <x:v>713</x:v>
      </x:c>
      <x:c r="E488" s="5" t="n">
        <x:v>1</x:v>
      </x:c>
      <x:c r="F488" s="5" t="str">
        <x:v>Artifact ID</x:v>
      </x:c>
      <x:c r="G488" s="5" t="n">
        <x:v>1</x:v>
      </x:c>
      <x:c r="H488" s="5" t="n">
        <x:v>1</x:v>
      </x:c>
      <x:c r="I488" s="5" t="str">
        <x:v>ART-22</x:v>
      </x:c>
      <x:c r="J488" s="5" t="str">
        <x:v>SOURCE QUOTE; unvalidated / superseded assessments</x:v>
      </x:c>
      <x:c r="L488" s="31" t="str">
        <x:v>D01, Markdown line 713; http://nas-1.tail55d152.ts.net:4100/static/2S_CONSULTING_NORDIC_OUTREACH_STRATEGY.html</x:v>
      </x:c>
    </x:row>
    <x:row r="489" ht="42" customHeight="1">
      <x:c r="A489" s="5" t="str">
        <x:v>D01</x:v>
      </x:c>
      <x:c r="B489" s="5" t="str">
        <x:v>D01-T09</x:v>
      </x:c>
      <x:c r="C489" s="5" t="str">
        <x:v>13. Complete Sovereign Artifact Registry &amp; Inter-Connected FQDN Network</x:v>
      </x:c>
      <x:c r="D489" s="5" t="n">
        <x:v>713</x:v>
      </x:c>
      <x:c r="E489" s="5" t="n">
        <x:v>2</x:v>
      </x:c>
      <x:c r="F489" s="5" t="str">
        <x:v>Deliverable Asset Description</x:v>
      </x:c>
      <x:c r="G489" s="5" t="n">
        <x:v>1</x:v>
      </x:c>
      <x:c r="H489" s="5" t="n">
        <x:v>1</x:v>
      </x:c>
      <x:c r="I489" s="5" t="str">
        <x:v>Asset Handoff Links Manifest</x:v>
      </x:c>
      <x:c r="J489" s="5" t="str">
        <x:v>SOURCE QUOTE; unvalidated / superseded assessments</x:v>
      </x:c>
      <x:c r="L489" s="31" t="str">
        <x:v>D01, Markdown line 713; http://nas-1.tail55d152.ts.net:4100/static/2S_CONSULTING_NORDIC_OUTREACH_STRATEGY.html</x:v>
      </x:c>
    </x:row>
    <x:row r="490" ht="42" customHeight="1">
      <x:c r="A490" s="5" t="str">
        <x:v>D01</x:v>
      </x:c>
      <x:c r="B490" s="5" t="str">
        <x:v>D01-T09</x:v>
      </x:c>
      <x:c r="C490" s="5" t="str">
        <x:v>13. Complete Sovereign Artifact Registry &amp; Inter-Connected FQDN Network</x:v>
      </x:c>
      <x:c r="D490" s="5" t="n">
        <x:v>713</x:v>
      </x:c>
      <x:c r="E490" s="5" t="n">
        <x:v>3</x:v>
      </x:c>
      <x:c r="F490" s="5" t="str">
        <x:v>Format</x:v>
      </x:c>
      <x:c r="G490" s="5" t="n">
        <x:v>1</x:v>
      </x:c>
      <x:c r="H490" s="5" t="n">
        <x:v>1</x:v>
      </x:c>
      <x:c r="I490" s="5" t="str">
        <x:v>JSON Registry</x:v>
      </x:c>
      <x:c r="J490" s="5" t="str">
        <x:v>SOURCE QUOTE; unvalidated / superseded assessments</x:v>
      </x:c>
      <x:c r="L490" s="31" t="str">
        <x:v>D01, Markdown line 713; http://nas-1.tail55d152.ts.net:4100/static/2S_CONSULTING_NORDIC_OUTREACH_STRATEGY.html</x:v>
      </x:c>
    </x:row>
    <x:row r="491" ht="42" customHeight="1">
      <x:c r="A491" s="5" t="str">
        <x:v>D01</x:v>
      </x:c>
      <x:c r="B491" s="5" t="str">
        <x:v>D01-T09</x:v>
      </x:c>
      <x:c r="C491" s="5" t="str">
        <x:v>13. Complete Sovereign Artifact Registry &amp; Inter-Connected FQDN Network</x:v>
      </x:c>
      <x:c r="D491" s="5" t="n">
        <x:v>713</x:v>
      </x:c>
      <x:c r="E491" s="5" t="n">
        <x:v>4</x:v>
      </x:c>
      <x:c r="F491" s="5" t="str">
        <x:v>Authoritative Web View (Tailscale FQDN)</x:v>
      </x:c>
      <x:c r="G491" s="5" t="n">
        <x:v>1</x:v>
      </x:c>
      <x:c r="H491" s="5" t="n">
        <x:v>1</x:v>
      </x:c>
      <x:c r="I491" s="5" t="str">
        <x:v>[View JSON](http://nas-1.tail55d152.ts.net:4100/docs/journal/20260927-1133-2s-consulting-nordic-medtech-service-positioning-links.json)</x:v>
      </x:c>
      <x:c r="J491" s="5" t="str">
        <x:v>SOURCE QUOTE; unvalidated / superseded assessments</x:v>
      </x:c>
      <x:c r="L491" s="31" t="str">
        <x:v>D01, Markdown line 713; http://nas-1.tail55d152.ts.net:4100/static/2S_CONSULTING_NORDIC_OUTREACH_STRATEGY.html</x:v>
      </x:c>
    </x:row>
    <x:row r="492" ht="42" customHeight="1">
      <x:c r="A492" s="5" t="str">
        <x:v>D01</x:v>
      </x:c>
      <x:c r="B492" s="5" t="str">
        <x:v>D01-T09</x:v>
      </x:c>
      <x:c r="C492" s="5" t="str">
        <x:v>13. Complete Sovereign Artifact Registry &amp; Inter-Connected FQDN Network</x:v>
      </x:c>
      <x:c r="D492" s="5" t="n">
        <x:v>713</x:v>
      </x:c>
      <x:c r="E492" s="5" t="n">
        <x:v>5</x:v>
      </x:c>
      <x:c r="F492" s="5" t="str">
        <x:v>Source Markdown / Script</x:v>
      </x:c>
      <x:c r="G492" s="5" t="n">
        <x:v>1</x:v>
      </x:c>
      <x:c r="H492" s="5" t="n">
        <x:v>1</x:v>
      </x:c>
      <x:c r="I492" s="5" t="str">
        <x:v>[Local File](./20260927-1133-2s-consulting-nordic-medtech-service-positioning-links.json)</x:v>
      </x:c>
      <x:c r="J492" s="5" t="str">
        <x:v>SOURCE QUOTE; unvalidated / superseded assessments</x:v>
      </x:c>
      <x:c r="L492" s="31" t="str">
        <x:v>D01, Markdown line 713; http://nas-1.tail55d152.ts.net:4100/static/2S_CONSULTING_NORDIC_OUTREACH_STRATEGY.html</x:v>
      </x:c>
    </x:row>
    <x:row r="493" ht="42" customHeight="1">
      <x:c r="A493" s="5" t="str">
        <x:v>D01</x:v>
      </x:c>
      <x:c r="B493" s="5" t="str">
        <x:v>D01-T09</x:v>
      </x:c>
      <x:c r="C493" s="5" t="str">
        <x:v>13. Complete Sovereign Artifact Registry &amp; Inter-Connected FQDN Network</x:v>
      </x:c>
      <x:c r="D493" s="5" t="n">
        <x:v>713</x:v>
      </x:c>
      <x:c r="E493" s="5" t="n">
        <x:v>6</x:v>
      </x:c>
      <x:c r="F493" s="5" t="str">
        <x:v>Governance Status</x:v>
      </x:c>
      <x:c r="G493" s="5" t="n">
        <x:v>1</x:v>
      </x:c>
      <x:c r="H493" s="5" t="n">
        <x:v>1</x:v>
      </x:c>
      <x:c r="I493" s="5" t="str">
        <x:v>ALL LINKS MAPPED</x:v>
      </x:c>
      <x:c r="J493" s="5" t="str">
        <x:v>SOURCE QUOTE; unvalidated / superseded assessments</x:v>
      </x:c>
      <x:c r="L493" s="31" t="str">
        <x:v>D01, Markdown line 713; http://nas-1.tail55d152.ts.net:4100/static/2S_CONSULTING_NORDIC_OUTREACH_STRATEGY.html</x:v>
      </x:c>
    </x:row>
    <x:row r="494" ht="42" customHeight="1">
      <x:c r="A494" s="5" t="str">
        <x:v>D01</x:v>
      </x:c>
      <x:c r="B494" s="5" t="str">
        <x:v>D01-T09</x:v>
      </x:c>
      <x:c r="C494" s="5" t="str">
        <x:v>13. Complete Sovereign Artifact Registry &amp; Inter-Connected FQDN Network</x:v>
      </x:c>
      <x:c r="D494" s="5" t="n">
        <x:v>714</x:v>
      </x:c>
      <x:c r="E494" s="5" t="n">
        <x:v>1</x:v>
      </x:c>
      <x:c r="F494" s="5" t="str">
        <x:v>Artifact ID</x:v>
      </x:c>
      <x:c r="G494" s="5" t="n">
        <x:v>1</x:v>
      </x:c>
      <x:c r="H494" s="5" t="n">
        <x:v>1</x:v>
      </x:c>
      <x:c r="I494" s="5" t="str">
        <x:v>ART-23</x:v>
      </x:c>
      <x:c r="J494" s="5" t="str">
        <x:v>SOURCE QUOTE; unvalidated / superseded assessments</x:v>
      </x:c>
      <x:c r="L494" s="31" t="str">
        <x:v>D01, Markdown line 714; http://nas-1.tail55d152.ts.net:4100/static/2S_CONSULTING_NORDIC_OUTREACH_STRATEGY.html</x:v>
      </x:c>
    </x:row>
    <x:row r="495" ht="42" customHeight="1">
      <x:c r="A495" s="5" t="str">
        <x:v>D01</x:v>
      </x:c>
      <x:c r="B495" s="5" t="str">
        <x:v>D01-T09</x:v>
      </x:c>
      <x:c r="C495" s="5" t="str">
        <x:v>13. Complete Sovereign Artifact Registry &amp; Inter-Connected FQDN Network</x:v>
      </x:c>
      <x:c r="D495" s="5" t="n">
        <x:v>714</x:v>
      </x:c>
      <x:c r="E495" s="5" t="n">
        <x:v>2</x:v>
      </x:c>
      <x:c r="F495" s="5" t="str">
        <x:v>Deliverable Asset Description</x:v>
      </x:c>
      <x:c r="G495" s="5" t="n">
        <x:v>1</x:v>
      </x:c>
      <x:c r="H495" s="5" t="n">
        <x:v>1</x:v>
      </x:c>
      <x:c r="I495" s="5" t="str">
        <x:v>OCaml Epistemic &amp; Admiralty Engine</x:v>
      </x:c>
      <x:c r="J495" s="5" t="str">
        <x:v>SOURCE QUOTE; unvalidated / superseded assessments</x:v>
      </x:c>
      <x:c r="L495" s="31" t="str">
        <x:v>D01, Markdown line 714; http://nas-1.tail55d152.ts.net:4100/static/2S_CONSULTING_NORDIC_OUTREACH_STRATEGY.html</x:v>
      </x:c>
    </x:row>
    <x:row r="496" ht="42" customHeight="1">
      <x:c r="A496" s="5" t="str">
        <x:v>D01</x:v>
      </x:c>
      <x:c r="B496" s="5" t="str">
        <x:v>D01-T09</x:v>
      </x:c>
      <x:c r="C496" s="5" t="str">
        <x:v>13. Complete Sovereign Artifact Registry &amp; Inter-Connected FQDN Network</x:v>
      </x:c>
      <x:c r="D496" s="5" t="n">
        <x:v>714</x:v>
      </x:c>
      <x:c r="E496" s="5" t="n">
        <x:v>3</x:v>
      </x:c>
      <x:c r="F496" s="5" t="str">
        <x:v>Format</x:v>
      </x:c>
      <x:c r="G496" s="5" t="n">
        <x:v>1</x:v>
      </x:c>
      <x:c r="H496" s="5" t="n">
        <x:v>1</x:v>
      </x:c>
      <x:c r="I496" s="5" t="str">
        <x:v>OCaml Engine</x:v>
      </x:c>
      <x:c r="J496" s="5" t="str">
        <x:v>SOURCE QUOTE; unvalidated / superseded assessments</x:v>
      </x:c>
      <x:c r="L496" s="31" t="str">
        <x:v>D01, Markdown line 714; http://nas-1.tail55d152.ts.net:4100/static/2S_CONSULTING_NORDIC_OUTREACH_STRATEGY.html</x:v>
      </x:c>
    </x:row>
    <x:row r="497" ht="42" customHeight="1">
      <x:c r="A497" s="5" t="str">
        <x:v>D01</x:v>
      </x:c>
      <x:c r="B497" s="5" t="str">
        <x:v>D01-T09</x:v>
      </x:c>
      <x:c r="C497" s="5" t="str">
        <x:v>13. Complete Sovereign Artifact Registry &amp; Inter-Connected FQDN Network</x:v>
      </x:c>
      <x:c r="D497" s="5" t="n">
        <x:v>714</x:v>
      </x:c>
      <x:c r="E497" s="5" t="n">
        <x:v>4</x:v>
      </x:c>
      <x:c r="F497" s="5" t="str">
        <x:v>Authoritative Web View (Tailscale FQDN)</x:v>
      </x:c>
      <x:c r="G497" s="5" t="n">
        <x:v>1</x:v>
      </x:c>
      <x:c r="H497" s="5" t="n">
        <x:v>1</x:v>
      </x:c>
      <x:c r="I497" s="5" t="str">
        <x:v>[View OCaml Source](http://nas-1.tail55d152.ts.net:4100/static/ach_admiralty_engine.ml)</x:v>
      </x:c>
      <x:c r="J497" s="5" t="str">
        <x:v>SOURCE QUOTE; unvalidated / superseded assessments</x:v>
      </x:c>
      <x:c r="L497" s="31" t="str">
        <x:v>D01, Markdown line 714; http://nas-1.tail55d152.ts.net:4100/static/2S_CONSULTING_NORDIC_OUTREACH_STRATEGY.html</x:v>
      </x:c>
    </x:row>
    <x:row r="498" ht="42" customHeight="1">
      <x:c r="A498" s="5" t="str">
        <x:v>D01</x:v>
      </x:c>
      <x:c r="B498" s="5" t="str">
        <x:v>D01-T09</x:v>
      </x:c>
      <x:c r="C498" s="5" t="str">
        <x:v>13. Complete Sovereign Artifact Registry &amp; Inter-Connected FQDN Network</x:v>
      </x:c>
      <x:c r="D498" s="5" t="n">
        <x:v>714</x:v>
      </x:c>
      <x:c r="E498" s="5" t="n">
        <x:v>5</x:v>
      </x:c>
      <x:c r="F498" s="5" t="str">
        <x:v>Source Markdown / Script</x:v>
      </x:c>
      <x:c r="G498" s="5" t="n">
        <x:v>1</x:v>
      </x:c>
      <x:c r="H498" s="5" t="n">
        <x:v>1</x:v>
      </x:c>
      <x:c r="I498" s="5" t="str">
        <x:v>[Local Script](./ach_admiralty_engine.ml)</x:v>
      </x:c>
      <x:c r="J498" s="5" t="str">
        <x:v>SOURCE QUOTE; unvalidated / superseded assessments</x:v>
      </x:c>
      <x:c r="L498" s="31" t="str">
        <x:v>D01, Markdown line 714; http://nas-1.tail55d152.ts.net:4100/static/2S_CONSULTING_NORDIC_OUTREACH_STRATEGY.html</x:v>
      </x:c>
    </x:row>
    <x:row r="499" ht="42" customHeight="1">
      <x:c r="A499" s="5" t="str">
        <x:v>D01</x:v>
      </x:c>
      <x:c r="B499" s="5" t="str">
        <x:v>D01-T09</x:v>
      </x:c>
      <x:c r="C499" s="5" t="str">
        <x:v>13. Complete Sovereign Artifact Registry &amp; Inter-Connected FQDN Network</x:v>
      </x:c>
      <x:c r="D499" s="5" t="n">
        <x:v>714</x:v>
      </x:c>
      <x:c r="E499" s="5" t="n">
        <x:v>6</x:v>
      </x:c>
      <x:c r="F499" s="5" t="str">
        <x:v>Governance Status</x:v>
      </x:c>
      <x:c r="G499" s="5" t="n">
        <x:v>1</x:v>
      </x:c>
      <x:c r="H499" s="5" t="n">
        <x:v>1</x:v>
      </x:c>
      <x:c r="I499" s="5" t="str">
        <x:v>COMPILED &amp; VERIFIED</x:v>
      </x:c>
      <x:c r="J499" s="5" t="str">
        <x:v>SOURCE QUOTE; unvalidated / superseded assessments</x:v>
      </x:c>
      <x:c r="L499" s="31" t="str">
        <x:v>D01, Markdown line 714; http://nas-1.tail55d152.ts.net:4100/static/2S_CONSULTING_NORDIC_OUTREACH_STRATEGY.html</x:v>
      </x:c>
    </x:row>
    <x:row r="500" ht="42" customHeight="1">
      <x:c r="A500" s="5" t="str">
        <x:v>D01</x:v>
      </x:c>
      <x:c r="B500" s="5" t="str">
        <x:v>D01-T09</x:v>
      </x:c>
      <x:c r="C500" s="5" t="str">
        <x:v>13. Complete Sovereign Artifact Registry &amp; Inter-Connected FQDN Network</x:v>
      </x:c>
      <x:c r="D500" s="5" t="n">
        <x:v>715</x:v>
      </x:c>
      <x:c r="E500" s="5" t="n">
        <x:v>1</x:v>
      </x:c>
      <x:c r="F500" s="5" t="str">
        <x:v>Artifact ID</x:v>
      </x:c>
      <x:c r="G500" s="5" t="n">
        <x:v>1</x:v>
      </x:c>
      <x:c r="H500" s="5" t="n">
        <x:v>1</x:v>
      </x:c>
      <x:c r="I500" s="5" t="str">
        <x:v>ART-24</x:v>
      </x:c>
      <x:c r="J500" s="5" t="str">
        <x:v>SOURCE QUOTE; unvalidated / superseded assessments</x:v>
      </x:c>
      <x:c r="L500" s="31" t="str">
        <x:v>D01, Markdown line 715; http://nas-1.tail55d152.ts.net:4100/static/2S_CONSULTING_NORDIC_OUTREACH_STRATEGY.html</x:v>
      </x:c>
    </x:row>
    <x:row r="501" ht="42" customHeight="1">
      <x:c r="A501" s="5" t="str">
        <x:v>D01</x:v>
      </x:c>
      <x:c r="B501" s="5" t="str">
        <x:v>D01-T09</x:v>
      </x:c>
      <x:c r="C501" s="5" t="str">
        <x:v>13. Complete Sovereign Artifact Registry &amp; Inter-Connected FQDN Network</x:v>
      </x:c>
      <x:c r="D501" s="5" t="n">
        <x:v>715</x:v>
      </x:c>
      <x:c r="E501" s="5" t="n">
        <x:v>2</x:v>
      </x:c>
      <x:c r="F501" s="5" t="str">
        <x:v>Deliverable Asset Description</x:v>
      </x:c>
      <x:c r="G501" s="5" t="n">
        <x:v>1</x:v>
      </x:c>
      <x:c r="H501" s="5" t="n">
        <x:v>1</x:v>
      </x:c>
      <x:c r="I501" s="5" t="str">
        <x:v>Authoritative OCaml HTML Wiki Generator</x:v>
      </x:c>
      <x:c r="J501" s="5" t="str">
        <x:v>SOURCE QUOTE; unvalidated / superseded assessments</x:v>
      </x:c>
      <x:c r="L501" s="31" t="str">
        <x:v>D01, Markdown line 715; http://nas-1.tail55d152.ts.net:4100/static/2S_CONSULTING_NORDIC_OUTREACH_STRATEGY.html</x:v>
      </x:c>
    </x:row>
    <x:row r="502" ht="42" customHeight="1">
      <x:c r="A502" s="5" t="str">
        <x:v>D01</x:v>
      </x:c>
      <x:c r="B502" s="5" t="str">
        <x:v>D01-T09</x:v>
      </x:c>
      <x:c r="C502" s="5" t="str">
        <x:v>13. Complete Sovereign Artifact Registry &amp; Inter-Connected FQDN Network</x:v>
      </x:c>
      <x:c r="D502" s="5" t="n">
        <x:v>715</x:v>
      </x:c>
      <x:c r="E502" s="5" t="n">
        <x:v>3</x:v>
      </x:c>
      <x:c r="F502" s="5" t="str">
        <x:v>Format</x:v>
      </x:c>
      <x:c r="G502" s="5" t="n">
        <x:v>1</x:v>
      </x:c>
      <x:c r="H502" s="5" t="n">
        <x:v>1</x:v>
      </x:c>
      <x:c r="I502" s="5" t="str">
        <x:v>OCaml Generator</x:v>
      </x:c>
      <x:c r="J502" s="5" t="str">
        <x:v>SOURCE QUOTE; unvalidated / superseded assessments</x:v>
      </x:c>
      <x:c r="L502" s="31" t="str">
        <x:v>D01, Markdown line 715; http://nas-1.tail55d152.ts.net:4100/static/2S_CONSULTING_NORDIC_OUTREACH_STRATEGY.html</x:v>
      </x:c>
    </x:row>
    <x:row r="503" ht="42" customHeight="1">
      <x:c r="A503" s="5" t="str">
        <x:v>D01</x:v>
      </x:c>
      <x:c r="B503" s="5" t="str">
        <x:v>D01-T09</x:v>
      </x:c>
      <x:c r="C503" s="5" t="str">
        <x:v>13. Complete Sovereign Artifact Registry &amp; Inter-Connected FQDN Network</x:v>
      </x:c>
      <x:c r="D503" s="5" t="n">
        <x:v>715</x:v>
      </x:c>
      <x:c r="E503" s="5" t="n">
        <x:v>4</x:v>
      </x:c>
      <x:c r="F503" s="5" t="str">
        <x:v>Authoritative Web View (Tailscale FQDN)</x:v>
      </x:c>
      <x:c r="G503" s="5" t="n">
        <x:v>1</x:v>
      </x:c>
      <x:c r="H503" s="5" t="n">
        <x:v>1</x:v>
      </x:c>
      <x:c r="I503" s="5" t="str">
        <x:v>[View OCaml Source](http://nas-1.tail55d152.ts.net:4100/static/render_docs_wiki.ml)</x:v>
      </x:c>
      <x:c r="J503" s="5" t="str">
        <x:v>SOURCE QUOTE; unvalidated / superseded assessments</x:v>
      </x:c>
      <x:c r="L503" s="31" t="str">
        <x:v>D01, Markdown line 715; http://nas-1.tail55d152.ts.net:4100/static/2S_CONSULTING_NORDIC_OUTREACH_STRATEGY.html</x:v>
      </x:c>
    </x:row>
    <x:row r="504" ht="42" customHeight="1">
      <x:c r="A504" s="5" t="str">
        <x:v>D01</x:v>
      </x:c>
      <x:c r="B504" s="5" t="str">
        <x:v>D01-T09</x:v>
      </x:c>
      <x:c r="C504" s="5" t="str">
        <x:v>13. Complete Sovereign Artifact Registry &amp; Inter-Connected FQDN Network</x:v>
      </x:c>
      <x:c r="D504" s="5" t="n">
        <x:v>715</x:v>
      </x:c>
      <x:c r="E504" s="5" t="n">
        <x:v>5</x:v>
      </x:c>
      <x:c r="F504" s="5" t="str">
        <x:v>Source Markdown / Script</x:v>
      </x:c>
      <x:c r="G504" s="5" t="n">
        <x:v>1</x:v>
      </x:c>
      <x:c r="H504" s="5" t="n">
        <x:v>1</x:v>
      </x:c>
      <x:c r="I504" s="5" t="str">
        <x:v>[Local Script](./render_docs_wiki.ml)</x:v>
      </x:c>
      <x:c r="J504" s="5" t="str">
        <x:v>SOURCE QUOTE; unvalidated / superseded assessments</x:v>
      </x:c>
      <x:c r="L504" s="31" t="str">
        <x:v>D01, Markdown line 715; http://nas-1.tail55d152.ts.net:4100/static/2S_CONSULTING_NORDIC_OUTREACH_STRATEGY.html</x:v>
      </x:c>
    </x:row>
    <x:row r="505" ht="42" customHeight="1">
      <x:c r="A505" s="5" t="str">
        <x:v>D01</x:v>
      </x:c>
      <x:c r="B505" s="5" t="str">
        <x:v>D01-T09</x:v>
      </x:c>
      <x:c r="C505" s="5" t="str">
        <x:v>13. Complete Sovereign Artifact Registry &amp; Inter-Connected FQDN Network</x:v>
      </x:c>
      <x:c r="D505" s="5" t="n">
        <x:v>715</x:v>
      </x:c>
      <x:c r="E505" s="5" t="n">
        <x:v>6</x:v>
      </x:c>
      <x:c r="F505" s="5" t="str">
        <x:v>Governance Status</x:v>
      </x:c>
      <x:c r="G505" s="5" t="n">
        <x:v>1</x:v>
      </x:c>
      <x:c r="H505" s="5" t="n">
        <x:v>1</x:v>
      </x:c>
      <x:c r="I505" s="5" t="str">
        <x:v>ACTIVE COMPILER</x:v>
      </x:c>
      <x:c r="J505" s="5" t="str">
        <x:v>SOURCE QUOTE; unvalidated / superseded assessments</x:v>
      </x:c>
      <x:c r="L505" s="31" t="str">
        <x:v>D01, Markdown line 715; http://nas-1.tail55d152.ts.net:4100/static/2S_CONSULTING_NORDIC_OUTREACH_STRATEGY.html</x:v>
      </x:c>
    </x:row>
    <x:row r="506" ht="42" customHeight="1">
      <x:c r="A506" s="5" t="str">
        <x:v>D01</x:v>
      </x:c>
      <x:c r="B506" s="5" t="str">
        <x:v>D01-T09</x:v>
      </x:c>
      <x:c r="C506" s="5" t="str">
        <x:v>13. Complete Sovereign Artifact Registry &amp; Inter-Connected FQDN Network</x:v>
      </x:c>
      <x:c r="D506" s="5" t="n">
        <x:v>716</x:v>
      </x:c>
      <x:c r="E506" s="5" t="n">
        <x:v>1</x:v>
      </x:c>
      <x:c r="F506" s="5" t="str">
        <x:v>Artifact ID</x:v>
      </x:c>
      <x:c r="G506" s="5" t="n">
        <x:v>1</x:v>
      </x:c>
      <x:c r="H506" s="5" t="n">
        <x:v>1</x:v>
      </x:c>
      <x:c r="I506" s="5" t="str">
        <x:v>ART-25</x:v>
      </x:c>
      <x:c r="J506" s="5" t="str">
        <x:v>SOURCE QUOTE; unvalidated / superseded assessments</x:v>
      </x:c>
      <x:c r="L506" s="31" t="str">
        <x:v>D01, Markdown line 716; http://nas-1.tail55d152.ts.net:4100/static/2S_CONSULTING_NORDIC_OUTREACH_STRATEGY.html</x:v>
      </x:c>
    </x:row>
    <x:row r="507" ht="42" customHeight="1">
      <x:c r="A507" s="5" t="str">
        <x:v>D01</x:v>
      </x:c>
      <x:c r="B507" s="5" t="str">
        <x:v>D01-T09</x:v>
      </x:c>
      <x:c r="C507" s="5" t="str">
        <x:v>13. Complete Sovereign Artifact Registry &amp; Inter-Connected FQDN Network</x:v>
      </x:c>
      <x:c r="D507" s="5" t="n">
        <x:v>716</x:v>
      </x:c>
      <x:c r="E507" s="5" t="n">
        <x:v>2</x:v>
      </x:c>
      <x:c r="F507" s="5" t="str">
        <x:v>Deliverable Asset Description</x:v>
      </x:c>
      <x:c r="G507" s="5" t="n">
        <x:v>1</x:v>
      </x:c>
      <x:c r="H507" s="5" t="n">
        <x:v>1</x:v>
      </x:c>
      <x:c r="I507" s="5" t="str">
        <x:v>Mojo Systems Performance &amp; Audit Suite</x:v>
      </x:c>
      <x:c r="J507" s="5" t="str">
        <x:v>SOURCE QUOTE; unvalidated / superseded assessments</x:v>
      </x:c>
      <x:c r="L507" s="31" t="str">
        <x:v>D01, Markdown line 716; http://nas-1.tail55d152.ts.net:4100/static/2S_CONSULTING_NORDIC_OUTREACH_STRATEGY.html</x:v>
      </x:c>
    </x:row>
    <x:row r="508" ht="42" customHeight="1">
      <x:c r="A508" s="5" t="str">
        <x:v>D01</x:v>
      </x:c>
      <x:c r="B508" s="5" t="str">
        <x:v>D01-T09</x:v>
      </x:c>
      <x:c r="C508" s="5" t="str">
        <x:v>13. Complete Sovereign Artifact Registry &amp; Inter-Connected FQDN Network</x:v>
      </x:c>
      <x:c r="D508" s="5" t="n">
        <x:v>716</x:v>
      </x:c>
      <x:c r="E508" s="5" t="n">
        <x:v>3</x:v>
      </x:c>
      <x:c r="F508" s="5" t="str">
        <x:v>Format</x:v>
      </x:c>
      <x:c r="G508" s="5" t="n">
        <x:v>1</x:v>
      </x:c>
      <x:c r="H508" s="5" t="n">
        <x:v>1</x:v>
      </x:c>
      <x:c r="I508" s="5" t="str">
        <x:v>Mojo Script</x:v>
      </x:c>
      <x:c r="J508" s="5" t="str">
        <x:v>SOURCE QUOTE; unvalidated / superseded assessments</x:v>
      </x:c>
      <x:c r="L508" s="31" t="str">
        <x:v>D01, Markdown line 716; http://nas-1.tail55d152.ts.net:4100/static/2S_CONSULTING_NORDIC_OUTREACH_STRATEGY.html</x:v>
      </x:c>
    </x:row>
    <x:row r="509" ht="42" customHeight="1">
      <x:c r="A509" s="5" t="str">
        <x:v>D01</x:v>
      </x:c>
      <x:c r="B509" s="5" t="str">
        <x:v>D01-T09</x:v>
      </x:c>
      <x:c r="C509" s="5" t="str">
        <x:v>13. Complete Sovereign Artifact Registry &amp; Inter-Connected FQDN Network</x:v>
      </x:c>
      <x:c r="D509" s="5" t="n">
        <x:v>716</x:v>
      </x:c>
      <x:c r="E509" s="5" t="n">
        <x:v>4</x:v>
      </x:c>
      <x:c r="F509" s="5" t="str">
        <x:v>Authoritative Web View (Tailscale FQDN)</x:v>
      </x:c>
      <x:c r="G509" s="5" t="n">
        <x:v>1</x:v>
      </x:c>
      <x:c r="H509" s="5" t="n">
        <x:v>1</x:v>
      </x:c>
      <x:c r="I509" s="5" t="str">
        <x:v>[View Mojo Script](http://nas-1.tail55d152.ts.net:4100/static/verify_pharma_chemicals.mojo)</x:v>
      </x:c>
      <x:c r="J509" s="5" t="str">
        <x:v>SOURCE QUOTE; unvalidated / superseded assessments</x:v>
      </x:c>
      <x:c r="L509" s="31" t="str">
        <x:v>D01, Markdown line 716; http://nas-1.tail55d152.ts.net:4100/static/2S_CONSULTING_NORDIC_OUTREACH_STRATEGY.html</x:v>
      </x:c>
    </x:row>
    <x:row r="510" ht="42" customHeight="1">
      <x:c r="A510" s="5" t="str">
        <x:v>D01</x:v>
      </x:c>
      <x:c r="B510" s="5" t="str">
        <x:v>D01-T09</x:v>
      </x:c>
      <x:c r="C510" s="5" t="str">
        <x:v>13. Complete Sovereign Artifact Registry &amp; Inter-Connected FQDN Network</x:v>
      </x:c>
      <x:c r="D510" s="5" t="n">
        <x:v>716</x:v>
      </x:c>
      <x:c r="E510" s="5" t="n">
        <x:v>5</x:v>
      </x:c>
      <x:c r="F510" s="5" t="str">
        <x:v>Source Markdown / Script</x:v>
      </x:c>
      <x:c r="G510" s="5" t="n">
        <x:v>1</x:v>
      </x:c>
      <x:c r="H510" s="5" t="n">
        <x:v>1</x:v>
      </x:c>
      <x:c r="I510" s="5" t="str">
        <x:v>[Local Script](./verify_pharma_chemicals.mojo)</x:v>
      </x:c>
      <x:c r="J510" s="5" t="str">
        <x:v>SOURCE QUOTE; unvalidated / superseded assessments</x:v>
      </x:c>
      <x:c r="L510" s="31" t="str">
        <x:v>D01, Markdown line 716; http://nas-1.tail55d152.ts.net:4100/static/2S_CONSULTING_NORDIC_OUTREACH_STRATEGY.html</x:v>
      </x:c>
    </x:row>
    <x:row r="511" ht="42" customHeight="1">
      <x:c r="A511" s="5" t="str">
        <x:v>D01</x:v>
      </x:c>
      <x:c r="B511" s="5" t="str">
        <x:v>D01-T09</x:v>
      </x:c>
      <x:c r="C511" s="5" t="str">
        <x:v>13. Complete Sovereign Artifact Registry &amp; Inter-Connected FQDN Network</x:v>
      </x:c>
      <x:c r="D511" s="5" t="n">
        <x:v>716</x:v>
      </x:c>
      <x:c r="E511" s="5" t="n">
        <x:v>6</x:v>
      </x:c>
      <x:c r="F511" s="5" t="str">
        <x:v>Governance Status</x:v>
      </x:c>
      <x:c r="G511" s="5" t="n">
        <x:v>1</x:v>
      </x:c>
      <x:c r="H511" s="5" t="n">
        <x:v>1</x:v>
      </x:c>
      <x:c r="I511" s="5" t="str">
        <x:v>6 GATES PASSED</x:v>
      </x:c>
      <x:c r="J511" s="5" t="str">
        <x:v>SOURCE QUOTE; unvalidated / superseded assessments</x:v>
      </x:c>
      <x:c r="L511" s="31" t="str">
        <x:v>D01, Markdown line 716; http://nas-1.tail55d152.ts.net:4100/static/2S_CONSULTING_NORDIC_OUTREACH_STRATEGY.html</x:v>
      </x:c>
    </x:row>
    <x:row r="512" ht="42" customHeight="1">
      <x:c r="A512" s="5" t="str">
        <x:v>D02</x:v>
      </x:c>
      <x:c r="B512" s="5" t="str">
        <x:v>D02-T01</x:v>
      </x:c>
      <x:c r="C512" s="5" t="str">
        <x:v>Key Nordic Clusters &amp; Tactical Infiltration Plan</x:v>
      </x:c>
      <x:c r="D512" s="5" t="n">
        <x:v>84</x:v>
      </x:c>
      <x:c r="E512" s="5" t="n">
        <x:v>1</x:v>
      </x:c>
      <x:c r="F512" s="5" t="str">
        <x:v>Cluster / Hub</x:v>
      </x:c>
      <x:c r="G512" s="5" t="n">
        <x:v>1</x:v>
      </x:c>
      <x:c r="H512" s="5" t="n">
        <x:v>1</x:v>
      </x:c>
      <x:c r="I512" s="5" t="str">
        <x:v>Medicon Village</x:v>
      </x:c>
      <x:c r="J512" s="5" t="str">
        <x:v>SOURCE QUOTE; unvalidated / superseded assessments</x:v>
      </x:c>
      <x:c r="L512" s="31" t="str">
        <x:v>D02, Markdown line 84; http://nas-1.tail55d152.ts.net:4100/static/2S_NORDIC_MARKET_PENETRATION_AND_ECOSYSTEM_ACCELERATOR.html</x:v>
      </x:c>
    </x:row>
    <x:row r="513" ht="42" customHeight="1">
      <x:c r="A513" s="5" t="str">
        <x:v>D02</x:v>
      </x:c>
      <x:c r="B513" s="5" t="str">
        <x:v>D02-T01</x:v>
      </x:c>
      <x:c r="C513" s="5" t="str">
        <x:v>Key Nordic Clusters &amp; Tactical Infiltration Plan</x:v>
      </x:c>
      <x:c r="D513" s="5" t="n">
        <x:v>84</x:v>
      </x:c>
      <x:c r="E513" s="5" t="n">
        <x:v>2</x:v>
      </x:c>
      <x:c r="F513" s="5" t="str">
        <x:v>Location</x:v>
      </x:c>
      <x:c r="G513" s="5" t="n">
        <x:v>1</x:v>
      </x:c>
      <x:c r="H513" s="5" t="n">
        <x:v>1</x:v>
      </x:c>
      <x:c r="I513" s="5" t="str">
        <x:v>Lund / Malmö, Sweden</x:v>
      </x:c>
      <x:c r="J513" s="5" t="str">
        <x:v>SOURCE QUOTE; unvalidated / superseded assessments</x:v>
      </x:c>
      <x:c r="L513" s="31" t="str">
        <x:v>D02, Markdown line 84; http://nas-1.tail55d152.ts.net:4100/static/2S_NORDIC_MARKET_PENETRATION_AND_ECOSYSTEM_ACCELERATOR.html</x:v>
      </x:c>
    </x:row>
    <x:row r="514" ht="42" customHeight="1">
      <x:c r="A514" s="5" t="str">
        <x:v>D02</x:v>
      </x:c>
      <x:c r="B514" s="5" t="str">
        <x:v>D02-T01</x:v>
      </x:c>
      <x:c r="C514" s="5" t="str">
        <x:v>Key Nordic Clusters &amp; Tactical Infiltration Plan</x:v>
      </x:c>
      <x:c r="D514" s="5" t="n">
        <x:v>84</x:v>
      </x:c>
      <x:c r="E514" s="5" t="n">
        <x:v>3</x:v>
      </x:c>
      <x:c r="F514" s="5" t="str">
        <x:v>Enterprise Density</x:v>
      </x:c>
      <x:c r="G514" s="5" t="n">
        <x:v>1</x:v>
      </x:c>
      <x:c r="H514" s="5" t="n">
        <x:v>1</x:v>
      </x:c>
      <x:c r="I514" s="5" t="str">
        <x:v>180+ companies, 2,800+ workers</x:v>
      </x:c>
      <x:c r="J514" s="5" t="str">
        <x:v>SOURCE QUOTE; unvalidated / superseded assessments</x:v>
      </x:c>
      <x:c r="L514" s="31" t="str">
        <x:v>D02, Markdown line 84; http://nas-1.tail55d152.ts.net:4100/static/2S_NORDIC_MARKET_PENETRATION_AND_ECOSYSTEM_ACCELERATOR.html</x:v>
      </x:c>
    </x:row>
    <x:row r="515" ht="42" customHeight="1">
      <x:c r="A515" s="5" t="str">
        <x:v>D02</x:v>
      </x:c>
      <x:c r="B515" s="5" t="str">
        <x:v>D02-T01</x:v>
      </x:c>
      <x:c r="C515" s="5" t="str">
        <x:v>Key Nordic Clusters &amp; Tactical Infiltration Plan</x:v>
      </x:c>
      <x:c r="D515" s="5" t="n">
        <x:v>84</x:v>
      </x:c>
      <x:c r="E515" s="5" t="n">
        <x:v>4</x:v>
      </x:c>
      <x:c r="F515" s="5" t="str">
        <x:v>Target Sectors</x:v>
      </x:c>
      <x:c r="G515" s="5" t="n">
        <x:v>1</x:v>
      </x:c>
      <x:c r="H515" s="5" t="n">
        <x:v>1</x:v>
      </x:c>
      <x:c r="I515" s="5" t="str">
        <x:v>Biotech, In Vitro Diagnostics, MedTech</x:v>
      </x:c>
      <x:c r="J515" s="5" t="str">
        <x:v>SOURCE QUOTE; unvalidated / superseded assessments</x:v>
      </x:c>
      <x:c r="L515" s="31" t="str">
        <x:v>D02, Markdown line 84; http://nas-1.tail55d152.ts.net:4100/static/2S_NORDIC_MARKET_PENETRATION_AND_ECOSYSTEM_ACCELERATOR.html</x:v>
      </x:c>
    </x:row>
    <x:row r="516" ht="42" customHeight="1">
      <x:c r="A516" s="5" t="str">
        <x:v>D02</x:v>
      </x:c>
      <x:c r="B516" s="5" t="str">
        <x:v>D02-T01</x:v>
      </x:c>
      <x:c r="C516" s="5" t="str">
        <x:v>Key Nordic Clusters &amp; Tactical Infiltration Plan</x:v>
      </x:c>
      <x:c r="D516" s="5" t="n">
        <x:v>84</x:v>
      </x:c>
      <x:c r="E516" s="5" t="n">
        <x:v>5</x:v>
      </x:c>
      <x:c r="F516" s="5" t="str">
        <x:v>Infiltration Action</x:v>
      </x:c>
      <x:c r="G516" s="5" t="n">
        <x:v>1</x:v>
      </x:c>
      <x:c r="H516" s="5" t="n">
        <x:v>1</x:v>
      </x:c>
      <x:c r="I516" s="5" t="str">
        <x:v>Deliver quarterly "MDR/IVDR Gap-Elimination Clinic"; establish accredited service desk.</x:v>
      </x:c>
      <x:c r="J516" s="5" t="str">
        <x:v>SOURCE QUOTE; unvalidated / superseded assessments</x:v>
      </x:c>
      <x:c r="L516" s="31" t="str">
        <x:v>D02, Markdown line 84; http://nas-1.tail55d152.ts.net:4100/static/2S_NORDIC_MARKET_PENETRATION_AND_ECOSYSTEM_ACCELERATOR.html</x:v>
      </x:c>
    </x:row>
    <x:row r="517" ht="42" customHeight="1">
      <x:c r="A517" s="5" t="str">
        <x:v>D02</x:v>
      </x:c>
      <x:c r="B517" s="5" t="str">
        <x:v>D02-T01</x:v>
      </x:c>
      <x:c r="C517" s="5" t="str">
        <x:v>Key Nordic Clusters &amp; Tactical Infiltration Plan</x:v>
      </x:c>
      <x:c r="D517" s="5" t="n">
        <x:v>85</x:v>
      </x:c>
      <x:c r="E517" s="5" t="n">
        <x:v>1</x:v>
      </x:c>
      <x:c r="F517" s="5" t="str">
        <x:v>Cluster / Hub</x:v>
      </x:c>
      <x:c r="G517" s="5" t="n">
        <x:v>1</x:v>
      </x:c>
      <x:c r="H517" s="5" t="n">
        <x:v>1</x:v>
      </x:c>
      <x:c r="I517" s="5" t="str">
        <x:v>GoCo Health Innovation City</x:v>
      </x:c>
      <x:c r="J517" s="5" t="str">
        <x:v>SOURCE QUOTE; unvalidated / superseded assessments</x:v>
      </x:c>
      <x:c r="L517" s="31" t="str">
        <x:v>D02, Markdown line 85; http://nas-1.tail55d152.ts.net:4100/static/2S_NORDIC_MARKET_PENETRATION_AND_ECOSYSTEM_ACCELERATOR.html</x:v>
      </x:c>
    </x:row>
    <x:row r="518" ht="42" customHeight="1">
      <x:c r="A518" s="5" t="str">
        <x:v>D02</x:v>
      </x:c>
      <x:c r="B518" s="5" t="str">
        <x:v>D02-T01</x:v>
      </x:c>
      <x:c r="C518" s="5" t="str">
        <x:v>Key Nordic Clusters &amp; Tactical Infiltration Plan</x:v>
      </x:c>
      <x:c r="D518" s="5" t="n">
        <x:v>85</x:v>
      </x:c>
      <x:c r="E518" s="5" t="n">
        <x:v>2</x:v>
      </x:c>
      <x:c r="F518" s="5" t="str">
        <x:v>Location</x:v>
      </x:c>
      <x:c r="G518" s="5" t="n">
        <x:v>1</x:v>
      </x:c>
      <x:c r="H518" s="5" t="n">
        <x:v>1</x:v>
      </x:c>
      <x:c r="I518" s="5" t="str">
        <x:v>Mölndal / Gothenburg</x:v>
      </x:c>
      <x:c r="J518" s="5" t="str">
        <x:v>SOURCE QUOTE; unvalidated / superseded assessments</x:v>
      </x:c>
      <x:c r="L518" s="31" t="str">
        <x:v>D02, Markdown line 85; http://nas-1.tail55d152.ts.net:4100/static/2S_NORDIC_MARKET_PENETRATION_AND_ECOSYSTEM_ACCELERATOR.html</x:v>
      </x:c>
    </x:row>
    <x:row r="519" ht="42" customHeight="1">
      <x:c r="A519" s="5" t="str">
        <x:v>D02</x:v>
      </x:c>
      <x:c r="B519" s="5" t="str">
        <x:v>D02-T01</x:v>
      </x:c>
      <x:c r="C519" s="5" t="str">
        <x:v>Key Nordic Clusters &amp; Tactical Infiltration Plan</x:v>
      </x:c>
      <x:c r="D519" s="5" t="n">
        <x:v>85</x:v>
      </x:c>
      <x:c r="E519" s="5" t="n">
        <x:v>3</x:v>
      </x:c>
      <x:c r="F519" s="5" t="str">
        <x:v>Enterprise Density</x:v>
      </x:c>
      <x:c r="G519" s="5" t="n">
        <x:v>1</x:v>
      </x:c>
      <x:c r="H519" s="5" t="n">
        <x:v>1</x:v>
      </x:c>
      <x:c r="I519" s="5" t="str">
        <x:v>Astra Zeneca hub + 80+ suppliers</x:v>
      </x:c>
      <x:c r="J519" s="5" t="str">
        <x:v>SOURCE QUOTE; unvalidated / superseded assessments</x:v>
      </x:c>
      <x:c r="L519" s="31" t="str">
        <x:v>D02, Markdown line 85; http://nas-1.tail55d152.ts.net:4100/static/2S_NORDIC_MARKET_PENETRATION_AND_ECOSYSTEM_ACCELERATOR.html</x:v>
      </x:c>
    </x:row>
    <x:row r="520" ht="42" customHeight="1">
      <x:c r="A520" s="5" t="str">
        <x:v>D02</x:v>
      </x:c>
      <x:c r="B520" s="5" t="str">
        <x:v>D02-T01</x:v>
      </x:c>
      <x:c r="C520" s="5" t="str">
        <x:v>Key Nordic Clusters &amp; Tactical Infiltration Plan</x:v>
      </x:c>
      <x:c r="D520" s="5" t="n">
        <x:v>85</x:v>
      </x:c>
      <x:c r="E520" s="5" t="n">
        <x:v>4</x:v>
      </x:c>
      <x:c r="F520" s="5" t="str">
        <x:v>Target Sectors</x:v>
      </x:c>
      <x:c r="G520" s="5" t="n">
        <x:v>1</x:v>
      </x:c>
      <x:c r="H520" s="5" t="n">
        <x:v>1</x:v>
      </x:c>
      <x:c r="I520" s="5" t="str">
        <x:v>Digital Health, Biopharma, Advanced Devices</x:v>
      </x:c>
      <x:c r="J520" s="5" t="str">
        <x:v>SOURCE QUOTE; unvalidated / superseded assessments</x:v>
      </x:c>
      <x:c r="L520" s="31" t="str">
        <x:v>D02, Markdown line 85; http://nas-1.tail55d152.ts.net:4100/static/2S_NORDIC_MARKET_PENETRATION_AND_ECOSYSTEM_ACCELERATOR.html</x:v>
      </x:c>
    </x:row>
    <x:row r="521" ht="42" customHeight="1">
      <x:c r="A521" s="5" t="str">
        <x:v>D02</x:v>
      </x:c>
      <x:c r="B521" s="5" t="str">
        <x:v>D02-T01</x:v>
      </x:c>
      <x:c r="C521" s="5" t="str">
        <x:v>Key Nordic Clusters &amp; Tactical Infiltration Plan</x:v>
      </x:c>
      <x:c r="D521" s="5" t="n">
        <x:v>85</x:v>
      </x:c>
      <x:c r="E521" s="5" t="n">
        <x:v>5</x:v>
      </x:c>
      <x:c r="F521" s="5" t="str">
        <x:v>Infiltration Action</x:v>
      </x:c>
      <x:c r="G521" s="5" t="n">
        <x:v>1</x:v>
      </x:c>
      <x:c r="H521" s="5" t="n">
        <x:v>1</x:v>
      </x:c>
      <x:c r="I521" s="5" t="str">
        <x:v>Co-host "EU AI Act Compliance Summit for MedTech Executives" in partnership with local incubators.</x:v>
      </x:c>
      <x:c r="J521" s="5" t="str">
        <x:v>SOURCE QUOTE; unvalidated / superseded assessments</x:v>
      </x:c>
      <x:c r="L521" s="31" t="str">
        <x:v>D02, Markdown line 85; http://nas-1.tail55d152.ts.net:4100/static/2S_NORDIC_MARKET_PENETRATION_AND_ECOSYSTEM_ACCELERATOR.html</x:v>
      </x:c>
    </x:row>
    <x:row r="522" ht="42" customHeight="1">
      <x:c r="A522" s="5" t="str">
        <x:v>D02</x:v>
      </x:c>
      <x:c r="B522" s="5" t="str">
        <x:v>D02-T01</x:v>
      </x:c>
      <x:c r="C522" s="5" t="str">
        <x:v>Key Nordic Clusters &amp; Tactical Infiltration Plan</x:v>
      </x:c>
      <x:c r="D522" s="5" t="n">
        <x:v>86</x:v>
      </x:c>
      <x:c r="E522" s="5" t="n">
        <x:v>1</x:v>
      </x:c>
      <x:c r="F522" s="5" t="str">
        <x:v>Cluster / Hub</x:v>
      </x:c>
      <x:c r="G522" s="5" t="n">
        <x:v>1</x:v>
      </x:c>
      <x:c r="H522" s="5" t="n">
        <x:v>1</x:v>
      </x:c>
      <x:c r="I522" s="5" t="str">
        <x:v>Karolinska Institutet Innovations</x:v>
      </x:c>
      <x:c r="J522" s="5" t="str">
        <x:v>SOURCE QUOTE; unvalidated / superseded assessments</x:v>
      </x:c>
      <x:c r="L522" s="31" t="str">
        <x:v>D02, Markdown line 86; http://nas-1.tail55d152.ts.net:4100/static/2S_NORDIC_MARKET_PENETRATION_AND_ECOSYSTEM_ACCELERATOR.html</x:v>
      </x:c>
    </x:row>
    <x:row r="523" ht="42" customHeight="1">
      <x:c r="A523" s="5" t="str">
        <x:v>D02</x:v>
      </x:c>
      <x:c r="B523" s="5" t="str">
        <x:v>D02-T01</x:v>
      </x:c>
      <x:c r="C523" s="5" t="str">
        <x:v>Key Nordic Clusters &amp; Tactical Infiltration Plan</x:v>
      </x:c>
      <x:c r="D523" s="5" t="n">
        <x:v>86</x:v>
      </x:c>
      <x:c r="E523" s="5" t="n">
        <x:v>2</x:v>
      </x:c>
      <x:c r="F523" s="5" t="str">
        <x:v>Location</x:v>
      </x:c>
      <x:c r="G523" s="5" t="n">
        <x:v>1</x:v>
      </x:c>
      <x:c r="H523" s="5" t="n">
        <x:v>1</x:v>
      </x:c>
      <x:c r="I523" s="5" t="str">
        <x:v>Solna / Stockholm</x:v>
      </x:c>
      <x:c r="J523" s="5" t="str">
        <x:v>SOURCE QUOTE; unvalidated / superseded assessments</x:v>
      </x:c>
      <x:c r="L523" s="31" t="str">
        <x:v>D02, Markdown line 86; http://nas-1.tail55d152.ts.net:4100/static/2S_NORDIC_MARKET_PENETRATION_AND_ECOSYSTEM_ACCELERATOR.html</x:v>
      </x:c>
    </x:row>
    <x:row r="524" ht="42" customHeight="1">
      <x:c r="A524" s="5" t="str">
        <x:v>D02</x:v>
      </x:c>
      <x:c r="B524" s="5" t="str">
        <x:v>D02-T01</x:v>
      </x:c>
      <x:c r="C524" s="5" t="str">
        <x:v>Key Nordic Clusters &amp; Tactical Infiltration Plan</x:v>
      </x:c>
      <x:c r="D524" s="5" t="n">
        <x:v>86</x:v>
      </x:c>
      <x:c r="E524" s="5" t="n">
        <x:v>3</x:v>
      </x:c>
      <x:c r="F524" s="5" t="str">
        <x:v>Enterprise Density</x:v>
      </x:c>
      <x:c r="G524" s="5" t="n">
        <x:v>1</x:v>
      </x:c>
      <x:c r="H524" s="5" t="n">
        <x:v>1</x:v>
      </x:c>
      <x:c r="I524" s="5" t="str">
        <x:v>120+ clinical spin-offs &amp; scale-ups</x:v>
      </x:c>
      <x:c r="J524" s="5" t="str">
        <x:v>SOURCE QUOTE; unvalidated / superseded assessments</x:v>
      </x:c>
      <x:c r="L524" s="31" t="str">
        <x:v>D02, Markdown line 86; http://nas-1.tail55d152.ts.net:4100/static/2S_NORDIC_MARKET_PENETRATION_AND_ECOSYSTEM_ACCELERATOR.html</x:v>
      </x:c>
    </x:row>
    <x:row r="525" ht="42" customHeight="1">
      <x:c r="A525" s="5" t="str">
        <x:v>D02</x:v>
      </x:c>
      <x:c r="B525" s="5" t="str">
        <x:v>D02-T01</x:v>
      </x:c>
      <x:c r="C525" s="5" t="str">
        <x:v>Key Nordic Clusters &amp; Tactical Infiltration Plan</x:v>
      </x:c>
      <x:c r="D525" s="5" t="n">
        <x:v>86</x:v>
      </x:c>
      <x:c r="E525" s="5" t="n">
        <x:v>4</x:v>
      </x:c>
      <x:c r="F525" s="5" t="str">
        <x:v>Target Sectors</x:v>
      </x:c>
      <x:c r="G525" s="5" t="n">
        <x:v>1</x:v>
      </x:c>
      <x:c r="H525" s="5" t="n">
        <x:v>1</x:v>
      </x:c>
      <x:c r="I525" s="5" t="str">
        <x:v>Precision Medicine, Clinical AI, Oncology</x:v>
      </x:c>
      <x:c r="J525" s="5" t="str">
        <x:v>SOURCE QUOTE; unvalidated / superseded assessments</x:v>
      </x:c>
      <x:c r="L525" s="31" t="str">
        <x:v>D02, Markdown line 86; http://nas-1.tail55d152.ts.net:4100/static/2S_NORDIC_MARKET_PENETRATION_AND_ECOSYSTEM_ACCELERATOR.html</x:v>
      </x:c>
    </x:row>
    <x:row r="526" ht="42" customHeight="1">
      <x:c r="A526" s="5" t="str">
        <x:v>D02</x:v>
      </x:c>
      <x:c r="B526" s="5" t="str">
        <x:v>D02-T01</x:v>
      </x:c>
      <x:c r="C526" s="5" t="str">
        <x:v>Key Nordic Clusters &amp; Tactical Infiltration Plan</x:v>
      </x:c>
      <x:c r="D526" s="5" t="n">
        <x:v>86</x:v>
      </x:c>
      <x:c r="E526" s="5" t="n">
        <x:v>5</x:v>
      </x:c>
      <x:c r="F526" s="5" t="str">
        <x:v>Infiltration Action</x:v>
      </x:c>
      <x:c r="G526" s="5" t="n">
        <x:v>1</x:v>
      </x:c>
      <x:c r="H526" s="5" t="n">
        <x:v>1</x:v>
      </x:c>
      <x:c r="I526" s="5" t="str">
        <x:v>Sponsor Clinical Trial Optimization workshops utilizing HCare360 NLP methodology.</x:v>
      </x:c>
      <x:c r="J526" s="5" t="str">
        <x:v>SOURCE QUOTE; unvalidated / superseded assessments</x:v>
      </x:c>
      <x:c r="L526" s="31" t="str">
        <x:v>D02, Markdown line 86; http://nas-1.tail55d152.ts.net:4100/static/2S_NORDIC_MARKET_PENETRATION_AND_ECOSYSTEM_ACCELERATOR.html</x:v>
      </x:c>
    </x:row>
    <x:row r="527" ht="42" customHeight="1">
      <x:c r="A527" s="5" t="str">
        <x:v>D02</x:v>
      </x:c>
      <x:c r="B527" s="5" t="str">
        <x:v>D02-T01</x:v>
      </x:c>
      <x:c r="C527" s="5" t="str">
        <x:v>Key Nordic Clusters &amp; Tactical Infiltration Plan</x:v>
      </x:c>
      <x:c r="D527" s="5" t="n">
        <x:v>87</x:v>
      </x:c>
      <x:c r="E527" s="5" t="n">
        <x:v>1</x:v>
      </x:c>
      <x:c r="F527" s="5" t="str">
        <x:v>Cluster / Hub</x:v>
      </x:c>
      <x:c r="G527" s="5" t="n">
        <x:v>1</x:v>
      </x:c>
      <x:c r="H527" s="5" t="n">
        <x:v>1</x:v>
      </x:c>
      <x:c r="I527" s="5" t="str">
        <x:v>Copenhagen Health Tech Hub</x:v>
      </x:c>
      <x:c r="J527" s="5" t="str">
        <x:v>SOURCE QUOTE; unvalidated / superseded assessments</x:v>
      </x:c>
      <x:c r="L527" s="31" t="str">
        <x:v>D02, Markdown line 87; http://nas-1.tail55d152.ts.net:4100/static/2S_NORDIC_MARKET_PENETRATION_AND_ECOSYSTEM_ACCELERATOR.html</x:v>
      </x:c>
    </x:row>
    <x:row r="528" ht="42" customHeight="1">
      <x:c r="A528" s="5" t="str">
        <x:v>D02</x:v>
      </x:c>
      <x:c r="B528" s="5" t="str">
        <x:v>D02-T01</x:v>
      </x:c>
      <x:c r="C528" s="5" t="str">
        <x:v>Key Nordic Clusters &amp; Tactical Infiltration Plan</x:v>
      </x:c>
      <x:c r="D528" s="5" t="n">
        <x:v>87</x:v>
      </x:c>
      <x:c r="E528" s="5" t="n">
        <x:v>2</x:v>
      </x:c>
      <x:c r="F528" s="5" t="str">
        <x:v>Location</x:v>
      </x:c>
      <x:c r="G528" s="5" t="n">
        <x:v>1</x:v>
      </x:c>
      <x:c r="H528" s="5" t="n">
        <x:v>1</x:v>
      </x:c>
      <x:c r="I528" s="5" t="str">
        <x:v>Copenhagen, Denmark</x:v>
      </x:c>
      <x:c r="J528" s="5" t="str">
        <x:v>SOURCE QUOTE; unvalidated / superseded assessments</x:v>
      </x:c>
      <x:c r="L528" s="31" t="str">
        <x:v>D02, Markdown line 87; http://nas-1.tail55d152.ts.net:4100/static/2S_NORDIC_MARKET_PENETRATION_AND_ECOSYSTEM_ACCELERATOR.html</x:v>
      </x:c>
    </x:row>
    <x:row r="529" ht="42" customHeight="1">
      <x:c r="A529" s="5" t="str">
        <x:v>D02</x:v>
      </x:c>
      <x:c r="B529" s="5" t="str">
        <x:v>D02-T01</x:v>
      </x:c>
      <x:c r="C529" s="5" t="str">
        <x:v>Key Nordic Clusters &amp; Tactical Infiltration Plan</x:v>
      </x:c>
      <x:c r="D529" s="5" t="n">
        <x:v>87</x:v>
      </x:c>
      <x:c r="E529" s="5" t="n">
        <x:v>3</x:v>
      </x:c>
      <x:c r="F529" s="5" t="str">
        <x:v>Enterprise Density</x:v>
      </x:c>
      <x:c r="G529" s="5" t="n">
        <x:v>1</x:v>
      </x:c>
      <x:c r="H529" s="5" t="n">
        <x:v>1</x:v>
      </x:c>
      <x:c r="I529" s="5" t="str">
        <x:v>90+ Digital Health &amp; MedTech firms</x:v>
      </x:c>
      <x:c r="J529" s="5" t="str">
        <x:v>SOURCE QUOTE; unvalidated / superseded assessments</x:v>
      </x:c>
      <x:c r="L529" s="31" t="str">
        <x:v>D02, Markdown line 87; http://nas-1.tail55d152.ts.net:4100/static/2S_NORDIC_MARKET_PENETRATION_AND_ECOSYSTEM_ACCELERATOR.html</x:v>
      </x:c>
    </x:row>
    <x:row r="530" ht="42" customHeight="1">
      <x:c r="A530" s="5" t="str">
        <x:v>D02</x:v>
      </x:c>
      <x:c r="B530" s="5" t="str">
        <x:v>D02-T01</x:v>
      </x:c>
      <x:c r="C530" s="5" t="str">
        <x:v>Key Nordic Clusters &amp; Tactical Infiltration Plan</x:v>
      </x:c>
      <x:c r="D530" s="5" t="n">
        <x:v>87</x:v>
      </x:c>
      <x:c r="E530" s="5" t="n">
        <x:v>4</x:v>
      </x:c>
      <x:c r="F530" s="5" t="str">
        <x:v>Target Sectors</x:v>
      </x:c>
      <x:c r="G530" s="5" t="n">
        <x:v>1</x:v>
      </x:c>
      <x:c r="H530" s="5" t="n">
        <x:v>1</x:v>
      </x:c>
      <x:c r="I530" s="5" t="str">
        <x:v>Telehealth, Software as a Medical Device (SaMD)</x:v>
      </x:c>
      <x:c r="J530" s="5" t="str">
        <x:v>SOURCE QUOTE; unvalidated / superseded assessments</x:v>
      </x:c>
      <x:c r="L530" s="31" t="str">
        <x:v>D02, Markdown line 87; http://nas-1.tail55d152.ts.net:4100/static/2S_NORDIC_MARKET_PENETRATION_AND_ECOSYSTEM_ACCELERATOR.html</x:v>
      </x:c>
    </x:row>
    <x:row r="531" ht="42" customHeight="1">
      <x:c r="A531" s="5" t="str">
        <x:v>D02</x:v>
      </x:c>
      <x:c r="B531" s="5" t="str">
        <x:v>D02-T01</x:v>
      </x:c>
      <x:c r="C531" s="5" t="str">
        <x:v>Key Nordic Clusters &amp; Tactical Infiltration Plan</x:v>
      </x:c>
      <x:c r="D531" s="5" t="n">
        <x:v>87</x:v>
      </x:c>
      <x:c r="E531" s="5" t="n">
        <x:v>5</x:v>
      </x:c>
      <x:c r="F531" s="5" t="str">
        <x:v>Infiltration Action</x:v>
      </x:c>
      <x:c r="G531" s="5" t="n">
        <x:v>1</x:v>
      </x:c>
      <x:c r="H531" s="5" t="n">
        <x:v>1</x:v>
      </x:c>
      <x:c r="I531" s="5" t="str">
        <x:v>Establish formal cross-border advisory pipeline linking Danish software with Swedish clinical testing.</x:v>
      </x:c>
      <x:c r="J531" s="5" t="str">
        <x:v>SOURCE QUOTE; unvalidated / superseded assessments</x:v>
      </x:c>
      <x:c r="L531" s="31" t="str">
        <x:v>D02, Markdown line 87; http://nas-1.tail55d152.ts.net:4100/static/2S_NORDIC_MARKET_PENETRATION_AND_ECOSYSTEM_ACCELERATOR.html</x:v>
      </x:c>
    </x:row>
    <x:row r="532" ht="42" customHeight="1">
      <x:c r="A532" s="5" t="str">
        <x:v>D02</x:v>
      </x:c>
      <x:c r="B532" s="5" t="str">
        <x:v>D02-T01</x:v>
      </x:c>
      <x:c r="C532" s="5" t="str">
        <x:v>Key Nordic Clusters &amp; Tactical Infiltration Plan</x:v>
      </x:c>
      <x:c r="D532" s="5" t="n">
        <x:v>88</x:v>
      </x:c>
      <x:c r="E532" s="5" t="n">
        <x:v>1</x:v>
      </x:c>
      <x:c r="F532" s="5" t="str">
        <x:v>Cluster / Hub</x:v>
      </x:c>
      <x:c r="G532" s="5" t="n">
        <x:v>1</x:v>
      </x:c>
      <x:c r="H532" s="5" t="n">
        <x:v>1</x:v>
      </x:c>
      <x:c r="I532" s="5" t="str">
        <x:v>Norway Health Tech</x:v>
      </x:c>
      <x:c r="J532" s="5" t="str">
        <x:v>SOURCE QUOTE; unvalidated / superseded assessments</x:v>
      </x:c>
      <x:c r="L532" s="31" t="str">
        <x:v>D02, Markdown line 88; http://nas-1.tail55d152.ts.net:4100/static/2S_NORDIC_MARKET_PENETRATION_AND_ECOSYSTEM_ACCELERATOR.html</x:v>
      </x:c>
    </x:row>
    <x:row r="533" ht="42" customHeight="1">
      <x:c r="A533" s="5" t="str">
        <x:v>D02</x:v>
      </x:c>
      <x:c r="B533" s="5" t="str">
        <x:v>D02-T01</x:v>
      </x:c>
      <x:c r="C533" s="5" t="str">
        <x:v>Key Nordic Clusters &amp; Tactical Infiltration Plan</x:v>
      </x:c>
      <x:c r="D533" s="5" t="n">
        <x:v>88</x:v>
      </x:c>
      <x:c r="E533" s="5" t="n">
        <x:v>2</x:v>
      </x:c>
      <x:c r="F533" s="5" t="str">
        <x:v>Location</x:v>
      </x:c>
      <x:c r="G533" s="5" t="n">
        <x:v>1</x:v>
      </x:c>
      <x:c r="H533" s="5" t="n">
        <x:v>1</x:v>
      </x:c>
      <x:c r="I533" s="5" t="str">
        <x:v>Oslo, Norway</x:v>
      </x:c>
      <x:c r="J533" s="5" t="str">
        <x:v>SOURCE QUOTE; unvalidated / superseded assessments</x:v>
      </x:c>
      <x:c r="L533" s="31" t="str">
        <x:v>D02, Markdown line 88; http://nas-1.tail55d152.ts.net:4100/static/2S_NORDIC_MARKET_PENETRATION_AND_ECOSYSTEM_ACCELERATOR.html</x:v>
      </x:c>
    </x:row>
    <x:row r="534" ht="42" customHeight="1">
      <x:c r="A534" s="5" t="str">
        <x:v>D02</x:v>
      </x:c>
      <x:c r="B534" s="5" t="str">
        <x:v>D02-T01</x:v>
      </x:c>
      <x:c r="C534" s="5" t="str">
        <x:v>Key Nordic Clusters &amp; Tactical Infiltration Plan</x:v>
      </x:c>
      <x:c r="D534" s="5" t="n">
        <x:v>88</x:v>
      </x:c>
      <x:c r="E534" s="5" t="n">
        <x:v>3</x:v>
      </x:c>
      <x:c r="F534" s="5" t="str">
        <x:v>Enterprise Density</x:v>
      </x:c>
      <x:c r="G534" s="5" t="n">
        <x:v>1</x:v>
      </x:c>
      <x:c r="H534" s="5" t="n">
        <x:v>1</x:v>
      </x:c>
      <x:c r="I534" s="5" t="str">
        <x:v>270+ members (hospitals + firms)</x:v>
      </x:c>
      <x:c r="J534" s="5" t="str">
        <x:v>SOURCE QUOTE; unvalidated / superseded assessments</x:v>
      </x:c>
      <x:c r="L534" s="31" t="str">
        <x:v>D02, Markdown line 88; http://nas-1.tail55d152.ts.net:4100/static/2S_NORDIC_MARKET_PENETRATION_AND_ECOSYSTEM_ACCELERATOR.html</x:v>
      </x:c>
    </x:row>
    <x:row r="535" ht="42" customHeight="1">
      <x:c r="A535" s="5" t="str">
        <x:v>D02</x:v>
      </x:c>
      <x:c r="B535" s="5" t="str">
        <x:v>D02-T01</x:v>
      </x:c>
      <x:c r="C535" s="5" t="str">
        <x:v>Key Nordic Clusters &amp; Tactical Infiltration Plan</x:v>
      </x:c>
      <x:c r="D535" s="5" t="n">
        <x:v>88</x:v>
      </x:c>
      <x:c r="E535" s="5" t="n">
        <x:v>4</x:v>
      </x:c>
      <x:c r="F535" s="5" t="str">
        <x:v>Target Sectors</x:v>
      </x:c>
      <x:c r="G535" s="5" t="n">
        <x:v>1</x:v>
      </x:c>
      <x:c r="H535" s="5" t="n">
        <x:v>1</x:v>
      </x:c>
      <x:c r="I535" s="5" t="str">
        <x:v>Imaging, Telemedicine, Surgical Robotics</x:v>
      </x:c>
      <x:c r="J535" s="5" t="str">
        <x:v>SOURCE QUOTE; unvalidated / superseded assessments</x:v>
      </x:c>
      <x:c r="L535" s="31" t="str">
        <x:v>D02, Markdown line 88; http://nas-1.tail55d152.ts.net:4100/static/2S_NORDIC_MARKET_PENETRATION_AND_ECOSYSTEM_ACCELERATOR.html</x:v>
      </x:c>
    </x:row>
    <x:row r="536" ht="42" customHeight="1">
      <x:c r="A536" s="5" t="str">
        <x:v>D02</x:v>
      </x:c>
      <x:c r="B536" s="5" t="str">
        <x:v>D02-T01</x:v>
      </x:c>
      <x:c r="C536" s="5" t="str">
        <x:v>Key Nordic Clusters &amp; Tactical Infiltration Plan</x:v>
      </x:c>
      <x:c r="D536" s="5" t="n">
        <x:v>88</x:v>
      </x:c>
      <x:c r="E536" s="5" t="n">
        <x:v>5</x:v>
      </x:c>
      <x:c r="F536" s="5" t="str">
        <x:v>Infiltration Action</x:v>
      </x:c>
      <x:c r="G536" s="5" t="n">
        <x:v>1</x:v>
      </x:c>
      <x:c r="H536" s="5" t="n">
        <x:v>1</x:v>
      </x:c>
      <x:c r="I536" s="5" t="str">
        <x:v>Partner on Nordic cross-border CE-marking and US FDA 510(k) dual-market filings.</x:v>
      </x:c>
      <x:c r="J536" s="5" t="str">
        <x:v>SOURCE QUOTE; unvalidated / superseded assessments</x:v>
      </x:c>
      <x:c r="L536" s="31" t="str">
        <x:v>D02, Markdown line 88; http://nas-1.tail55d152.ts.net:4100/static/2S_NORDIC_MARKET_PENETRATION_AND_ECOSYSTEM_ACCELERATOR.html</x:v>
      </x:c>
    </x:row>
    <x:row r="537" ht="42" customHeight="1">
      <x:c r="A537" s="5" t="str">
        <x:v>D02</x:v>
      </x:c>
      <x:c r="B537" s="5" t="str">
        <x:v>D02-T01</x:v>
      </x:c>
      <x:c r="C537" s="5" t="str">
        <x:v>Key Nordic Clusters &amp; Tactical Infiltration Plan</x:v>
      </x:c>
      <x:c r="D537" s="5" t="n">
        <x:v>89</x:v>
      </x:c>
      <x:c r="E537" s="5" t="n">
        <x:v>1</x:v>
      </x:c>
      <x:c r="F537" s="5" t="str">
        <x:v>Cluster / Hub</x:v>
      </x:c>
      <x:c r="G537" s="5" t="n">
        <x:v>1</x:v>
      </x:c>
      <x:c r="H537" s="5" t="n">
        <x:v>1</x:v>
      </x:c>
      <x:c r="I537" s="5" t="str">
        <x:v>Health Capital Helsinki</x:v>
      </x:c>
      <x:c r="J537" s="5" t="str">
        <x:v>SOURCE QUOTE; unvalidated / superseded assessments</x:v>
      </x:c>
      <x:c r="L537" s="31" t="str">
        <x:v>D02, Markdown line 89; http://nas-1.tail55d152.ts.net:4100/static/2S_NORDIC_MARKET_PENETRATION_AND_ECOSYSTEM_ACCELERATOR.html</x:v>
      </x:c>
    </x:row>
    <x:row r="538" ht="42" customHeight="1">
      <x:c r="A538" s="5" t="str">
        <x:v>D02</x:v>
      </x:c>
      <x:c r="B538" s="5" t="str">
        <x:v>D02-T01</x:v>
      </x:c>
      <x:c r="C538" s="5" t="str">
        <x:v>Key Nordic Clusters &amp; Tactical Infiltration Plan</x:v>
      </x:c>
      <x:c r="D538" s="5" t="n">
        <x:v>89</x:v>
      </x:c>
      <x:c r="E538" s="5" t="n">
        <x:v>2</x:v>
      </x:c>
      <x:c r="F538" s="5" t="str">
        <x:v>Location</x:v>
      </x:c>
      <x:c r="G538" s="5" t="n">
        <x:v>1</x:v>
      </x:c>
      <x:c r="H538" s="5" t="n">
        <x:v>1</x:v>
      </x:c>
      <x:c r="I538" s="5" t="str">
        <x:v>Helsinki, Finland</x:v>
      </x:c>
      <x:c r="J538" s="5" t="str">
        <x:v>SOURCE QUOTE; unvalidated / superseded assessments</x:v>
      </x:c>
      <x:c r="L538" s="31" t="str">
        <x:v>D02, Markdown line 89; http://nas-1.tail55d152.ts.net:4100/static/2S_NORDIC_MARKET_PENETRATION_AND_ECOSYSTEM_ACCELERATOR.html</x:v>
      </x:c>
    </x:row>
    <x:row r="539" ht="42" customHeight="1">
      <x:c r="A539" s="5" t="str">
        <x:v>D02</x:v>
      </x:c>
      <x:c r="B539" s="5" t="str">
        <x:v>D02-T01</x:v>
      </x:c>
      <x:c r="C539" s="5" t="str">
        <x:v>Key Nordic Clusters &amp; Tactical Infiltration Plan</x:v>
      </x:c>
      <x:c r="D539" s="5" t="n">
        <x:v>89</x:v>
      </x:c>
      <x:c r="E539" s="5" t="n">
        <x:v>3</x:v>
      </x:c>
      <x:c r="F539" s="5" t="str">
        <x:v>Enterprise Density</x:v>
      </x:c>
      <x:c r="G539" s="5" t="n">
        <x:v>1</x:v>
      </x:c>
      <x:c r="H539" s="5" t="n">
        <x:v>1</x:v>
      </x:c>
      <x:c r="I539" s="5" t="str">
        <x:v>100+ health tech startups</x:v>
      </x:c>
      <x:c r="J539" s="5" t="str">
        <x:v>SOURCE QUOTE; unvalidated / superseded assessments</x:v>
      </x:c>
      <x:c r="L539" s="31" t="str">
        <x:v>D02, Markdown line 89; http://nas-1.tail55d152.ts.net:4100/static/2S_NORDIC_MARKET_PENETRATION_AND_ECOSYSTEM_ACCELERATOR.html</x:v>
      </x:c>
    </x:row>
    <x:row r="540" ht="42" customHeight="1">
      <x:c r="A540" s="5" t="str">
        <x:v>D02</x:v>
      </x:c>
      <x:c r="B540" s="5" t="str">
        <x:v>D02-T01</x:v>
      </x:c>
      <x:c r="C540" s="5" t="str">
        <x:v>Key Nordic Clusters &amp; Tactical Infiltration Plan</x:v>
      </x:c>
      <x:c r="D540" s="5" t="n">
        <x:v>89</x:v>
      </x:c>
      <x:c r="E540" s="5" t="n">
        <x:v>4</x:v>
      </x:c>
      <x:c r="F540" s="5" t="str">
        <x:v>Target Sectors</x:v>
      </x:c>
      <x:c r="G540" s="5" t="n">
        <x:v>1</x:v>
      </x:c>
      <x:c r="H540" s="5" t="n">
        <x:v>1</x:v>
      </x:c>
      <x:c r="I540" s="5" t="str">
        <x:v>AI Diagnostics, Genomic Data Platforms</x:v>
      </x:c>
      <x:c r="J540" s="5" t="str">
        <x:v>SOURCE QUOTE; unvalidated / superseded assessments</x:v>
      </x:c>
      <x:c r="L540" s="31" t="str">
        <x:v>D02, Markdown line 89; http://nas-1.tail55d152.ts.net:4100/static/2S_NORDIC_MARKET_PENETRATION_AND_ECOSYSTEM_ACCELERATOR.html</x:v>
      </x:c>
    </x:row>
    <x:row r="541" ht="42" customHeight="1">
      <x:c r="A541" s="5" t="str">
        <x:v>D02</x:v>
      </x:c>
      <x:c r="B541" s="5" t="str">
        <x:v>D02-T01</x:v>
      </x:c>
      <x:c r="C541" s="5" t="str">
        <x:v>Key Nordic Clusters &amp; Tactical Infiltration Plan</x:v>
      </x:c>
      <x:c r="D541" s="5" t="n">
        <x:v>89</x:v>
      </x:c>
      <x:c r="E541" s="5" t="n">
        <x:v>5</x:v>
      </x:c>
      <x:c r="F541" s="5" t="str">
        <x:v>Infiltration Action</x:v>
      </x:c>
      <x:c r="G541" s="5" t="n">
        <x:v>1</x:v>
      </x:c>
      <x:c r="H541" s="5" t="n">
        <x:v>1</x:v>
      </x:c>
      <x:c r="I541" s="5" t="str">
        <x:v>Position Numantra's secure Finnish ISO cloud hosting for GxP data governance.</x:v>
      </x:c>
      <x:c r="J541" s="5" t="str">
        <x:v>SOURCE QUOTE; unvalidated / superseded assessments</x:v>
      </x:c>
      <x:c r="L541" s="31" t="str">
        <x:v>D02, Markdown line 89; http://nas-1.tail55d152.ts.net:4100/static/2S_NORDIC_MARKET_PENETRATION_AND_ECOSYSTEM_ACCELERATOR.html</x:v>
      </x:c>
    </x:row>
    <x:row r="542" ht="42" customHeight="1">
      <x:c r="A542" s="5" t="str">
        <x:v>D02</x:v>
      </x:c>
      <x:c r="B542" s="5" t="str">
        <x:v>D02-T02</x:v>
      </x:c>
      <x:c r="C542" s="5" t="str">
        <x:v>Target VC &amp; Growth Funds in the Nordics</x:v>
      </x:c>
      <x:c r="D542" s="5" t="n">
        <x:v>135</x:v>
      </x:c>
      <x:c r="E542" s="5" t="n">
        <x:v>1</x:v>
      </x:c>
      <x:c r="F542" s="5" t="str">
        <x:v>Fund</x:v>
      </x:c>
      <x:c r="G542" s="5" t="n">
        <x:v>1</x:v>
      </x:c>
      <x:c r="H542" s="5" t="n">
        <x:v>1</x:v>
      </x:c>
      <x:c r="I542" s="5" t="str">
        <x:v>HealthCap</x:v>
      </x:c>
      <x:c r="J542" s="5" t="str">
        <x:v>SOURCE QUOTE; unvalidated / superseded assessments</x:v>
      </x:c>
      <x:c r="L542" s="31" t="str">
        <x:v>D02, Markdown line 135; http://nas-1.tail55d152.ts.net:4100/static/2S_NORDIC_MARKET_PENETRATION_AND_ECOSYSTEM_ACCELERATOR.html</x:v>
      </x:c>
    </x:row>
    <x:row r="543" ht="42" customHeight="1">
      <x:c r="A543" s="5" t="str">
        <x:v>D02</x:v>
      </x:c>
      <x:c r="B543" s="5" t="str">
        <x:v>D02-T02</x:v>
      </x:c>
      <x:c r="C543" s="5" t="str">
        <x:v>Target VC &amp; Growth Funds in the Nordics</x:v>
      </x:c>
      <x:c r="D543" s="5" t="n">
        <x:v>135</x:v>
      </x:c>
      <x:c r="E543" s="5" t="n">
        <x:v>2</x:v>
      </x:c>
      <x:c r="F543" s="5" t="str">
        <x:v>Headquarters</x:v>
      </x:c>
      <x:c r="G543" s="5" t="n">
        <x:v>1</x:v>
      </x:c>
      <x:c r="H543" s="5" t="n">
        <x:v>1</x:v>
      </x:c>
      <x:c r="I543" s="5" t="str">
        <x:v>Stockholm, Sweden</x:v>
      </x:c>
      <x:c r="J543" s="5" t="str">
        <x:v>SOURCE QUOTE; unvalidated / superseded assessments</x:v>
      </x:c>
      <x:c r="L543" s="31" t="str">
        <x:v>D02, Markdown line 135; http://nas-1.tail55d152.ts.net:4100/static/2S_NORDIC_MARKET_PENETRATION_AND_ECOSYSTEM_ACCELERATOR.html</x:v>
      </x:c>
    </x:row>
    <x:row r="544" ht="42" customHeight="1">
      <x:c r="A544" s="5" t="str">
        <x:v>D02</x:v>
      </x:c>
      <x:c r="B544" s="5" t="str">
        <x:v>D02-T02</x:v>
      </x:c>
      <x:c r="C544" s="5" t="str">
        <x:v>Target VC &amp; Growth Funds in the Nordics</x:v>
      </x:c>
      <x:c r="D544" s="5" t="n">
        <x:v>135</x:v>
      </x:c>
      <x:c r="E544" s="5" t="n">
        <x:v>3</x:v>
      </x:c>
      <x:c r="F544" s="5" t="str">
        <x:v>AUM / Stage</x:v>
      </x:c>
      <x:c r="G544" s="5" t="n">
        <x:v>1</x:v>
      </x:c>
      <x:c r="H544" s="5" t="n">
        <x:v>1</x:v>
      </x:c>
      <x:c r="I544" s="5" t="str">
        <x:v>&gt;€1.2B (Early &amp; Growth)</x:v>
      </x:c>
      <x:c r="J544" s="5" t="str">
        <x:v>SOURCE QUOTE; unvalidated / superseded assessments</x:v>
      </x:c>
      <x:c r="L544" s="31" t="str">
        <x:v>D02, Markdown line 135; http://nas-1.tail55d152.ts.net:4100/static/2S_NORDIC_MARKET_PENETRATION_AND_ECOSYSTEM_ACCELERATOR.html</x:v>
      </x:c>
    </x:row>
    <x:row r="545" ht="42" customHeight="1">
      <x:c r="A545" s="5" t="str">
        <x:v>D02</x:v>
      </x:c>
      <x:c r="B545" s="5" t="str">
        <x:v>D02-T02</x:v>
      </x:c>
      <x:c r="C545" s="5" t="str">
        <x:v>Target VC &amp; Growth Funds in the Nordics</x:v>
      </x:c>
      <x:c r="D545" s="5" t="n">
        <x:v>135</x:v>
      </x:c>
      <x:c r="E545" s="5" t="n">
        <x:v>4</x:v>
      </x:c>
      <x:c r="F545" s="5" t="str">
        <x:v>Investment Focus</x:v>
      </x:c>
      <x:c r="G545" s="5" t="n">
        <x:v>1</x:v>
      </x:c>
      <x:c r="H545" s="5" t="n">
        <x:v>1</x:v>
      </x:c>
      <x:c r="I545" s="5" t="str">
        <x:v>Precision Medicine, BioTech, MedTech</x:v>
      </x:c>
      <x:c r="J545" s="5" t="str">
        <x:v>SOURCE QUOTE; unvalidated / superseded assessments</x:v>
      </x:c>
      <x:c r="L545" s="31" t="str">
        <x:v>D02, Markdown line 135; http://nas-1.tail55d152.ts.net:4100/static/2S_NORDIC_MARKET_PENETRATION_AND_ECOSYSTEM_ACCELERATOR.html</x:v>
      </x:c>
    </x:row>
    <x:row r="546" ht="42" customHeight="1">
      <x:c r="A546" s="5" t="str">
        <x:v>D02</x:v>
      </x:c>
      <x:c r="B546" s="5" t="str">
        <x:v>D02-T02</x:v>
      </x:c>
      <x:c r="C546" s="5" t="str">
        <x:v>Target VC &amp; Growth Funds in the Nordics</x:v>
      </x:c>
      <x:c r="D546" s="5" t="n">
        <x:v>135</x:v>
      </x:c>
      <x:c r="E546" s="5" t="n">
        <x:v>5</x:v>
      </x:c>
      <x:c r="F546" s="5" t="str">
        <x:v>Pitch Proposition</x:v>
      </x:c>
      <x:c r="G546" s="5" t="n">
        <x:v>1</x:v>
      </x:c>
      <x:c r="H546" s="5" t="n">
        <x:v>1</x:v>
      </x:c>
      <x:c r="I546" s="5" t="str">
        <x:v>"Operating Partner for Regulatory &amp; Commercial Readiness"</x:v>
      </x:c>
      <x:c r="J546" s="5" t="str">
        <x:v>SOURCE QUOTE; unvalidated / superseded assessments</x:v>
      </x:c>
      <x:c r="L546" s="31" t="str">
        <x:v>D02, Markdown line 135; http://nas-1.tail55d152.ts.net:4100/static/2S_NORDIC_MARKET_PENETRATION_AND_ECOSYSTEM_ACCELERATOR.html</x:v>
      </x:c>
    </x:row>
    <x:row r="547" ht="42" customHeight="1">
      <x:c r="A547" s="5" t="str">
        <x:v>D02</x:v>
      </x:c>
      <x:c r="B547" s="5" t="str">
        <x:v>D02-T02</x:v>
      </x:c>
      <x:c r="C547" s="5" t="str">
        <x:v>Target VC &amp; Growth Funds in the Nordics</x:v>
      </x:c>
      <x:c r="D547" s="5" t="n">
        <x:v>136</x:v>
      </x:c>
      <x:c r="E547" s="5" t="n">
        <x:v>1</x:v>
      </x:c>
      <x:c r="F547" s="5" t="str">
        <x:v>Fund</x:v>
      </x:c>
      <x:c r="G547" s="5" t="n">
        <x:v>1</x:v>
      </x:c>
      <x:c r="H547" s="5" t="n">
        <x:v>1</x:v>
      </x:c>
      <x:c r="I547" s="5" t="str">
        <x:v>Industrifonden</x:v>
      </x:c>
      <x:c r="J547" s="5" t="str">
        <x:v>SOURCE QUOTE; unvalidated / superseded assessments</x:v>
      </x:c>
      <x:c r="L547" s="31" t="str">
        <x:v>D02, Markdown line 136; http://nas-1.tail55d152.ts.net:4100/static/2S_NORDIC_MARKET_PENETRATION_AND_ECOSYSTEM_ACCELERATOR.html</x:v>
      </x:c>
    </x:row>
    <x:row r="548" ht="42" customHeight="1">
      <x:c r="A548" s="5" t="str">
        <x:v>D02</x:v>
      </x:c>
      <x:c r="B548" s="5" t="str">
        <x:v>D02-T02</x:v>
      </x:c>
      <x:c r="C548" s="5" t="str">
        <x:v>Target VC &amp; Growth Funds in the Nordics</x:v>
      </x:c>
      <x:c r="D548" s="5" t="n">
        <x:v>136</x:v>
      </x:c>
      <x:c r="E548" s="5" t="n">
        <x:v>2</x:v>
      </x:c>
      <x:c r="F548" s="5" t="str">
        <x:v>Headquarters</x:v>
      </x:c>
      <x:c r="G548" s="5" t="n">
        <x:v>1</x:v>
      </x:c>
      <x:c r="H548" s="5" t="n">
        <x:v>1</x:v>
      </x:c>
      <x:c r="I548" s="5" t="str">
        <x:v>Stockholm, Sweden</x:v>
      </x:c>
      <x:c r="J548" s="5" t="str">
        <x:v>SOURCE QUOTE; unvalidated / superseded assessments</x:v>
      </x:c>
      <x:c r="L548" s="31" t="str">
        <x:v>D02, Markdown line 136; http://nas-1.tail55d152.ts.net:4100/static/2S_NORDIC_MARKET_PENETRATION_AND_ECOSYSTEM_ACCELERATOR.html</x:v>
      </x:c>
    </x:row>
    <x:row r="549" ht="42" customHeight="1">
      <x:c r="A549" s="5" t="str">
        <x:v>D02</x:v>
      </x:c>
      <x:c r="B549" s="5" t="str">
        <x:v>D02-T02</x:v>
      </x:c>
      <x:c r="C549" s="5" t="str">
        <x:v>Target VC &amp; Growth Funds in the Nordics</x:v>
      </x:c>
      <x:c r="D549" s="5" t="n">
        <x:v>136</x:v>
      </x:c>
      <x:c r="E549" s="5" t="n">
        <x:v>3</x:v>
      </x:c>
      <x:c r="F549" s="5" t="str">
        <x:v>AUM / Stage</x:v>
      </x:c>
      <x:c r="G549" s="5" t="n">
        <x:v>1</x:v>
      </x:c>
      <x:c r="H549" s="5" t="n">
        <x:v>1</x:v>
      </x:c>
      <x:c r="I549" s="5" t="str">
        <x:v>&gt;€500M (Seed to Series B)</x:v>
      </x:c>
      <x:c r="J549" s="5" t="str">
        <x:v>SOURCE QUOTE; unvalidated / superseded assessments</x:v>
      </x:c>
      <x:c r="L549" s="31" t="str">
        <x:v>D02, Markdown line 136; http://nas-1.tail55d152.ts.net:4100/static/2S_NORDIC_MARKET_PENETRATION_AND_ECOSYSTEM_ACCELERATOR.html</x:v>
      </x:c>
    </x:row>
    <x:row r="550" ht="42" customHeight="1">
      <x:c r="A550" s="5" t="str">
        <x:v>D02</x:v>
      </x:c>
      <x:c r="B550" s="5" t="str">
        <x:v>D02-T02</x:v>
      </x:c>
      <x:c r="C550" s="5" t="str">
        <x:v>Target VC &amp; Growth Funds in the Nordics</x:v>
      </x:c>
      <x:c r="D550" s="5" t="n">
        <x:v>136</x:v>
      </x:c>
      <x:c r="E550" s="5" t="n">
        <x:v>4</x:v>
      </x:c>
      <x:c r="F550" s="5" t="str">
        <x:v>Investment Focus</x:v>
      </x:c>
      <x:c r="G550" s="5" t="n">
        <x:v>1</x:v>
      </x:c>
      <x:c r="H550" s="5" t="n">
        <x:v>1</x:v>
      </x:c>
      <x:c r="I550" s="5" t="str">
        <x:v>Life Science, DeepTech, Digital Health</x:v>
      </x:c>
      <x:c r="J550" s="5" t="str">
        <x:v>SOURCE QUOTE; unvalidated / superseded assessments</x:v>
      </x:c>
      <x:c r="L550" s="31" t="str">
        <x:v>D02, Markdown line 136; http://nas-1.tail55d152.ts.net:4100/static/2S_NORDIC_MARKET_PENETRATION_AND_ECOSYSTEM_ACCELERATOR.html</x:v>
      </x:c>
    </x:row>
    <x:row r="551" ht="42" customHeight="1">
      <x:c r="A551" s="5" t="str">
        <x:v>D02</x:v>
      </x:c>
      <x:c r="B551" s="5" t="str">
        <x:v>D02-T02</x:v>
      </x:c>
      <x:c r="C551" s="5" t="str">
        <x:v>Target VC &amp; Growth Funds in the Nordics</x:v>
      </x:c>
      <x:c r="D551" s="5" t="n">
        <x:v>136</x:v>
      </x:c>
      <x:c r="E551" s="5" t="n">
        <x:v>5</x:v>
      </x:c>
      <x:c r="F551" s="5" t="str">
        <x:v>Pitch Proposition</x:v>
      </x:c>
      <x:c r="G551" s="5" t="n">
        <x:v>1</x:v>
      </x:c>
      <x:c r="H551" s="5" t="n">
        <x:v>1</x:v>
      </x:c>
      <x:c r="I551" s="5" t="str">
        <x:v>"Pre-Series B Technical &amp; Regulatory Diligence Audits"</x:v>
      </x:c>
      <x:c r="J551" s="5" t="str">
        <x:v>SOURCE QUOTE; unvalidated / superseded assessments</x:v>
      </x:c>
      <x:c r="L551" s="31" t="str">
        <x:v>D02, Markdown line 136; http://nas-1.tail55d152.ts.net:4100/static/2S_NORDIC_MARKET_PENETRATION_AND_ECOSYSTEM_ACCELERATOR.html</x:v>
      </x:c>
    </x:row>
    <x:row r="552" ht="42" customHeight="1">
      <x:c r="A552" s="5" t="str">
        <x:v>D02</x:v>
      </x:c>
      <x:c r="B552" s="5" t="str">
        <x:v>D02-T02</x:v>
      </x:c>
      <x:c r="C552" s="5" t="str">
        <x:v>Target VC &amp; Growth Funds in the Nordics</x:v>
      </x:c>
      <x:c r="D552" s="5" t="n">
        <x:v>137</x:v>
      </x:c>
      <x:c r="E552" s="5" t="n">
        <x:v>1</x:v>
      </x:c>
      <x:c r="F552" s="5" t="str">
        <x:v>Fund</x:v>
      </x:c>
      <x:c r="G552" s="5" t="n">
        <x:v>1</x:v>
      </x:c>
      <x:c r="H552" s="5" t="n">
        <x:v>1</x:v>
      </x:c>
      <x:c r="I552" s="5" t="str">
        <x:v>Sunstone Life Science Ventures</x:v>
      </x:c>
      <x:c r="J552" s="5" t="str">
        <x:v>SOURCE QUOTE; unvalidated / superseded assessments</x:v>
      </x:c>
      <x:c r="L552" s="31" t="str">
        <x:v>D02, Markdown line 137; http://nas-1.tail55d152.ts.net:4100/static/2S_NORDIC_MARKET_PENETRATION_AND_ECOSYSTEM_ACCELERATOR.html</x:v>
      </x:c>
    </x:row>
    <x:row r="553" ht="42" customHeight="1">
      <x:c r="A553" s="5" t="str">
        <x:v>D02</x:v>
      </x:c>
      <x:c r="B553" s="5" t="str">
        <x:v>D02-T02</x:v>
      </x:c>
      <x:c r="C553" s="5" t="str">
        <x:v>Target VC &amp; Growth Funds in the Nordics</x:v>
      </x:c>
      <x:c r="D553" s="5" t="n">
        <x:v>137</x:v>
      </x:c>
      <x:c r="E553" s="5" t="n">
        <x:v>2</x:v>
      </x:c>
      <x:c r="F553" s="5" t="str">
        <x:v>Headquarters</x:v>
      </x:c>
      <x:c r="G553" s="5" t="n">
        <x:v>1</x:v>
      </x:c>
      <x:c r="H553" s="5" t="n">
        <x:v>1</x:v>
      </x:c>
      <x:c r="I553" s="5" t="str">
        <x:v>Copenhagen, Denmark</x:v>
      </x:c>
      <x:c r="J553" s="5" t="str">
        <x:v>SOURCE QUOTE; unvalidated / superseded assessments</x:v>
      </x:c>
      <x:c r="L553" s="31" t="str">
        <x:v>D02, Markdown line 137; http://nas-1.tail55d152.ts.net:4100/static/2S_NORDIC_MARKET_PENETRATION_AND_ECOSYSTEM_ACCELERATOR.html</x:v>
      </x:c>
    </x:row>
    <x:row r="554" ht="42" customHeight="1">
      <x:c r="A554" s="5" t="str">
        <x:v>D02</x:v>
      </x:c>
      <x:c r="B554" s="5" t="str">
        <x:v>D02-T02</x:v>
      </x:c>
      <x:c r="C554" s="5" t="str">
        <x:v>Target VC &amp; Growth Funds in the Nordics</x:v>
      </x:c>
      <x:c r="D554" s="5" t="n">
        <x:v>137</x:v>
      </x:c>
      <x:c r="E554" s="5" t="n">
        <x:v>3</x:v>
      </x:c>
      <x:c r="F554" s="5" t="str">
        <x:v>AUM / Stage</x:v>
      </x:c>
      <x:c r="G554" s="5" t="n">
        <x:v>1</x:v>
      </x:c>
      <x:c r="H554" s="5" t="n">
        <x:v>1</x:v>
      </x:c>
      <x:c r="I554" s="5" t="str">
        <x:v>&gt;€500M (Early Stage)</x:v>
      </x:c>
      <x:c r="J554" s="5" t="str">
        <x:v>SOURCE QUOTE; unvalidated / superseded assessments</x:v>
      </x:c>
      <x:c r="L554" s="31" t="str">
        <x:v>D02, Markdown line 137; http://nas-1.tail55d152.ts.net:4100/static/2S_NORDIC_MARKET_PENETRATION_AND_ECOSYSTEM_ACCELERATOR.html</x:v>
      </x:c>
    </x:row>
    <x:row r="555" ht="42" customHeight="1">
      <x:c r="A555" s="5" t="str">
        <x:v>D02</x:v>
      </x:c>
      <x:c r="B555" s="5" t="str">
        <x:v>D02-T02</x:v>
      </x:c>
      <x:c r="C555" s="5" t="str">
        <x:v>Target VC &amp; Growth Funds in the Nordics</x:v>
      </x:c>
      <x:c r="D555" s="5" t="n">
        <x:v>137</x:v>
      </x:c>
      <x:c r="E555" s="5" t="n">
        <x:v>4</x:v>
      </x:c>
      <x:c r="F555" s="5" t="str">
        <x:v>Investment Focus</x:v>
      </x:c>
      <x:c r="G555" s="5" t="n">
        <x:v>1</x:v>
      </x:c>
      <x:c r="H555" s="5" t="n">
        <x:v>1</x:v>
      </x:c>
      <x:c r="I555" s="5" t="str">
        <x:v>Therapeutics, BioTech, Diagnostics</x:v>
      </x:c>
      <x:c r="J555" s="5" t="str">
        <x:v>SOURCE QUOTE; unvalidated / superseded assessments</x:v>
      </x:c>
      <x:c r="L555" s="31" t="str">
        <x:v>D02, Markdown line 137; http://nas-1.tail55d152.ts.net:4100/static/2S_NORDIC_MARKET_PENETRATION_AND_ECOSYSTEM_ACCELERATOR.html</x:v>
      </x:c>
    </x:row>
    <x:row r="556" ht="42" customHeight="1">
      <x:c r="A556" s="5" t="str">
        <x:v>D02</x:v>
      </x:c>
      <x:c r="B556" s="5" t="str">
        <x:v>D02-T02</x:v>
      </x:c>
      <x:c r="C556" s="5" t="str">
        <x:v>Target VC &amp; Growth Funds in the Nordics</x:v>
      </x:c>
      <x:c r="D556" s="5" t="n">
        <x:v>137</x:v>
      </x:c>
      <x:c r="E556" s="5" t="n">
        <x:v>5</x:v>
      </x:c>
      <x:c r="F556" s="5" t="str">
        <x:v>Pitch Proposition</x:v>
      </x:c>
      <x:c r="G556" s="5" t="n">
        <x:v>1</x:v>
      </x:c>
      <x:c r="H556" s="5" t="n">
        <x:v>1</x:v>
      </x:c>
      <x:c r="I556" s="5" t="str">
        <x:v>"Clinical Trial Design &amp; HCare360 NLP Patient Recruitment Audits"</x:v>
      </x:c>
      <x:c r="J556" s="5" t="str">
        <x:v>SOURCE QUOTE; unvalidated / superseded assessments</x:v>
      </x:c>
      <x:c r="L556" s="31" t="str">
        <x:v>D02, Markdown line 137; http://nas-1.tail55d152.ts.net:4100/static/2S_NORDIC_MARKET_PENETRATION_AND_ECOSYSTEM_ACCELERATOR.html</x:v>
      </x:c>
    </x:row>
    <x:row r="557" ht="42" customHeight="1">
      <x:c r="A557" s="5" t="str">
        <x:v>D02</x:v>
      </x:c>
      <x:c r="B557" s="5" t="str">
        <x:v>D02-T02</x:v>
      </x:c>
      <x:c r="C557" s="5" t="str">
        <x:v>Target VC &amp; Growth Funds in the Nordics</x:v>
      </x:c>
      <x:c r="D557" s="5" t="n">
        <x:v>138</x:v>
      </x:c>
      <x:c r="E557" s="5" t="n">
        <x:v>1</x:v>
      </x:c>
      <x:c r="F557" s="5" t="str">
        <x:v>Fund</x:v>
      </x:c>
      <x:c r="G557" s="5" t="n">
        <x:v>1</x:v>
      </x:c>
      <x:c r="H557" s="5" t="n">
        <x:v>1</x:v>
      </x:c>
      <x:c r="I557" s="5" t="str">
        <x:v>Novo Holdings / Seeds</x:v>
      </x:c>
      <x:c r="J557" s="5" t="str">
        <x:v>SOURCE QUOTE; unvalidated / superseded assessments</x:v>
      </x:c>
      <x:c r="L557" s="31" t="str">
        <x:v>D02, Markdown line 138; http://nas-1.tail55d152.ts.net:4100/static/2S_NORDIC_MARKET_PENETRATION_AND_ECOSYSTEM_ACCELERATOR.html</x:v>
      </x:c>
    </x:row>
    <x:row r="558" ht="42" customHeight="1">
      <x:c r="A558" s="5" t="str">
        <x:v>D02</x:v>
      </x:c>
      <x:c r="B558" s="5" t="str">
        <x:v>D02-T02</x:v>
      </x:c>
      <x:c r="C558" s="5" t="str">
        <x:v>Target VC &amp; Growth Funds in the Nordics</x:v>
      </x:c>
      <x:c r="D558" s="5" t="n">
        <x:v>138</x:v>
      </x:c>
      <x:c r="E558" s="5" t="n">
        <x:v>2</x:v>
      </x:c>
      <x:c r="F558" s="5" t="str">
        <x:v>Headquarters</x:v>
      </x:c>
      <x:c r="G558" s="5" t="n">
        <x:v>1</x:v>
      </x:c>
      <x:c r="H558" s="5" t="n">
        <x:v>1</x:v>
      </x:c>
      <x:c r="I558" s="5" t="str">
        <x:v>Copenhagen, Denmark</x:v>
      </x:c>
      <x:c r="J558" s="5" t="str">
        <x:v>SOURCE QUOTE; unvalidated / superseded assessments</x:v>
      </x:c>
      <x:c r="L558" s="31" t="str">
        <x:v>D02, Markdown line 138; http://nas-1.tail55d152.ts.net:4100/static/2S_NORDIC_MARKET_PENETRATION_AND_ECOSYSTEM_ACCELERATOR.html</x:v>
      </x:c>
    </x:row>
    <x:row r="559" ht="42" customHeight="1">
      <x:c r="A559" s="5" t="str">
        <x:v>D02</x:v>
      </x:c>
      <x:c r="B559" s="5" t="str">
        <x:v>D02-T02</x:v>
      </x:c>
      <x:c r="C559" s="5" t="str">
        <x:v>Target VC &amp; Growth Funds in the Nordics</x:v>
      </x:c>
      <x:c r="D559" s="5" t="n">
        <x:v>138</x:v>
      </x:c>
      <x:c r="E559" s="5" t="n">
        <x:v>3</x:v>
      </x:c>
      <x:c r="F559" s="5" t="str">
        <x:v>AUM / Stage</x:v>
      </x:c>
      <x:c r="G559" s="5" t="n">
        <x:v>1</x:v>
      </x:c>
      <x:c r="H559" s="5" t="n">
        <x:v>1</x:v>
      </x:c>
      <x:c r="I559" s="5" t="str">
        <x:v>&gt;€100B (Seed to Growth)</x:v>
      </x:c>
      <x:c r="J559" s="5" t="str">
        <x:v>SOURCE QUOTE; unvalidated / superseded assessments</x:v>
      </x:c>
      <x:c r="L559" s="31" t="str">
        <x:v>D02, Markdown line 138; http://nas-1.tail55d152.ts.net:4100/static/2S_NORDIC_MARKET_PENETRATION_AND_ECOSYSTEM_ACCELERATOR.html</x:v>
      </x:c>
    </x:row>
    <x:row r="560" ht="42" customHeight="1">
      <x:c r="A560" s="5" t="str">
        <x:v>D02</x:v>
      </x:c>
      <x:c r="B560" s="5" t="str">
        <x:v>D02-T02</x:v>
      </x:c>
      <x:c r="C560" s="5" t="str">
        <x:v>Target VC &amp; Growth Funds in the Nordics</x:v>
      </x:c>
      <x:c r="D560" s="5" t="n">
        <x:v>138</x:v>
      </x:c>
      <x:c r="E560" s="5" t="n">
        <x:v>4</x:v>
      </x:c>
      <x:c r="F560" s="5" t="str">
        <x:v>Investment Focus</x:v>
      </x:c>
      <x:c r="G560" s="5" t="n">
        <x:v>1</x:v>
      </x:c>
      <x:c r="H560" s="5" t="n">
        <x:v>1</x:v>
      </x:c>
      <x:c r="I560" s="5" t="str">
        <x:v>Broad Life Science, BioTech, Devices</x:v>
      </x:c>
      <x:c r="J560" s="5" t="str">
        <x:v>SOURCE QUOTE; unvalidated / superseded assessments</x:v>
      </x:c>
      <x:c r="L560" s="31" t="str">
        <x:v>D02, Markdown line 138; http://nas-1.tail55d152.ts.net:4100/static/2S_NORDIC_MARKET_PENETRATION_AND_ECOSYSTEM_ACCELERATOR.html</x:v>
      </x:c>
    </x:row>
    <x:row r="561" ht="42" customHeight="1">
      <x:c r="A561" s="5" t="str">
        <x:v>D02</x:v>
      </x:c>
      <x:c r="B561" s="5" t="str">
        <x:v>D02-T02</x:v>
      </x:c>
      <x:c r="C561" s="5" t="str">
        <x:v>Target VC &amp; Growth Funds in the Nordics</x:v>
      </x:c>
      <x:c r="D561" s="5" t="n">
        <x:v>138</x:v>
      </x:c>
      <x:c r="E561" s="5" t="n">
        <x:v>5</x:v>
      </x:c>
      <x:c r="F561" s="5" t="str">
        <x:v>Pitch Proposition</x:v>
      </x:c>
      <x:c r="G561" s="5" t="n">
        <x:v>1</x:v>
      </x:c>
      <x:c r="H561" s="5" t="n">
        <x:v>1</x:v>
      </x:c>
      <x:c r="I561" s="5" t="str">
        <x:v>"Cross-Border Nordic-to-US Regulatory Bridge"</x:v>
      </x:c>
      <x:c r="J561" s="5" t="str">
        <x:v>SOURCE QUOTE; unvalidated / superseded assessments</x:v>
      </x:c>
      <x:c r="L561" s="31" t="str">
        <x:v>D02, Markdown line 138; http://nas-1.tail55d152.ts.net:4100/static/2S_NORDIC_MARKET_PENETRATION_AND_ECOSYSTEM_ACCELERATOR.html</x:v>
      </x:c>
    </x:row>
    <x:row r="562" ht="42" customHeight="1">
      <x:c r="A562" s="5" t="str">
        <x:v>D02</x:v>
      </x:c>
      <x:c r="B562" s="5" t="str">
        <x:v>D02-T02</x:v>
      </x:c>
      <x:c r="C562" s="5" t="str">
        <x:v>Target VC &amp; Growth Funds in the Nordics</x:v>
      </x:c>
      <x:c r="D562" s="5" t="n">
        <x:v>139</x:v>
      </x:c>
      <x:c r="E562" s="5" t="n">
        <x:v>1</x:v>
      </x:c>
      <x:c r="F562" s="5" t="str">
        <x:v>Fund</x:v>
      </x:c>
      <x:c r="G562" s="5" t="n">
        <x:v>1</x:v>
      </x:c>
      <x:c r="H562" s="5" t="n">
        <x:v>1</x:v>
      </x:c>
      <x:c r="I562" s="5" t="str">
        <x:v>Sound Bioventures</x:v>
      </x:c>
      <x:c r="J562" s="5" t="str">
        <x:v>SOURCE QUOTE; unvalidated / superseded assessments</x:v>
      </x:c>
      <x:c r="L562" s="31" t="str">
        <x:v>D02, Markdown line 139; http://nas-1.tail55d152.ts.net:4100/static/2S_NORDIC_MARKET_PENETRATION_AND_ECOSYSTEM_ACCELERATOR.html</x:v>
      </x:c>
    </x:row>
    <x:row r="563" ht="42" customHeight="1">
      <x:c r="A563" s="5" t="str">
        <x:v>D02</x:v>
      </x:c>
      <x:c r="B563" s="5" t="str">
        <x:v>D02-T02</x:v>
      </x:c>
      <x:c r="C563" s="5" t="str">
        <x:v>Target VC &amp; Growth Funds in the Nordics</x:v>
      </x:c>
      <x:c r="D563" s="5" t="n">
        <x:v>139</x:v>
      </x:c>
      <x:c r="E563" s="5" t="n">
        <x:v>2</x:v>
      </x:c>
      <x:c r="F563" s="5" t="str">
        <x:v>Headquarters</x:v>
      </x:c>
      <x:c r="G563" s="5" t="n">
        <x:v>1</x:v>
      </x:c>
      <x:c r="H563" s="5" t="n">
        <x:v>1</x:v>
      </x:c>
      <x:c r="I563" s="5" t="str">
        <x:v>Copenhagen / Stockholm</x:v>
      </x:c>
      <x:c r="J563" s="5" t="str">
        <x:v>SOURCE QUOTE; unvalidated / superseded assessments</x:v>
      </x:c>
      <x:c r="L563" s="31" t="str">
        <x:v>D02, Markdown line 139; http://nas-1.tail55d152.ts.net:4100/static/2S_NORDIC_MARKET_PENETRATION_AND_ECOSYSTEM_ACCELERATOR.html</x:v>
      </x:c>
    </x:row>
    <x:row r="564" ht="42" customHeight="1">
      <x:c r="A564" s="5" t="str">
        <x:v>D02</x:v>
      </x:c>
      <x:c r="B564" s="5" t="str">
        <x:v>D02-T02</x:v>
      </x:c>
      <x:c r="C564" s="5" t="str">
        <x:v>Target VC &amp; Growth Funds in the Nordics</x:v>
      </x:c>
      <x:c r="D564" s="5" t="n">
        <x:v>139</x:v>
      </x:c>
      <x:c r="E564" s="5" t="n">
        <x:v>3</x:v>
      </x:c>
      <x:c r="F564" s="5" t="str">
        <x:v>AUM / Stage</x:v>
      </x:c>
      <x:c r="G564" s="5" t="n">
        <x:v>1</x:v>
      </x:c>
      <x:c r="H564" s="5" t="n">
        <x:v>1</x:v>
      </x:c>
      <x:c r="I564" s="5" t="str">
        <x:v>&gt;€120M (Clinical Stage)</x:v>
      </x:c>
      <x:c r="J564" s="5" t="str">
        <x:v>SOURCE QUOTE; unvalidated / superseded assessments</x:v>
      </x:c>
      <x:c r="L564" s="31" t="str">
        <x:v>D02, Markdown line 139; http://nas-1.tail55d152.ts.net:4100/static/2S_NORDIC_MARKET_PENETRATION_AND_ECOSYSTEM_ACCELERATOR.html</x:v>
      </x:c>
    </x:row>
    <x:row r="565" ht="42" customHeight="1">
      <x:c r="A565" s="5" t="str">
        <x:v>D02</x:v>
      </x:c>
      <x:c r="B565" s="5" t="str">
        <x:v>D02-T02</x:v>
      </x:c>
      <x:c r="C565" s="5" t="str">
        <x:v>Target VC &amp; Growth Funds in the Nordics</x:v>
      </x:c>
      <x:c r="D565" s="5" t="n">
        <x:v>139</x:v>
      </x:c>
      <x:c r="E565" s="5" t="n">
        <x:v>4</x:v>
      </x:c>
      <x:c r="F565" s="5" t="str">
        <x:v>Investment Focus</x:v>
      </x:c>
      <x:c r="G565" s="5" t="n">
        <x:v>1</x:v>
      </x:c>
      <x:c r="H565" s="5" t="n">
        <x:v>1</x:v>
      </x:c>
      <x:c r="I565" s="5" t="str">
        <x:v>Specialized Therapeutics &amp; MedTech</x:v>
      </x:c>
      <x:c r="J565" s="5" t="str">
        <x:v>SOURCE QUOTE; unvalidated / superseded assessments</x:v>
      </x:c>
      <x:c r="L565" s="31" t="str">
        <x:v>D02, Markdown line 139; http://nas-1.tail55d152.ts.net:4100/static/2S_NORDIC_MARKET_PENETRATION_AND_ECOSYSTEM_ACCELERATOR.html</x:v>
      </x:c>
    </x:row>
    <x:row r="566" ht="42" customHeight="1">
      <x:c r="A566" s="5" t="str">
        <x:v>D02</x:v>
      </x:c>
      <x:c r="B566" s="5" t="str">
        <x:v>D02-T02</x:v>
      </x:c>
      <x:c r="C566" s="5" t="str">
        <x:v>Target VC &amp; Growth Funds in the Nordics</x:v>
      </x:c>
      <x:c r="D566" s="5" t="n">
        <x:v>139</x:v>
      </x:c>
      <x:c r="E566" s="5" t="n">
        <x:v>5</x:v>
      </x:c>
      <x:c r="F566" s="5" t="str">
        <x:v>Pitch Proposition</x:v>
      </x:c>
      <x:c r="G566" s="5" t="n">
        <x:v>1</x:v>
      </x:c>
      <x:c r="H566" s="5" t="n">
        <x:v>1</x:v>
      </x:c>
      <x:c r="I566" s="5" t="str">
        <x:v>"Clinical Protocol Acceleration &amp; Endpoint Optimization"</x:v>
      </x:c>
      <x:c r="J566" s="5" t="str">
        <x:v>SOURCE QUOTE; unvalidated / superseded assessments</x:v>
      </x:c>
      <x:c r="L566" s="31" t="str">
        <x:v>D02, Markdown line 139; http://nas-1.tail55d152.ts.net:4100/static/2S_NORDIC_MARKET_PENETRATION_AND_ECOSYSTEM_ACCELERATOR.html</x:v>
      </x:c>
    </x:row>
    <x:row r="567" ht="42" customHeight="1">
      <x:c r="A567" s="5" t="str">
        <x:v>D02</x:v>
      </x:c>
      <x:c r="B567" s="5" t="str">
        <x:v>D02-T03</x:v>
      </x:c>
      <x:c r="C567" s="5" t="str">
        <x:v>3. Nordic Life Science Co-Opetition Matrix</x:v>
      </x:c>
      <x:c r="D567" s="5" t="n">
        <x:v>153</x:v>
      </x:c>
      <x:c r="E567" s="5" t="n">
        <x:v>1</x:v>
      </x:c>
      <x:c r="F567" s="5" t="str">
        <x:v>Peer Consultancy</x:v>
      </x:c>
      <x:c r="G567" s="5" t="n">
        <x:v>1</x:v>
      </x:c>
      <x:c r="H567" s="5" t="n">
        <x:v>1</x:v>
      </x:c>
      <x:c r="I567" s="5" t="str">
        <x:v>Plantvision AB</x:v>
      </x:c>
      <x:c r="J567" s="5" t="str">
        <x:v>SOURCE QUOTE; unvalidated / superseded assessments</x:v>
      </x:c>
      <x:c r="L567" s="31" t="str">
        <x:v>D02, Markdown line 153; http://nas-1.tail55d152.ts.net:4100/static/2S_NORDIC_MARKET_PENETRATION_AND_ECOSYSTEM_ACCELERATOR.html</x:v>
      </x:c>
    </x:row>
    <x:row r="568" ht="42" customHeight="1">
      <x:c r="A568" s="5" t="str">
        <x:v>D02</x:v>
      </x:c>
      <x:c r="B568" s="5" t="str">
        <x:v>D02-T03</x:v>
      </x:c>
      <x:c r="C568" s="5" t="str">
        <x:v>3. Nordic Life Science Co-Opetition Matrix</x:v>
      </x:c>
      <x:c r="D568" s="5" t="n">
        <x:v>153</x:v>
      </x:c>
      <x:c r="E568" s="5" t="n">
        <x:v>2</x:v>
      </x:c>
      <x:c r="F568" s="5" t="str">
        <x:v>Headcount &amp; Primary Footprint</x:v>
      </x:c>
      <x:c r="G568" s="5" t="n">
        <x:v>1</x:v>
      </x:c>
      <x:c r="H568" s="5" t="n">
        <x:v>1</x:v>
      </x:c>
      <x:c r="I568" s="5" t="str">
        <x:v>~200 consultants (Stockholm, Södertälje, Kista, Uppsala)</x:v>
      </x:c>
      <x:c r="J568" s="5" t="str">
        <x:v>SOURCE QUOTE; unvalidated / superseded assessments</x:v>
      </x:c>
      <x:c r="L568" s="31" t="str">
        <x:v>D02, Markdown line 153; http://nas-1.tail55d152.ts.net:4100/static/2S_NORDIC_MARKET_PENETRATION_AND_ECOSYSTEM_ACCELERATOR.html</x:v>
      </x:c>
    </x:row>
    <x:row r="569" ht="42" customHeight="1">
      <x:c r="A569" s="5" t="str">
        <x:v>D02</x:v>
      </x:c>
      <x:c r="B569" s="5" t="str">
        <x:v>D02-T03</x:v>
      </x:c>
      <x:c r="C569" s="5" t="str">
        <x:v>3. Nordic Life Science Co-Opetition Matrix</x:v>
      </x:c>
      <x:c r="D569" s="5" t="n">
        <x:v>153</x:v>
      </x:c>
      <x:c r="E569" s="5" t="n">
        <x:v>3</x:v>
      </x:c>
      <x:c r="F569" s="5" t="str">
        <x:v>Core Strengths</x:v>
      </x:c>
      <x:c r="G569" s="5" t="n">
        <x:v>1</x:v>
      </x:c>
      <x:c r="H569" s="5" t="n">
        <x:v>1</x:v>
      </x:c>
      <x:c r="I569" s="5" t="str">
        <x:v>GxP compliance, CSV, validation, manufacturing QA</x:v>
      </x:c>
      <x:c r="J569" s="5" t="str">
        <x:v>SOURCE QUOTE; unvalidated / superseded assessments</x:v>
      </x:c>
      <x:c r="L569" s="31" t="str">
        <x:v>D02, Markdown line 153; http://nas-1.tail55d152.ts.net:4100/static/2S_NORDIC_MARKET_PENETRATION_AND_ECOSYSTEM_ACCELERATOR.html</x:v>
      </x:c>
    </x:row>
    <x:row r="570" ht="42" customHeight="1">
      <x:c r="A570" s="5" t="str">
        <x:v>D02</x:v>
      </x:c>
      <x:c r="B570" s="5" t="str">
        <x:v>D02-T03</x:v>
      </x:c>
      <x:c r="C570" s="5" t="str">
        <x:v>3. Nordic Life Science Co-Opetition Matrix</x:v>
      </x:c>
      <x:c r="D570" s="5" t="n">
        <x:v>153</x:v>
      </x:c>
      <x:c r="E570" s="5" t="n">
        <x:v>4</x:v>
      </x:c>
      <x:c r="F570" s="5" t="str">
        <x:v>2S Strategic Co-Opetition / Subcontract Angle</x:v>
      </x:c>
      <x:c r="G570" s="5" t="n">
        <x:v>1</x:v>
      </x:c>
      <x:c r="H570" s="5" t="n">
        <x:v>1</x:v>
      </x:c>
      <x:c r="I570" s="5" t="str">
        <x:v>Offer joint AI compliance: 2S brings EU AI Act algorithmic verification; Plantvision brings on-site cleanroom CSV.</x:v>
      </x:c>
      <x:c r="J570" s="5" t="str">
        <x:v>SOURCE QUOTE; unvalidated / superseded assessments</x:v>
      </x:c>
      <x:c r="L570" s="31" t="str">
        <x:v>D02, Markdown line 153; http://nas-1.tail55d152.ts.net:4100/static/2S_NORDIC_MARKET_PENETRATION_AND_ECOSYSTEM_ACCELERATOR.html</x:v>
      </x:c>
    </x:row>
    <x:row r="571" ht="42" customHeight="1">
      <x:c r="A571" s="5" t="str">
        <x:v>D02</x:v>
      </x:c>
      <x:c r="B571" s="5" t="str">
        <x:v>D02-T03</x:v>
      </x:c>
      <x:c r="C571" s="5" t="str">
        <x:v>3. Nordic Life Science Co-Opetition Matrix</x:v>
      </x:c>
      <x:c r="D571" s="5" t="n">
        <x:v>154</x:v>
      </x:c>
      <x:c r="E571" s="5" t="n">
        <x:v>1</x:v>
      </x:c>
      <x:c r="F571" s="5" t="str">
        <x:v>Peer Consultancy</x:v>
      </x:c>
      <x:c r="G571" s="5" t="n">
        <x:v>1</x:v>
      </x:c>
      <x:c r="H571" s="5" t="n">
        <x:v>1</x:v>
      </x:c>
      <x:c r="I571" s="5" t="str">
        <x:v>Knightec Group</x:v>
      </x:c>
      <x:c r="J571" s="5" t="str">
        <x:v>SOURCE QUOTE; unvalidated / superseded assessments</x:v>
      </x:c>
      <x:c r="L571" s="31" t="str">
        <x:v>D02, Markdown line 154; http://nas-1.tail55d152.ts.net:4100/static/2S_NORDIC_MARKET_PENETRATION_AND_ECOSYSTEM_ACCELERATOR.html</x:v>
      </x:c>
    </x:row>
    <x:row r="572" ht="42" customHeight="1">
      <x:c r="A572" s="5" t="str">
        <x:v>D02</x:v>
      </x:c>
      <x:c r="B572" s="5" t="str">
        <x:v>D02-T03</x:v>
      </x:c>
      <x:c r="C572" s="5" t="str">
        <x:v>3. Nordic Life Science Co-Opetition Matrix</x:v>
      </x:c>
      <x:c r="D572" s="5" t="n">
        <x:v>154</x:v>
      </x:c>
      <x:c r="E572" s="5" t="n">
        <x:v>2</x:v>
      </x:c>
      <x:c r="F572" s="5" t="str">
        <x:v>Headcount &amp; Primary Footprint</x:v>
      </x:c>
      <x:c r="G572" s="5" t="n">
        <x:v>1</x:v>
      </x:c>
      <x:c r="H572" s="5" t="n">
        <x:v>1</x:v>
      </x:c>
      <x:c r="I572" s="5" t="str">
        <x:v>~800 consultants (Stockholm, Gothenburg, Lund, Umeå)</x:v>
      </x:c>
      <x:c r="J572" s="5" t="str">
        <x:v>SOURCE QUOTE; unvalidated / superseded assessments</x:v>
      </x:c>
      <x:c r="L572" s="31" t="str">
        <x:v>D02, Markdown line 154; http://nas-1.tail55d152.ts.net:4100/static/2S_NORDIC_MARKET_PENETRATION_AND_ECOSYSTEM_ACCELERATOR.html</x:v>
      </x:c>
    </x:row>
    <x:row r="573" ht="42" customHeight="1">
      <x:c r="A573" s="5" t="str">
        <x:v>D02</x:v>
      </x:c>
      <x:c r="B573" s="5" t="str">
        <x:v>D02-T03</x:v>
      </x:c>
      <x:c r="C573" s="5" t="str">
        <x:v>3. Nordic Life Science Co-Opetition Matrix</x:v>
      </x:c>
      <x:c r="D573" s="5" t="n">
        <x:v>154</x:v>
      </x:c>
      <x:c r="E573" s="5" t="n">
        <x:v>3</x:v>
      </x:c>
      <x:c r="F573" s="5" t="str">
        <x:v>Core Strengths</x:v>
      </x:c>
      <x:c r="G573" s="5" t="n">
        <x:v>1</x:v>
      </x:c>
      <x:c r="H573" s="5" t="n">
        <x:v>1</x:v>
      </x:c>
      <x:c r="I573" s="5" t="str">
        <x:v>Mechanical design, embedded electronics, systems engineering</x:v>
      </x:c>
      <x:c r="J573" s="5" t="str">
        <x:v>SOURCE QUOTE; unvalidated / superseded assessments</x:v>
      </x:c>
      <x:c r="L573" s="31" t="str">
        <x:v>D02, Markdown line 154; http://nas-1.tail55d152.ts.net:4100/static/2S_NORDIC_MARKET_PENETRATION_AND_ECOSYSTEM_ACCELERATOR.html</x:v>
      </x:c>
    </x:row>
    <x:row r="574" ht="42" customHeight="1">
      <x:c r="A574" s="5" t="str">
        <x:v>D02</x:v>
      </x:c>
      <x:c r="B574" s="5" t="str">
        <x:v>D02-T03</x:v>
      </x:c>
      <x:c r="C574" s="5" t="str">
        <x:v>3. Nordic Life Science Co-Opetition Matrix</x:v>
      </x:c>
      <x:c r="D574" s="5" t="n">
        <x:v>154</x:v>
      </x:c>
      <x:c r="E574" s="5" t="n">
        <x:v>4</x:v>
      </x:c>
      <x:c r="F574" s="5" t="str">
        <x:v>2S Strategic Co-Opetition / Subcontract Angle</x:v>
      </x:c>
      <x:c r="G574" s="5" t="n">
        <x:v>1</x:v>
      </x:c>
      <x:c r="H574" s="5" t="n">
        <x:v>1</x:v>
      </x:c>
      <x:c r="I574" s="5" t="str">
        <x:v>Subcontract 2S for SaMD IEC 62304 architecture and complex Clinical Evaluation Reports (CER).</x:v>
      </x:c>
      <x:c r="J574" s="5" t="str">
        <x:v>SOURCE QUOTE; unvalidated / superseded assessments</x:v>
      </x:c>
      <x:c r="L574" s="31" t="str">
        <x:v>D02, Markdown line 154; http://nas-1.tail55d152.ts.net:4100/static/2S_NORDIC_MARKET_PENETRATION_AND_ECOSYSTEM_ACCELERATOR.html</x:v>
      </x:c>
    </x:row>
    <x:row r="575" ht="42" customHeight="1">
      <x:c r="A575" s="5" t="str">
        <x:v>D02</x:v>
      </x:c>
      <x:c r="B575" s="5" t="str">
        <x:v>D02-T03</x:v>
      </x:c>
      <x:c r="C575" s="5" t="str">
        <x:v>3. Nordic Life Science Co-Opetition Matrix</x:v>
      </x:c>
      <x:c r="D575" s="5" t="n">
        <x:v>155</x:v>
      </x:c>
      <x:c r="E575" s="5" t="n">
        <x:v>1</x:v>
      </x:c>
      <x:c r="F575" s="5" t="str">
        <x:v>Peer Consultancy</x:v>
      </x:c>
      <x:c r="G575" s="5" t="n">
        <x:v>1</x:v>
      </x:c>
      <x:c r="H575" s="5" t="n">
        <x:v>1</x:v>
      </x:c>
      <x:c r="I575" s="5" t="str">
        <x:v>Qadvis AB</x:v>
      </x:c>
      <x:c r="J575" s="5" t="str">
        <x:v>SOURCE QUOTE; unvalidated / superseded assessments</x:v>
      </x:c>
      <x:c r="L575" s="31" t="str">
        <x:v>D02, Markdown line 155; http://nas-1.tail55d152.ts.net:4100/static/2S_NORDIC_MARKET_PENETRATION_AND_ECOSYSTEM_ACCELERATOR.html</x:v>
      </x:c>
    </x:row>
    <x:row r="576" ht="42" customHeight="1">
      <x:c r="A576" s="5" t="str">
        <x:v>D02</x:v>
      </x:c>
      <x:c r="B576" s="5" t="str">
        <x:v>D02-T03</x:v>
      </x:c>
      <x:c r="C576" s="5" t="str">
        <x:v>3. Nordic Life Science Co-Opetition Matrix</x:v>
      </x:c>
      <x:c r="D576" s="5" t="n">
        <x:v>155</x:v>
      </x:c>
      <x:c r="E576" s="5" t="n">
        <x:v>2</x:v>
      </x:c>
      <x:c r="F576" s="5" t="str">
        <x:v>Headcount &amp; Primary Footprint</x:v>
      </x:c>
      <x:c r="G576" s="5" t="n">
        <x:v>1</x:v>
      </x:c>
      <x:c r="H576" s="5" t="n">
        <x:v>1</x:v>
      </x:c>
      <x:c r="I576" s="5" t="str">
        <x:v>~35 consultants (Stockholm, Lund)</x:v>
      </x:c>
      <x:c r="J576" s="5" t="str">
        <x:v>SOURCE QUOTE; unvalidated / superseded assessments</x:v>
      </x:c>
      <x:c r="L576" s="31" t="str">
        <x:v>D02, Markdown line 155; http://nas-1.tail55d152.ts.net:4100/static/2S_NORDIC_MARKET_PENETRATION_AND_ECOSYSTEM_ACCELERATOR.html</x:v>
      </x:c>
    </x:row>
    <x:row r="577" ht="42" customHeight="1">
      <x:c r="A577" s="5" t="str">
        <x:v>D02</x:v>
      </x:c>
      <x:c r="B577" s="5" t="str">
        <x:v>D02-T03</x:v>
      </x:c>
      <x:c r="C577" s="5" t="str">
        <x:v>3. Nordic Life Science Co-Opetition Matrix</x:v>
      </x:c>
      <x:c r="D577" s="5" t="n">
        <x:v>155</x:v>
      </x:c>
      <x:c r="E577" s="5" t="n">
        <x:v>3</x:v>
      </x:c>
      <x:c r="F577" s="5" t="str">
        <x:v>Core Strengths</x:v>
      </x:c>
      <x:c r="G577" s="5" t="n">
        <x:v>1</x:v>
      </x:c>
      <x:c r="H577" s="5" t="n">
        <x:v>1</x:v>
      </x:c>
      <x:c r="I577" s="5" t="str">
        <x:v>Pure-play MDR/IVDR regulatory advisory, quality management</x:v>
      </x:c>
      <x:c r="J577" s="5" t="str">
        <x:v>SOURCE QUOTE; unvalidated / superseded assessments</x:v>
      </x:c>
      <x:c r="L577" s="31" t="str">
        <x:v>D02, Markdown line 155; http://nas-1.tail55d152.ts.net:4100/static/2S_NORDIC_MARKET_PENETRATION_AND_ECOSYSTEM_ACCELERATOR.html</x:v>
      </x:c>
    </x:row>
    <x:row r="578" ht="42" customHeight="1">
      <x:c r="A578" s="5" t="str">
        <x:v>D02</x:v>
      </x:c>
      <x:c r="B578" s="5" t="str">
        <x:v>D02-T03</x:v>
      </x:c>
      <x:c r="C578" s="5" t="str">
        <x:v>3. Nordic Life Science Co-Opetition Matrix</x:v>
      </x:c>
      <x:c r="D578" s="5" t="n">
        <x:v>155</x:v>
      </x:c>
      <x:c r="E578" s="5" t="n">
        <x:v>4</x:v>
      </x:c>
      <x:c r="F578" s="5" t="str">
        <x:v>2S Strategic Co-Opetition / Subcontract Angle</x:v>
      </x:c>
      <x:c r="G578" s="5" t="n">
        <x:v>1</x:v>
      </x:c>
      <x:c r="H578" s="5" t="n">
        <x:v>1</x:v>
      </x:c>
      <x:c r="I578" s="5" t="str">
        <x:v>White-label Numantra's HCare360 NLP platform to accelerate Qadvis's manual PMCF literature reviews.</x:v>
      </x:c>
      <x:c r="J578" s="5" t="str">
        <x:v>SOURCE QUOTE; unvalidated / superseded assessments</x:v>
      </x:c>
      <x:c r="L578" s="31" t="str">
        <x:v>D02, Markdown line 155; http://nas-1.tail55d152.ts.net:4100/static/2S_NORDIC_MARKET_PENETRATION_AND_ECOSYSTEM_ACCELERATOR.html</x:v>
      </x:c>
    </x:row>
    <x:row r="579" ht="42" customHeight="1">
      <x:c r="A579" s="5" t="str">
        <x:v>D02</x:v>
      </x:c>
      <x:c r="B579" s="5" t="str">
        <x:v>D02-T03</x:v>
      </x:c>
      <x:c r="C579" s="5" t="str">
        <x:v>3. Nordic Life Science Co-Opetition Matrix</x:v>
      </x:c>
      <x:c r="D579" s="5" t="n">
        <x:v>156</x:v>
      </x:c>
      <x:c r="E579" s="5" t="n">
        <x:v>1</x:v>
      </x:c>
      <x:c r="F579" s="5" t="str">
        <x:v>Peer Consultancy</x:v>
      </x:c>
      <x:c r="G579" s="5" t="n">
        <x:v>1</x:v>
      </x:c>
      <x:c r="H579" s="5" t="n">
        <x:v>1</x:v>
      </x:c>
      <x:c r="I579" s="5" t="str">
        <x:v>Semcon</x:v>
      </x:c>
      <x:c r="J579" s="5" t="str">
        <x:v>SOURCE QUOTE; unvalidated / superseded assessments</x:v>
      </x:c>
      <x:c r="L579" s="31" t="str">
        <x:v>D02, Markdown line 156; http://nas-1.tail55d152.ts.net:4100/static/2S_NORDIC_MARKET_PENETRATION_AND_ECOSYSTEM_ACCELERATOR.html</x:v>
      </x:c>
    </x:row>
    <x:row r="580" ht="42" customHeight="1">
      <x:c r="A580" s="5" t="str">
        <x:v>D02</x:v>
      </x:c>
      <x:c r="B580" s="5" t="str">
        <x:v>D02-T03</x:v>
      </x:c>
      <x:c r="C580" s="5" t="str">
        <x:v>3. Nordic Life Science Co-Opetition Matrix</x:v>
      </x:c>
      <x:c r="D580" s="5" t="n">
        <x:v>156</x:v>
      </x:c>
      <x:c r="E580" s="5" t="n">
        <x:v>2</x:v>
      </x:c>
      <x:c r="F580" s="5" t="str">
        <x:v>Headcount &amp; Primary Footprint</x:v>
      </x:c>
      <x:c r="G580" s="5" t="n">
        <x:v>1</x:v>
      </x:c>
      <x:c r="H580" s="5" t="n">
        <x:v>1</x:v>
      </x:c>
      <x:c r="I580" s="5" t="str">
        <x:v>~1,200 consultants (Gothenburg, Stockholm, Örebro)</x:v>
      </x:c>
      <x:c r="J580" s="5" t="str">
        <x:v>SOURCE QUOTE; unvalidated / superseded assessments</x:v>
      </x:c>
      <x:c r="L580" s="31" t="str">
        <x:v>D02, Markdown line 156; http://nas-1.tail55d152.ts.net:4100/static/2S_NORDIC_MARKET_PENETRATION_AND_ECOSYSTEM_ACCELERATOR.html</x:v>
      </x:c>
    </x:row>
    <x:row r="581" ht="42" customHeight="1">
      <x:c r="A581" s="5" t="str">
        <x:v>D02</x:v>
      </x:c>
      <x:c r="B581" s="5" t="str">
        <x:v>D02-T03</x:v>
      </x:c>
      <x:c r="C581" s="5" t="str">
        <x:v>3. Nordic Life Science Co-Opetition Matrix</x:v>
      </x:c>
      <x:c r="D581" s="5" t="n">
        <x:v>156</x:v>
      </x:c>
      <x:c r="E581" s="5" t="n">
        <x:v>3</x:v>
      </x:c>
      <x:c r="F581" s="5" t="str">
        <x:v>Core Strengths</x:v>
      </x:c>
      <x:c r="G581" s="5" t="n">
        <x:v>1</x:v>
      </x:c>
      <x:c r="H581" s="5" t="n">
        <x:v>1</x:v>
      </x:c>
      <x:c r="I581" s="5" t="str">
        <x:v>Product development, user experience, aftermarket documentation</x:v>
      </x:c>
      <x:c r="J581" s="5" t="str">
        <x:v>SOURCE QUOTE; unvalidated / superseded assessments</x:v>
      </x:c>
      <x:c r="L581" s="31" t="str">
        <x:v>D02, Markdown line 156; http://nas-1.tail55d152.ts.net:4100/static/2S_NORDIC_MARKET_PENETRATION_AND_ECOSYSTEM_ACCELERATOR.html</x:v>
      </x:c>
    </x:row>
    <x:row r="582" ht="42" customHeight="1">
      <x:c r="A582" s="5" t="str">
        <x:v>D02</x:v>
      </x:c>
      <x:c r="B582" s="5" t="str">
        <x:v>D02-T03</x:v>
      </x:c>
      <x:c r="C582" s="5" t="str">
        <x:v>3. Nordic Life Science Co-Opetition Matrix</x:v>
      </x:c>
      <x:c r="D582" s="5" t="n">
        <x:v>156</x:v>
      </x:c>
      <x:c r="E582" s="5" t="n">
        <x:v>4</x:v>
      </x:c>
      <x:c r="F582" s="5" t="str">
        <x:v>2S Strategic Co-Opetition / Subcontract Angle</x:v>
      </x:c>
      <x:c r="G582" s="5" t="n">
        <x:v>1</x:v>
      </x:c>
      <x:c r="H582" s="5" t="n">
        <x:v>1</x:v>
      </x:c>
      <x:c r="I582" s="5" t="str">
        <x:v>Form co-selling alliance where Semcon designs device enclosures and 2S models hospital HEOR/DaaS economics.</x:v>
      </x:c>
      <x:c r="J582" s="5" t="str">
        <x:v>SOURCE QUOTE; unvalidated / superseded assessments</x:v>
      </x:c>
      <x:c r="L582" s="31" t="str">
        <x:v>D02, Markdown line 156; http://nas-1.tail55d152.ts.net:4100/static/2S_NORDIC_MARKET_PENETRATION_AND_ECOSYSTEM_ACCELERATOR.html</x:v>
      </x:c>
    </x:row>
    <x:row r="583" ht="42" customHeight="1">
      <x:c r="A583" s="5" t="str">
        <x:v>D02</x:v>
      </x:c>
      <x:c r="B583" s="5" t="str">
        <x:v>D02-T03</x:v>
      </x:c>
      <x:c r="C583" s="5" t="str">
        <x:v>3. Nordic Life Science Co-Opetition Matrix</x:v>
      </x:c>
      <x:c r="D583" s="5" t="n">
        <x:v>157</x:v>
      </x:c>
      <x:c r="E583" s="5" t="n">
        <x:v>1</x:v>
      </x:c>
      <x:c r="F583" s="5" t="str">
        <x:v>Peer Consultancy</x:v>
      </x:c>
      <x:c r="G583" s="5" t="n">
        <x:v>1</x:v>
      </x:c>
      <x:c r="H583" s="5" t="n">
        <x:v>1</x:v>
      </x:c>
      <x:c r="I583" s="5" t="str">
        <x:v>Prevas AB</x:v>
      </x:c>
      <x:c r="J583" s="5" t="str">
        <x:v>SOURCE QUOTE; unvalidated / superseded assessments</x:v>
      </x:c>
      <x:c r="L583" s="31" t="str">
        <x:v>D02, Markdown line 157; http://nas-1.tail55d152.ts.net:4100/static/2S_NORDIC_MARKET_PENETRATION_AND_ECOSYSTEM_ACCELERATOR.html</x:v>
      </x:c>
    </x:row>
    <x:row r="584" ht="42" customHeight="1">
      <x:c r="A584" s="5" t="str">
        <x:v>D02</x:v>
      </x:c>
      <x:c r="B584" s="5" t="str">
        <x:v>D02-T03</x:v>
      </x:c>
      <x:c r="C584" s="5" t="str">
        <x:v>3. Nordic Life Science Co-Opetition Matrix</x:v>
      </x:c>
      <x:c r="D584" s="5" t="n">
        <x:v>157</x:v>
      </x:c>
      <x:c r="E584" s="5" t="n">
        <x:v>2</x:v>
      </x:c>
      <x:c r="F584" s="5" t="str">
        <x:v>Headcount &amp; Primary Footprint</x:v>
      </x:c>
      <x:c r="G584" s="5" t="n">
        <x:v>1</x:v>
      </x:c>
      <x:c r="H584" s="5" t="n">
        <x:v>1</x:v>
      </x:c>
      <x:c r="I584" s="5" t="str">
        <x:v>~900 consultants (Västerås, Gothenburg, Malmö, Copenhagen)</x:v>
      </x:c>
      <x:c r="J584" s="5" t="str">
        <x:v>SOURCE QUOTE; unvalidated / superseded assessments</x:v>
      </x:c>
      <x:c r="L584" s="31" t="str">
        <x:v>D02, Markdown line 157; http://nas-1.tail55d152.ts.net:4100/static/2S_NORDIC_MARKET_PENETRATION_AND_ECOSYSTEM_ACCELERATOR.html</x:v>
      </x:c>
    </x:row>
    <x:row r="585" ht="42" customHeight="1">
      <x:c r="A585" s="5" t="str">
        <x:v>D02</x:v>
      </x:c>
      <x:c r="B585" s="5" t="str">
        <x:v>D02-T03</x:v>
      </x:c>
      <x:c r="C585" s="5" t="str">
        <x:v>3. Nordic Life Science Co-Opetition Matrix</x:v>
      </x:c>
      <x:c r="D585" s="5" t="n">
        <x:v>157</x:v>
      </x:c>
      <x:c r="E585" s="5" t="n">
        <x:v>3</x:v>
      </x:c>
      <x:c r="F585" s="5" t="str">
        <x:v>Core Strengths</x:v>
      </x:c>
      <x:c r="G585" s="5" t="n">
        <x:v>1</x:v>
      </x:c>
      <x:c r="H585" s="5" t="n">
        <x:v>1</x:v>
      </x:c>
      <x:c r="I585" s="5" t="str">
        <x:v>Industrial automation, embedded software, IoT hardware</x:v>
      </x:c>
      <x:c r="J585" s="5" t="str">
        <x:v>SOURCE QUOTE; unvalidated / superseded assessments</x:v>
      </x:c>
      <x:c r="L585" s="31" t="str">
        <x:v>D02, Markdown line 157; http://nas-1.tail55d152.ts.net:4100/static/2S_NORDIC_MARKET_PENETRATION_AND_ECOSYSTEM_ACCELERATOR.html</x:v>
      </x:c>
    </x:row>
    <x:row r="586" ht="42" customHeight="1">
      <x:c r="A586" s="5" t="str">
        <x:v>D02</x:v>
      </x:c>
      <x:c r="B586" s="5" t="str">
        <x:v>D02-T03</x:v>
      </x:c>
      <x:c r="C586" s="5" t="str">
        <x:v>3. Nordic Life Science Co-Opetition Matrix</x:v>
      </x:c>
      <x:c r="D586" s="5" t="n">
        <x:v>157</x:v>
      </x:c>
      <x:c r="E586" s="5" t="n">
        <x:v>4</x:v>
      </x:c>
      <x:c r="F586" s="5" t="str">
        <x:v>2S Strategic Co-Opetition / Subcontract Angle</x:v>
      </x:c>
      <x:c r="G586" s="5" t="n">
        <x:v>1</x:v>
      </x:c>
      <x:c r="H586" s="5" t="n">
        <x:v>1</x:v>
      </x:c>
      <x:c r="I586" s="5" t="str">
        <x:v>Provide clinical software certification and cloud cybersecurity (MDCG 2019-16) for Prevas connected devices.</x:v>
      </x:c>
      <x:c r="J586" s="5" t="str">
        <x:v>SOURCE QUOTE; unvalidated / superseded assessments</x:v>
      </x:c>
      <x:c r="L586" s="31" t="str">
        <x:v>D02, Markdown line 157; http://nas-1.tail55d152.ts.net:4100/static/2S_NORDIC_MARKET_PENETRATION_AND_ECOSYSTEM_ACCELERATOR.html</x:v>
      </x:c>
    </x:row>
    <x:row r="587" ht="42" customHeight="1">
      <x:c r="A587" s="5" t="str">
        <x:v>D02</x:v>
      </x:c>
      <x:c r="B587" s="5" t="str">
        <x:v>D02-T03</x:v>
      </x:c>
      <x:c r="C587" s="5" t="str">
        <x:v>3. Nordic Life Science Co-Opetition Matrix</x:v>
      </x:c>
      <x:c r="D587" s="5" t="n">
        <x:v>158</x:v>
      </x:c>
      <x:c r="E587" s="5" t="n">
        <x:v>1</x:v>
      </x:c>
      <x:c r="F587" s="5" t="str">
        <x:v>Peer Consultancy</x:v>
      </x:c>
      <x:c r="G587" s="5" t="n">
        <x:v>1</x:v>
      </x:c>
      <x:c r="H587" s="5" t="n">
        <x:v>1</x:v>
      </x:c>
      <x:c r="I587" s="5" t="str">
        <x:v>Emergo by UL</x:v>
      </x:c>
      <x:c r="J587" s="5" t="str">
        <x:v>SOURCE QUOTE; unvalidated / superseded assessments</x:v>
      </x:c>
      <x:c r="L587" s="31" t="str">
        <x:v>D02, Markdown line 158; http://nas-1.tail55d152.ts.net:4100/static/2S_NORDIC_MARKET_PENETRATION_AND_ECOSYSTEM_ACCELERATOR.html</x:v>
      </x:c>
    </x:row>
    <x:row r="588" ht="42" customHeight="1">
      <x:c r="A588" s="5" t="str">
        <x:v>D02</x:v>
      </x:c>
      <x:c r="B588" s="5" t="str">
        <x:v>D02-T03</x:v>
      </x:c>
      <x:c r="C588" s="5" t="str">
        <x:v>3. Nordic Life Science Co-Opetition Matrix</x:v>
      </x:c>
      <x:c r="D588" s="5" t="n">
        <x:v>158</x:v>
      </x:c>
      <x:c r="E588" s="5" t="n">
        <x:v>2</x:v>
      </x:c>
      <x:c r="F588" s="5" t="str">
        <x:v>Headcount &amp; Primary Footprint</x:v>
      </x:c>
      <x:c r="G588" s="5" t="n">
        <x:v>1</x:v>
      </x:c>
      <x:c r="H588" s="5" t="n">
        <x:v>1</x:v>
      </x:c>
      <x:c r="I588" s="5" t="str">
        <x:v>Global (~2,500 worldwide, Stockholm local office)</x:v>
      </x:c>
      <x:c r="J588" s="5" t="str">
        <x:v>SOURCE QUOTE; unvalidated / superseded assessments</x:v>
      </x:c>
      <x:c r="L588" s="31" t="str">
        <x:v>D02, Markdown line 158; http://nas-1.tail55d152.ts.net:4100/static/2S_NORDIC_MARKET_PENETRATION_AND_ECOSYSTEM_ACCELERATOR.html</x:v>
      </x:c>
    </x:row>
    <x:row r="589" ht="42" customHeight="1">
      <x:c r="A589" s="5" t="str">
        <x:v>D02</x:v>
      </x:c>
      <x:c r="B589" s="5" t="str">
        <x:v>D02-T03</x:v>
      </x:c>
      <x:c r="C589" s="5" t="str">
        <x:v>3. Nordic Life Science Co-Opetition Matrix</x:v>
      </x:c>
      <x:c r="D589" s="5" t="n">
        <x:v>158</x:v>
      </x:c>
      <x:c r="E589" s="5" t="n">
        <x:v>3</x:v>
      </x:c>
      <x:c r="F589" s="5" t="str">
        <x:v>Core Strengths</x:v>
      </x:c>
      <x:c r="G589" s="5" t="n">
        <x:v>1</x:v>
      </x:c>
      <x:c r="H589" s="5" t="n">
        <x:v>1</x:v>
      </x:c>
      <x:c r="I589" s="5" t="str">
        <x:v>Global market access (FDA, PMDA, NMPA, TGA), human factors</x:v>
      </x:c>
      <x:c r="J589" s="5" t="str">
        <x:v>SOURCE QUOTE; unvalidated / superseded assessments</x:v>
      </x:c>
      <x:c r="L589" s="31" t="str">
        <x:v>D02, Markdown line 158; http://nas-1.tail55d152.ts.net:4100/static/2S_NORDIC_MARKET_PENETRATION_AND_ECOSYSTEM_ACCELERATOR.html</x:v>
      </x:c>
    </x:row>
    <x:row r="590" ht="42" customHeight="1">
      <x:c r="A590" s="5" t="str">
        <x:v>D02</x:v>
      </x:c>
      <x:c r="B590" s="5" t="str">
        <x:v>D02-T03</x:v>
      </x:c>
      <x:c r="C590" s="5" t="str">
        <x:v>3. Nordic Life Science Co-Opetition Matrix</x:v>
      </x:c>
      <x:c r="D590" s="5" t="n">
        <x:v>158</x:v>
      </x:c>
      <x:c r="E590" s="5" t="n">
        <x:v>4</x:v>
      </x:c>
      <x:c r="F590" s="5" t="str">
        <x:v>2S Strategic Co-Opetition / Subcontract Angle</x:v>
      </x:c>
      <x:c r="G590" s="5" t="n">
        <x:v>1</x:v>
      </x:c>
      <x:c r="H590" s="5" t="n">
        <x:v>1</x:v>
      </x:c>
      <x:c r="I590" s="5" t="str">
        <x:v>Position 2S as the rapid-response, agile local SWAT team for urgent audits where global Emergo is too slow.</x:v>
      </x:c>
      <x:c r="J590" s="5" t="str">
        <x:v>SOURCE QUOTE; unvalidated / superseded assessments</x:v>
      </x:c>
      <x:c r="L590" s="31" t="str">
        <x:v>D02, Markdown line 158; http://nas-1.tail55d152.ts.net:4100/static/2S_NORDIC_MARKET_PENETRATION_AND_ECOSYSTEM_ACCELERATOR.html</x:v>
      </x:c>
    </x:row>
    <x:row r="591" ht="42" customHeight="1">
      <x:c r="A591" s="5" t="str">
        <x:v>D02</x:v>
      </x:c>
      <x:c r="B591" s="5" t="str">
        <x:v>D02-T03</x:v>
      </x:c>
      <x:c r="C591" s="5" t="str">
        <x:v>3. Nordic Life Science Co-Opetition Matrix</x:v>
      </x:c>
      <x:c r="D591" s="5" t="n">
        <x:v>159</x:v>
      </x:c>
      <x:c r="E591" s="5" t="n">
        <x:v>1</x:v>
      </x:c>
      <x:c r="F591" s="5" t="str">
        <x:v>Peer Consultancy</x:v>
      </x:c>
      <x:c r="G591" s="5" t="n">
        <x:v>1</x:v>
      </x:c>
      <x:c r="H591" s="5" t="n">
        <x:v>1</x:v>
      </x:c>
      <x:c r="I591" s="5" t="str">
        <x:v>LINK Medical Research</x:v>
      </x:c>
      <x:c r="J591" s="5" t="str">
        <x:v>SOURCE QUOTE; unvalidated / superseded assessments</x:v>
      </x:c>
      <x:c r="L591" s="31" t="str">
        <x:v>D02, Markdown line 159; http://nas-1.tail55d152.ts.net:4100/static/2S_NORDIC_MARKET_PENETRATION_AND_ECOSYSTEM_ACCELERATOR.html</x:v>
      </x:c>
    </x:row>
    <x:row r="592" ht="42" customHeight="1">
      <x:c r="A592" s="5" t="str">
        <x:v>D02</x:v>
      </x:c>
      <x:c r="B592" s="5" t="str">
        <x:v>D02-T03</x:v>
      </x:c>
      <x:c r="C592" s="5" t="str">
        <x:v>3. Nordic Life Science Co-Opetition Matrix</x:v>
      </x:c>
      <x:c r="D592" s="5" t="n">
        <x:v>159</x:v>
      </x:c>
      <x:c r="E592" s="5" t="n">
        <x:v>2</x:v>
      </x:c>
      <x:c r="F592" s="5" t="str">
        <x:v>Headcount &amp; Primary Footprint</x:v>
      </x:c>
      <x:c r="G592" s="5" t="n">
        <x:v>1</x:v>
      </x:c>
      <x:c r="H592" s="5" t="n">
        <x:v>1</x:v>
      </x:c>
      <x:c r="I592" s="5" t="str">
        <x:v>~250 consultants (Oslo, Stockholm, Copenhagen)</x:v>
      </x:c>
      <x:c r="J592" s="5" t="str">
        <x:v>SOURCE QUOTE; unvalidated / superseded assessments</x:v>
      </x:c>
      <x:c r="L592" s="31" t="str">
        <x:v>D02, Markdown line 159; http://nas-1.tail55d152.ts.net:4100/static/2S_NORDIC_MARKET_PENETRATION_AND_ECOSYSTEM_ACCELERATOR.html</x:v>
      </x:c>
    </x:row>
    <x:row r="593" ht="42" customHeight="1">
      <x:c r="A593" s="5" t="str">
        <x:v>D02</x:v>
      </x:c>
      <x:c r="B593" s="5" t="str">
        <x:v>D02-T03</x:v>
      </x:c>
      <x:c r="C593" s="5" t="str">
        <x:v>3. Nordic Life Science Co-Opetition Matrix</x:v>
      </x:c>
      <x:c r="D593" s="5" t="n">
        <x:v>159</x:v>
      </x:c>
      <x:c r="E593" s="5" t="n">
        <x:v>3</x:v>
      </x:c>
      <x:c r="F593" s="5" t="str">
        <x:v>Core Strengths</x:v>
      </x:c>
      <x:c r="G593" s="5" t="n">
        <x:v>1</x:v>
      </x:c>
      <x:c r="H593" s="5" t="n">
        <x:v>1</x:v>
      </x:c>
      <x:c r="I593" s="5" t="str">
        <x:v>Full-service Clinical Research Organization (CRO)</x:v>
      </x:c>
      <x:c r="J593" s="5" t="str">
        <x:v>SOURCE QUOTE; unvalidated / superseded assessments</x:v>
      </x:c>
      <x:c r="L593" s="31" t="str">
        <x:v>D02, Markdown line 159; http://nas-1.tail55d152.ts.net:4100/static/2S_NORDIC_MARKET_PENETRATION_AND_ECOSYSTEM_ACCELERATOR.html</x:v>
      </x:c>
    </x:row>
    <x:row r="594" ht="42" customHeight="1">
      <x:c r="A594" s="5" t="str">
        <x:v>D02</x:v>
      </x:c>
      <x:c r="B594" s="5" t="str">
        <x:v>D02-T03</x:v>
      </x:c>
      <x:c r="C594" s="5" t="str">
        <x:v>3. Nordic Life Science Co-Opetition Matrix</x:v>
      </x:c>
      <x:c r="D594" s="5" t="n">
        <x:v>159</x:v>
      </x:c>
      <x:c r="E594" s="5" t="n">
        <x:v>4</x:v>
      </x:c>
      <x:c r="F594" s="5" t="str">
        <x:v>2S Strategic Co-Opetition / Subcontract Angle</x:v>
      </x:c>
      <x:c r="G594" s="5" t="n">
        <x:v>1</x:v>
      </x:c>
      <x:c r="H594" s="5" t="n">
        <x:v>1</x:v>
      </x:c>
      <x:c r="I594" s="5" t="str">
        <x:v>Integrate HCare360 NLP as a patient screening engine for LINK's struggling oncology/neurology trials.</x:v>
      </x:c>
      <x:c r="J594" s="5" t="str">
        <x:v>SOURCE QUOTE; unvalidated / superseded assessments</x:v>
      </x:c>
      <x:c r="L594" s="31" t="str">
        <x:v>D02, Markdown line 159; http://nas-1.tail55d152.ts.net:4100/static/2S_NORDIC_MARKET_PENETRATION_AND_ECOSYSTEM_ACCELERATOR.html</x:v>
      </x:c>
    </x:row>
    <x:row r="595" ht="42" customHeight="1">
      <x:c r="A595" s="5" t="str">
        <x:v>D02</x:v>
      </x:c>
      <x:c r="B595" s="5" t="str">
        <x:v>D02-T03</x:v>
      </x:c>
      <x:c r="C595" s="5" t="str">
        <x:v>3. Nordic Life Science Co-Opetition Matrix</x:v>
      </x:c>
      <x:c r="D595" s="5" t="n">
        <x:v>160</x:v>
      </x:c>
      <x:c r="E595" s="5" t="n">
        <x:v>1</x:v>
      </x:c>
      <x:c r="F595" s="5" t="str">
        <x:v>Peer Consultancy</x:v>
      </x:c>
      <x:c r="G595" s="5" t="n">
        <x:v>1</x:v>
      </x:c>
      <x:c r="H595" s="5" t="n">
        <x:v>1</x:v>
      </x:c>
      <x:c r="I595" s="5" t="str">
        <x:v>PA Consulting</x:v>
      </x:c>
      <x:c r="J595" s="5" t="str">
        <x:v>SOURCE QUOTE; unvalidated / superseded assessments</x:v>
      </x:c>
      <x:c r="L595" s="31" t="str">
        <x:v>D02, Markdown line 160; http://nas-1.tail55d152.ts.net:4100/static/2S_NORDIC_MARKET_PENETRATION_AND_ECOSYSTEM_ACCELERATOR.html</x:v>
      </x:c>
    </x:row>
    <x:row r="596" ht="42" customHeight="1">
      <x:c r="A596" s="5" t="str">
        <x:v>D02</x:v>
      </x:c>
      <x:c r="B596" s="5" t="str">
        <x:v>D02-T03</x:v>
      </x:c>
      <x:c r="C596" s="5" t="str">
        <x:v>3. Nordic Life Science Co-Opetition Matrix</x:v>
      </x:c>
      <x:c r="D596" s="5" t="n">
        <x:v>160</x:v>
      </x:c>
      <x:c r="E596" s="5" t="n">
        <x:v>2</x:v>
      </x:c>
      <x:c r="F596" s="5" t="str">
        <x:v>Headcount &amp; Primary Footprint</x:v>
      </x:c>
      <x:c r="G596" s="5" t="n">
        <x:v>1</x:v>
      </x:c>
      <x:c r="H596" s="5" t="n">
        <x:v>1</x:v>
      </x:c>
      <x:c r="I596" s="5" t="str">
        <x:v>~4,000 global (Copenhagen, Stockholm, Oslo offices)</x:v>
      </x:c>
      <x:c r="J596" s="5" t="str">
        <x:v>SOURCE QUOTE; unvalidated / superseded assessments</x:v>
      </x:c>
      <x:c r="L596" s="31" t="str">
        <x:v>D02, Markdown line 160; http://nas-1.tail55d152.ts.net:4100/static/2S_NORDIC_MARKET_PENETRATION_AND_ECOSYSTEM_ACCELERATOR.html</x:v>
      </x:c>
    </x:row>
    <x:row r="597" ht="42" customHeight="1">
      <x:c r="A597" s="5" t="str">
        <x:v>D02</x:v>
      </x:c>
      <x:c r="B597" s="5" t="str">
        <x:v>D02-T03</x:v>
      </x:c>
      <x:c r="C597" s="5" t="str">
        <x:v>3. Nordic Life Science Co-Opetition Matrix</x:v>
      </x:c>
      <x:c r="D597" s="5" t="n">
        <x:v>160</x:v>
      </x:c>
      <x:c r="E597" s="5" t="n">
        <x:v>3</x:v>
      </x:c>
      <x:c r="F597" s="5" t="str">
        <x:v>Core Strengths</x:v>
      </x:c>
      <x:c r="G597" s="5" t="n">
        <x:v>1</x:v>
      </x:c>
      <x:c r="H597" s="5" t="n">
        <x:v>1</x:v>
      </x:c>
      <x:c r="I597" s="5" t="str">
        <x:v>Strategy consulting, public sector transformation, M&amp;A</x:v>
      </x:c>
      <x:c r="J597" s="5" t="str">
        <x:v>SOURCE QUOTE; unvalidated / superseded assessments</x:v>
      </x:c>
      <x:c r="L597" s="31" t="str">
        <x:v>D02, Markdown line 160; http://nas-1.tail55d152.ts.net:4100/static/2S_NORDIC_MARKET_PENETRATION_AND_ECOSYSTEM_ACCELERATOR.html</x:v>
      </x:c>
    </x:row>
    <x:row r="598" ht="42" customHeight="1">
      <x:c r="A598" s="5" t="str">
        <x:v>D02</x:v>
      </x:c>
      <x:c r="B598" s="5" t="str">
        <x:v>D02-T03</x:v>
      </x:c>
      <x:c r="C598" s="5" t="str">
        <x:v>3. Nordic Life Science Co-Opetition Matrix</x:v>
      </x:c>
      <x:c r="D598" s="5" t="n">
        <x:v>160</x:v>
      </x:c>
      <x:c r="E598" s="5" t="n">
        <x:v>4</x:v>
      </x:c>
      <x:c r="F598" s="5" t="str">
        <x:v>2S Strategic Co-Opetition / Subcontract Angle</x:v>
      </x:c>
      <x:c r="G598" s="5" t="n">
        <x:v>1</x:v>
      </x:c>
      <x:c r="H598" s="5" t="n">
        <x:v>1</x:v>
      </x:c>
      <x:c r="I598" s="5" t="str">
        <x:v>Deliver deep technical/regulatory execution that PA's generalist management consultants cannot fulfill.</x:v>
      </x:c>
      <x:c r="J598" s="5" t="str">
        <x:v>SOURCE QUOTE; unvalidated / superseded assessments</x:v>
      </x:c>
      <x:c r="L598" s="31" t="str">
        <x:v>D02, Markdown line 160; http://nas-1.tail55d152.ts.net:4100/static/2S_NORDIC_MARKET_PENETRATION_AND_ECOSYSTEM_ACCELERATOR.html</x:v>
      </x:c>
    </x:row>
    <x:row r="599" ht="42" customHeight="1">
      <x:c r="A599" s="5" t="str">
        <x:v>D02</x:v>
      </x:c>
      <x:c r="B599" s="5" t="str">
        <x:v>D02-T03</x:v>
      </x:c>
      <x:c r="C599" s="5" t="str">
        <x:v>3. Nordic Life Science Co-Opetition Matrix</x:v>
      </x:c>
      <x:c r="D599" s="5" t="n">
        <x:v>161</x:v>
      </x:c>
      <x:c r="E599" s="5" t="n">
        <x:v>1</x:v>
      </x:c>
      <x:c r="F599" s="5" t="str">
        <x:v>Peer Consultancy</x:v>
      </x:c>
      <x:c r="G599" s="5" t="n">
        <x:v>1</x:v>
      </x:c>
      <x:c r="H599" s="5" t="n">
        <x:v>1</x:v>
      </x:c>
      <x:c r="I599" s="5" t="str">
        <x:v>Celegence</x:v>
      </x:c>
      <x:c r="J599" s="5" t="str">
        <x:v>SOURCE QUOTE; unvalidated / superseded assessments</x:v>
      </x:c>
      <x:c r="L599" s="31" t="str">
        <x:v>D02, Markdown line 161; http://nas-1.tail55d152.ts.net:4100/static/2S_NORDIC_MARKET_PENETRATION_AND_ECOSYSTEM_ACCELERATOR.html</x:v>
      </x:c>
    </x:row>
    <x:row r="600" ht="42" customHeight="1">
      <x:c r="A600" s="5" t="str">
        <x:v>D02</x:v>
      </x:c>
      <x:c r="B600" s="5" t="str">
        <x:v>D02-T03</x:v>
      </x:c>
      <x:c r="C600" s="5" t="str">
        <x:v>3. Nordic Life Science Co-Opetition Matrix</x:v>
      </x:c>
      <x:c r="D600" s="5" t="n">
        <x:v>161</x:v>
      </x:c>
      <x:c r="E600" s="5" t="n">
        <x:v>2</x:v>
      </x:c>
      <x:c r="F600" s="5" t="str">
        <x:v>Headcount &amp; Primary Footprint</x:v>
      </x:c>
      <x:c r="G600" s="5" t="n">
        <x:v>1</x:v>
      </x:c>
      <x:c r="H600" s="5" t="n">
        <x:v>1</x:v>
      </x:c>
      <x:c r="I600" s="5" t="str">
        <x:v>~150 consultants (US/EU remote, Nordic delivery)</x:v>
      </x:c>
      <x:c r="J600" s="5" t="str">
        <x:v>SOURCE QUOTE; unvalidated / superseded assessments</x:v>
      </x:c>
      <x:c r="L600" s="31" t="str">
        <x:v>D02, Markdown line 161; http://nas-1.tail55d152.ts.net:4100/static/2S_NORDIC_MARKET_PENETRATION_AND_ECOSYSTEM_ACCELERATOR.html</x:v>
      </x:c>
    </x:row>
    <x:row r="601" ht="42" customHeight="1">
      <x:c r="A601" s="5" t="str">
        <x:v>D02</x:v>
      </x:c>
      <x:c r="B601" s="5" t="str">
        <x:v>D02-T03</x:v>
      </x:c>
      <x:c r="C601" s="5" t="str">
        <x:v>3. Nordic Life Science Co-Opetition Matrix</x:v>
      </x:c>
      <x:c r="D601" s="5" t="n">
        <x:v>161</x:v>
      </x:c>
      <x:c r="E601" s="5" t="n">
        <x:v>3</x:v>
      </x:c>
      <x:c r="F601" s="5" t="str">
        <x:v>Core Strengths</x:v>
      </x:c>
      <x:c r="G601" s="5" t="n">
        <x:v>1</x:v>
      </x:c>
      <x:c r="H601" s="5" t="n">
        <x:v>1</x:v>
      </x:c>
      <x:c r="I601" s="5" t="str">
        <x:v>Regulatory operations, EU MDR/IVDR technical file remediation</x:v>
      </x:c>
      <x:c r="J601" s="5" t="str">
        <x:v>SOURCE QUOTE; unvalidated / superseded assessments</x:v>
      </x:c>
      <x:c r="L601" s="31" t="str">
        <x:v>D02, Markdown line 161; http://nas-1.tail55d152.ts.net:4100/static/2S_NORDIC_MARKET_PENETRATION_AND_ECOSYSTEM_ACCELERATOR.html</x:v>
      </x:c>
    </x:row>
    <x:row r="602" ht="42" customHeight="1">
      <x:c r="A602" s="5" t="str">
        <x:v>D02</x:v>
      </x:c>
      <x:c r="B602" s="5" t="str">
        <x:v>D02-T03</x:v>
      </x:c>
      <x:c r="C602" s="5" t="str">
        <x:v>3. Nordic Life Science Co-Opetition Matrix</x:v>
      </x:c>
      <x:c r="D602" s="5" t="n">
        <x:v>161</x:v>
      </x:c>
      <x:c r="E602" s="5" t="n">
        <x:v>4</x:v>
      </x:c>
      <x:c r="F602" s="5" t="str">
        <x:v>2S Strategic Co-Opetition / Subcontract Angle</x:v>
      </x:c>
      <x:c r="G602" s="5" t="n">
        <x:v>1</x:v>
      </x:c>
      <x:c r="H602" s="5" t="n">
        <x:v>1</x:v>
      </x:c>
      <x:c r="I602" s="5" t="str">
        <x:v>Offer on-the-ground Nordic presence, direct clinician interviews, and hospital CFO engagement.</x:v>
      </x:c>
      <x:c r="J602" s="5" t="str">
        <x:v>SOURCE QUOTE; unvalidated / superseded assessments</x:v>
      </x:c>
      <x:c r="L602" s="31" t="str">
        <x:v>D02, Markdown line 161; http://nas-1.tail55d152.ts.net:4100/static/2S_NORDIC_MARKET_PENETRATION_AND_ECOSYSTEM_ACCELERATOR.html</x:v>
      </x:c>
    </x:row>
    <x:row r="603" ht="42" customHeight="1">
      <x:c r="A603" s="5" t="str">
        <x:v>D02</x:v>
      </x:c>
      <x:c r="B603" s="5" t="str">
        <x:v>D02-T03</x:v>
      </x:c>
      <x:c r="C603" s="5" t="str">
        <x:v>3. Nordic Life Science Co-Opetition Matrix</x:v>
      </x:c>
      <x:c r="D603" s="5" t="n">
        <x:v>162</x:v>
      </x:c>
      <x:c r="E603" s="5" t="n">
        <x:v>1</x:v>
      </x:c>
      <x:c r="F603" s="5" t="str">
        <x:v>Peer Consultancy</x:v>
      </x:c>
      <x:c r="G603" s="5" t="n">
        <x:v>1</x:v>
      </x:c>
      <x:c r="H603" s="5" t="n">
        <x:v>1</x:v>
      </x:c>
      <x:c r="I603" s="5" t="str">
        <x:v>Sirona Health Solutions</x:v>
      </x:c>
      <x:c r="J603" s="5" t="str">
        <x:v>SOURCE QUOTE; unvalidated / superseded assessments</x:v>
      </x:c>
      <x:c r="L603" s="31" t="str">
        <x:v>D02, Markdown line 162; http://nas-1.tail55d152.ts.net:4100/static/2S_NORDIC_MARKET_PENETRATION_AND_ECOSYSTEM_ACCELERATOR.html</x:v>
      </x:c>
    </x:row>
    <x:row r="604" ht="42" customHeight="1">
      <x:c r="A604" s="5" t="str">
        <x:v>D02</x:v>
      </x:c>
      <x:c r="B604" s="5" t="str">
        <x:v>D02-T03</x:v>
      </x:c>
      <x:c r="C604" s="5" t="str">
        <x:v>3. Nordic Life Science Co-Opetition Matrix</x:v>
      </x:c>
      <x:c r="D604" s="5" t="n">
        <x:v>162</x:v>
      </x:c>
      <x:c r="E604" s="5" t="n">
        <x:v>2</x:v>
      </x:c>
      <x:c r="F604" s="5" t="str">
        <x:v>Headcount &amp; Primary Footprint</x:v>
      </x:c>
      <x:c r="G604" s="5" t="n">
        <x:v>1</x:v>
      </x:c>
      <x:c r="H604" s="5" t="n">
        <x:v>1</x:v>
      </x:c>
      <x:c r="I604" s="5" t="str">
        <x:v>~40 consultants (Stockholm, Copenhagen, Oslo)</x:v>
      </x:c>
      <x:c r="J604" s="5" t="str">
        <x:v>SOURCE QUOTE; unvalidated / superseded assessments</x:v>
      </x:c>
      <x:c r="L604" s="31" t="str">
        <x:v>D02, Markdown line 162; http://nas-1.tail55d152.ts.net:4100/static/2S_NORDIC_MARKET_PENETRATION_AND_ECOSYSTEM_ACCELERATOR.html</x:v>
      </x:c>
    </x:row>
    <x:row r="605" ht="42" customHeight="1">
      <x:c r="A605" s="5" t="str">
        <x:v>D02</x:v>
      </x:c>
      <x:c r="B605" s="5" t="str">
        <x:v>D02-T03</x:v>
      </x:c>
      <x:c r="C605" s="5" t="str">
        <x:v>3. Nordic Life Science Co-Opetition Matrix</x:v>
      </x:c>
      <x:c r="D605" s="5" t="n">
        <x:v>162</x:v>
      </x:c>
      <x:c r="E605" s="5" t="n">
        <x:v>3</x:v>
      </x:c>
      <x:c r="F605" s="5" t="str">
        <x:v>Core Strengths</x:v>
      </x:c>
      <x:c r="G605" s="5" t="n">
        <x:v>1</x:v>
      </x:c>
      <x:c r="H605" s="5" t="n">
        <x:v>1</x:v>
      </x:c>
      <x:c r="I605" s="5" t="str">
        <x:v>Health economics, public healthcare policy, outcomes research</x:v>
      </x:c>
      <x:c r="J605" s="5" t="str">
        <x:v>SOURCE QUOTE; unvalidated / superseded assessments</x:v>
      </x:c>
      <x:c r="L605" s="31" t="str">
        <x:v>D02, Markdown line 162; http://nas-1.tail55d152.ts.net:4100/static/2S_NORDIC_MARKET_PENETRATION_AND_ECOSYSTEM_ACCELERATOR.html</x:v>
      </x:c>
    </x:row>
    <x:row r="606" ht="42" customHeight="1">
      <x:c r="A606" s="5" t="str">
        <x:v>D02</x:v>
      </x:c>
      <x:c r="B606" s="5" t="str">
        <x:v>D02-T03</x:v>
      </x:c>
      <x:c r="C606" s="5" t="str">
        <x:v>3. Nordic Life Science Co-Opetition Matrix</x:v>
      </x:c>
      <x:c r="D606" s="5" t="n">
        <x:v>162</x:v>
      </x:c>
      <x:c r="E606" s="5" t="n">
        <x:v>4</x:v>
      </x:c>
      <x:c r="F606" s="5" t="str">
        <x:v>2S Strategic Co-Opetition / Subcontract Angle</x:v>
      </x:c>
      <x:c r="G606" s="5" t="n">
        <x:v>1</x:v>
      </x:c>
      <x:c r="H606" s="5" t="n">
        <x:v>1</x:v>
      </x:c>
      <x:c r="I606" s="5" t="str">
        <x:v>Partner on commercialization: Sirona models regional health policy; 2S implements the manufacturer's DaaS calculator.</x:v>
      </x:c>
      <x:c r="J606" s="5" t="str">
        <x:v>SOURCE QUOTE; unvalidated / superseded assessments</x:v>
      </x:c>
      <x:c r="L606" s="31" t="str">
        <x:v>D02, Markdown line 162; http://nas-1.tail55d152.ts.net:4100/static/2S_NORDIC_MARKET_PENETRATION_AND_ECOSYSTEM_ACCELERATOR.html</x:v>
      </x:c>
    </x:row>
    <x:row r="607" ht="42" customHeight="1">
      <x:c r="A607" s="5" t="str">
        <x:v>D02</x:v>
      </x:c>
      <x:c r="B607" s="5" t="str">
        <x:v>D02-T03</x:v>
      </x:c>
      <x:c r="C607" s="5" t="str">
        <x:v>3. Nordic Life Science Co-Opetition Matrix</x:v>
      </x:c>
      <x:c r="D607" s="5" t="n">
        <x:v>163</x:v>
      </x:c>
      <x:c r="E607" s="5" t="n">
        <x:v>1</x:v>
      </x:c>
      <x:c r="F607" s="5" t="str">
        <x:v>Peer Consultancy</x:v>
      </x:c>
      <x:c r="G607" s="5" t="n">
        <x:v>1</x:v>
      </x:c>
      <x:c r="H607" s="5" t="n">
        <x:v>1</x:v>
      </x:c>
      <x:c r="I607" s="5" t="str">
        <x:v>Key2Compliance</x:v>
      </x:c>
      <x:c r="J607" s="5" t="str">
        <x:v>SOURCE QUOTE; unvalidated / superseded assessments</x:v>
      </x:c>
      <x:c r="L607" s="31" t="str">
        <x:v>D02, Markdown line 163; http://nas-1.tail55d152.ts.net:4100/static/2S_NORDIC_MARKET_PENETRATION_AND_ECOSYSTEM_ACCELERATOR.html</x:v>
      </x:c>
    </x:row>
    <x:row r="608" ht="42" customHeight="1">
      <x:c r="A608" s="5" t="str">
        <x:v>D02</x:v>
      </x:c>
      <x:c r="B608" s="5" t="str">
        <x:v>D02-T03</x:v>
      </x:c>
      <x:c r="C608" s="5" t="str">
        <x:v>3. Nordic Life Science Co-Opetition Matrix</x:v>
      </x:c>
      <x:c r="D608" s="5" t="n">
        <x:v>163</x:v>
      </x:c>
      <x:c r="E608" s="5" t="n">
        <x:v>2</x:v>
      </x:c>
      <x:c r="F608" s="5" t="str">
        <x:v>Headcount &amp; Primary Footprint</x:v>
      </x:c>
      <x:c r="G608" s="5" t="n">
        <x:v>1</x:v>
      </x:c>
      <x:c r="H608" s="5" t="n">
        <x:v>1</x:v>
      </x:c>
      <x:c r="I608" s="5" t="str">
        <x:v>~80 consultants (Stockholm, Gothenburg, Lund)</x:v>
      </x:c>
      <x:c r="J608" s="5" t="str">
        <x:v>SOURCE QUOTE; unvalidated / superseded assessments</x:v>
      </x:c>
      <x:c r="L608" s="31" t="str">
        <x:v>D02, Markdown line 163; http://nas-1.tail55d152.ts.net:4100/static/2S_NORDIC_MARKET_PENETRATION_AND_ECOSYSTEM_ACCELERATOR.html</x:v>
      </x:c>
    </x:row>
    <x:row r="609" ht="42" customHeight="1">
      <x:c r="A609" s="5" t="str">
        <x:v>D02</x:v>
      </x:c>
      <x:c r="B609" s="5" t="str">
        <x:v>D02-T03</x:v>
      </x:c>
      <x:c r="C609" s="5" t="str">
        <x:v>3. Nordic Life Science Co-Opetition Matrix</x:v>
      </x:c>
      <x:c r="D609" s="5" t="n">
        <x:v>163</x:v>
      </x:c>
      <x:c r="E609" s="5" t="n">
        <x:v>3</x:v>
      </x:c>
      <x:c r="F609" s="5" t="str">
        <x:v>Core Strengths</x:v>
      </x:c>
      <x:c r="G609" s="5" t="n">
        <x:v>1</x:v>
      </x:c>
      <x:c r="H609" s="5" t="n">
        <x:v>1</x:v>
      </x:c>
      <x:c r="I609" s="5" t="str">
        <x:v>Medical device QA/RA training, ISO 13485 implementation</x:v>
      </x:c>
      <x:c r="J609" s="5" t="str">
        <x:v>SOURCE QUOTE; unvalidated / superseded assessments</x:v>
      </x:c>
      <x:c r="L609" s="31" t="str">
        <x:v>D02, Markdown line 163; http://nas-1.tail55d152.ts.net:4100/static/2S_NORDIC_MARKET_PENETRATION_AND_ECOSYSTEM_ACCELERATOR.html</x:v>
      </x:c>
    </x:row>
    <x:row r="610" ht="42" customHeight="1">
      <x:c r="A610" s="5" t="str">
        <x:v>D02</x:v>
      </x:c>
      <x:c r="B610" s="5" t="str">
        <x:v>D02-T03</x:v>
      </x:c>
      <x:c r="C610" s="5" t="str">
        <x:v>3. Nordic Life Science Co-Opetition Matrix</x:v>
      </x:c>
      <x:c r="D610" s="5" t="n">
        <x:v>163</x:v>
      </x:c>
      <x:c r="E610" s="5" t="n">
        <x:v>4</x:v>
      </x:c>
      <x:c r="F610" s="5" t="str">
        <x:v>2S Strategic Co-Opetition / Subcontract Angle</x:v>
      </x:c>
      <x:c r="G610" s="5" t="n">
        <x:v>1</x:v>
      </x:c>
      <x:c r="H610" s="5" t="n">
        <x:v>1</x:v>
      </x:c>
      <x:c r="I610" s="5" t="str">
        <x:v>Cross-promote: Key2Compliance trains personnel; 2S remediates technical algorithms and software files.</x:v>
      </x:c>
      <x:c r="J610" s="5" t="str">
        <x:v>SOURCE QUOTE; unvalidated / superseded assessments</x:v>
      </x:c>
      <x:c r="L610" s="31" t="str">
        <x:v>D02, Markdown line 163; http://nas-1.tail55d152.ts.net:4100/static/2S_NORDIC_MARKET_PENETRATION_AND_ECOSYSTEM_ACCELERATOR.html</x:v>
      </x:c>
    </x:row>
    <x:row r="611" ht="42" customHeight="1">
      <x:c r="A611" s="5" t="str">
        <x:v>D02</x:v>
      </x:c>
      <x:c r="B611" s="5" t="str">
        <x:v>D02-T03</x:v>
      </x:c>
      <x:c r="C611" s="5" t="str">
        <x:v>3. Nordic Life Science Co-Opetition Matrix</x:v>
      </x:c>
      <x:c r="D611" s="5" t="n">
        <x:v>164</x:v>
      </x:c>
      <x:c r="E611" s="5" t="n">
        <x:v>1</x:v>
      </x:c>
      <x:c r="F611" s="5" t="str">
        <x:v>Peer Consultancy</x:v>
      </x:c>
      <x:c r="G611" s="5" t="n">
        <x:v>1</x:v>
      </x:c>
      <x:c r="H611" s="5" t="n">
        <x:v>1</x:v>
      </x:c>
      <x:c r="I611" s="5" t="str">
        <x:v>Syntagon AB</x:v>
      </x:c>
      <x:c r="J611" s="5" t="str">
        <x:v>SOURCE QUOTE; unvalidated / superseded assessments</x:v>
      </x:c>
      <x:c r="L611" s="31" t="str">
        <x:v>D02, Markdown line 164; http://nas-1.tail55d152.ts.net:4100/static/2S_NORDIC_MARKET_PENETRATION_AND_ECOSYSTEM_ACCELERATOR.html</x:v>
      </x:c>
    </x:row>
    <x:row r="612" ht="42" customHeight="1">
      <x:c r="A612" s="5" t="str">
        <x:v>D02</x:v>
      </x:c>
      <x:c r="B612" s="5" t="str">
        <x:v>D02-T03</x:v>
      </x:c>
      <x:c r="C612" s="5" t="str">
        <x:v>3. Nordic Life Science Co-Opetition Matrix</x:v>
      </x:c>
      <x:c r="D612" s="5" t="n">
        <x:v>164</x:v>
      </x:c>
      <x:c r="E612" s="5" t="n">
        <x:v>2</x:v>
      </x:c>
      <x:c r="F612" s="5" t="str">
        <x:v>Headcount &amp; Primary Footprint</x:v>
      </x:c>
      <x:c r="G612" s="5" t="n">
        <x:v>1</x:v>
      </x:c>
      <x:c r="H612" s="5" t="n">
        <x:v>1</x:v>
      </x:c>
      <x:c r="I612" s="5" t="str">
        <x:v>~45 consultants (Södertälje, Stockholm)</x:v>
      </x:c>
      <x:c r="J612" s="5" t="str">
        <x:v>SOURCE QUOTE; unvalidated / superseded assessments</x:v>
      </x:c>
      <x:c r="L612" s="31" t="str">
        <x:v>D02, Markdown line 164; http://nas-1.tail55d152.ts.net:4100/static/2S_NORDIC_MARKET_PENETRATION_AND_ECOSYSTEM_ACCELERATOR.html</x:v>
      </x:c>
    </x:row>
    <x:row r="613" ht="42" customHeight="1">
      <x:c r="A613" s="5" t="str">
        <x:v>D02</x:v>
      </x:c>
      <x:c r="B613" s="5" t="str">
        <x:v>D02-T03</x:v>
      </x:c>
      <x:c r="C613" s="5" t="str">
        <x:v>3. Nordic Life Science Co-Opetition Matrix</x:v>
      </x:c>
      <x:c r="D613" s="5" t="n">
        <x:v>164</x:v>
      </x:c>
      <x:c r="E613" s="5" t="n">
        <x:v>3</x:v>
      </x:c>
      <x:c r="F613" s="5" t="str">
        <x:v>Core Strengths</x:v>
      </x:c>
      <x:c r="G613" s="5" t="n">
        <x:v>1</x:v>
      </x:c>
      <x:c r="H613" s="5" t="n">
        <x:v>1</x:v>
      </x:c>
      <x:c r="I613" s="5" t="str">
        <x:v>Early-stage API synthesis, medicinal chemistry, CMC</x:v>
      </x:c>
      <x:c r="J613" s="5" t="str">
        <x:v>SOURCE QUOTE; unvalidated / superseded assessments</x:v>
      </x:c>
      <x:c r="L613" s="31" t="str">
        <x:v>D02, Markdown line 164; http://nas-1.tail55d152.ts.net:4100/static/2S_NORDIC_MARKET_PENETRATION_AND_ECOSYSTEM_ACCELERATOR.html</x:v>
      </x:c>
    </x:row>
    <x:row r="614" ht="42" customHeight="1">
      <x:c r="A614" s="5" t="str">
        <x:v>D02</x:v>
      </x:c>
      <x:c r="B614" s="5" t="str">
        <x:v>D02-T03</x:v>
      </x:c>
      <x:c r="C614" s="5" t="str">
        <x:v>3. Nordic Life Science Co-Opetition Matrix</x:v>
      </x:c>
      <x:c r="D614" s="5" t="n">
        <x:v>164</x:v>
      </x:c>
      <x:c r="E614" s="5" t="n">
        <x:v>4</x:v>
      </x:c>
      <x:c r="F614" s="5" t="str">
        <x:v>2S Strategic Co-Opetition / Subcontract Angle</x:v>
      </x:c>
      <x:c r="G614" s="5" t="n">
        <x:v>1</x:v>
      </x:c>
      <x:c r="H614" s="5" t="n">
        <x:v>1</x:v>
      </x:c>
      <x:c r="I614" s="5" t="str">
        <x:v>Bridge Syntagon's early chemical synthesis to downstream clinical trial governance and clinical batch flow.</x:v>
      </x:c>
      <x:c r="J614" s="5" t="str">
        <x:v>SOURCE QUOTE; unvalidated / superseded assessments</x:v>
      </x:c>
      <x:c r="L614" s="31" t="str">
        <x:v>D02, Markdown line 164; http://nas-1.tail55d152.ts.net:4100/static/2S_NORDIC_MARKET_PENETRATION_AND_ECOSYSTEM_ACCELERATOR.html</x:v>
      </x:c>
    </x:row>
    <x:row r="615" ht="42" customHeight="1">
      <x:c r="A615" s="5" t="str">
        <x:v>D02</x:v>
      </x:c>
      <x:c r="B615" s="5" t="str">
        <x:v>D02-T04</x:v>
      </x:c>
      <x:c r="C615" s="5" t="str">
        <x:v>Quantitative Scorecard</x:v>
      </x:c>
      <x:c r="D615" s="5" t="n">
        <x:v>237</x:v>
      </x:c>
      <x:c r="E615" s="5" t="n">
        <x:v>1</x:v>
      </x:c>
      <x:c r="F615" s="5" t="str">
        <x:v>Metric</x:v>
      </x:c>
      <x:c r="G615" s="5" t="n">
        <x:v>1</x:v>
      </x:c>
      <x:c r="H615" s="5" t="n">
        <x:v>1</x:v>
      </x:c>
      <x:c r="I615" s="5" t="str">
        <x:v>Ecosystem Clusters Activated</x:v>
      </x:c>
      <x:c r="J615" s="5" t="str">
        <x:v>SOURCE QUOTE; unvalidated / superseded assessments</x:v>
      </x:c>
      <x:c r="L615" s="31" t="str">
        <x:v>D02, Markdown line 237; http://nas-1.tail55d152.ts.net:4100/static/2S_NORDIC_MARKET_PENETRATION_AND_ECOSYSTEM_ACCELERATOR.html</x:v>
      </x:c>
    </x:row>
    <x:row r="616" ht="42" customHeight="1">
      <x:c r="A616" s="5" t="str">
        <x:v>D02</x:v>
      </x:c>
      <x:c r="B616" s="5" t="str">
        <x:v>D02-T04</x:v>
      </x:c>
      <x:c r="C616" s="5" t="str">
        <x:v>Quantitative Scorecard</x:v>
      </x:c>
      <x:c r="D616" s="5" t="n">
        <x:v>237</x:v>
      </x:c>
      <x:c r="E616" s="5" t="n">
        <x:v>2</x:v>
      </x:c>
      <x:c r="F616" s="5" t="str">
        <x:v>Target (Day 30)</x:v>
      </x:c>
      <x:c r="G616" s="5" t="n">
        <x:v>1</x:v>
      </x:c>
      <x:c r="H616" s="5" t="n">
        <x:v>1</x:v>
      </x:c>
      <x:c r="I616" s="5" t="str">
        <x:v>2</x:v>
      </x:c>
      <x:c r="J616" s="5" t="str">
        <x:v>SOURCE QUOTE; unvalidated / superseded assessments</x:v>
      </x:c>
      <x:c r="L616" s="31" t="str">
        <x:v>D02, Markdown line 237; http://nas-1.tail55d152.ts.net:4100/static/2S_NORDIC_MARKET_PENETRATION_AND_ECOSYSTEM_ACCELERATOR.html</x:v>
      </x:c>
    </x:row>
    <x:row r="617" ht="42" customHeight="1">
      <x:c r="A617" s="5" t="str">
        <x:v>D02</x:v>
      </x:c>
      <x:c r="B617" s="5" t="str">
        <x:v>D02-T04</x:v>
      </x:c>
      <x:c r="C617" s="5" t="str">
        <x:v>Quantitative Scorecard</x:v>
      </x:c>
      <x:c r="D617" s="5" t="n">
        <x:v>237</x:v>
      </x:c>
      <x:c r="E617" s="5" t="n">
        <x:v>3</x:v>
      </x:c>
      <x:c r="F617" s="5" t="str">
        <x:v>Target (Day 60)</x:v>
      </x:c>
      <x:c r="G617" s="5" t="n">
        <x:v>1</x:v>
      </x:c>
      <x:c r="H617" s="5" t="n">
        <x:v>1</x:v>
      </x:c>
      <x:c r="I617" s="5" t="str">
        <x:v>4</x:v>
      </x:c>
      <x:c r="J617" s="5" t="str">
        <x:v>SOURCE QUOTE; unvalidated / superseded assessments</x:v>
      </x:c>
      <x:c r="L617" s="31" t="str">
        <x:v>D02, Markdown line 237; http://nas-1.tail55d152.ts.net:4100/static/2S_NORDIC_MARKET_PENETRATION_AND_ECOSYSTEM_ACCELERATOR.html</x:v>
      </x:c>
    </x:row>
    <x:row r="618" ht="42" customHeight="1">
      <x:c r="A618" s="5" t="str">
        <x:v>D02</x:v>
      </x:c>
      <x:c r="B618" s="5" t="str">
        <x:v>D02-T04</x:v>
      </x:c>
      <x:c r="C618" s="5" t="str">
        <x:v>Quantitative Scorecard</x:v>
      </x:c>
      <x:c r="D618" s="5" t="n">
        <x:v>237</x:v>
      </x:c>
      <x:c r="E618" s="5" t="n">
        <x:v>4</x:v>
      </x:c>
      <x:c r="F618" s="5" t="str">
        <x:v>Target (Day 90)</x:v>
      </x:c>
      <x:c r="G618" s="5" t="n">
        <x:v>1</x:v>
      </x:c>
      <x:c r="H618" s="5" t="n">
        <x:v>1</x:v>
      </x:c>
      <x:c r="I618" s="5" t="str">
        <x:v>5</x:v>
      </x:c>
      <x:c r="J618" s="5" t="str">
        <x:v>SOURCE QUOTE; unvalidated / superseded assessments</x:v>
      </x:c>
      <x:c r="L618" s="31" t="str">
        <x:v>D02, Markdown line 237; http://nas-1.tail55d152.ts.net:4100/static/2S_NORDIC_MARKET_PENETRATION_AND_ECOSYSTEM_ACCELERATOR.html</x:v>
      </x:c>
    </x:row>
    <x:row r="619" ht="42" customHeight="1">
      <x:c r="A619" s="5" t="str">
        <x:v>D02</x:v>
      </x:c>
      <x:c r="B619" s="5" t="str">
        <x:v>D02-T04</x:v>
      </x:c>
      <x:c r="C619" s="5" t="str">
        <x:v>Quantitative Scorecard</x:v>
      </x:c>
      <x:c r="D619" s="5" t="n">
        <x:v>237</x:v>
      </x:c>
      <x:c r="E619" s="5" t="n">
        <x:v>5</x:v>
      </x:c>
      <x:c r="F619" s="5" t="str">
        <x:v>Owner</x:v>
      </x:c>
      <x:c r="G619" s="5" t="n">
        <x:v>1</x:v>
      </x:c>
      <x:c r="H619" s="5" t="n">
        <x:v>1</x:v>
      </x:c>
      <x:c r="I619" s="5" t="str">
        <x:v>Safa Sellami</x:v>
      </x:c>
      <x:c r="J619" s="5" t="str">
        <x:v>SOURCE QUOTE; unvalidated / superseded assessments</x:v>
      </x:c>
      <x:c r="L619" s="31" t="str">
        <x:v>D02, Markdown line 237; http://nas-1.tail55d152.ts.net:4100/static/2S_NORDIC_MARKET_PENETRATION_AND_ECOSYSTEM_ACCELERATOR.html</x:v>
      </x:c>
    </x:row>
    <x:row r="620" ht="42" customHeight="1">
      <x:c r="A620" s="5" t="str">
        <x:v>D02</x:v>
      </x:c>
      <x:c r="B620" s="5" t="str">
        <x:v>D02-T04</x:v>
      </x:c>
      <x:c r="C620" s="5" t="str">
        <x:v>Quantitative Scorecard</x:v>
      </x:c>
      <x:c r="D620" s="5" t="n">
        <x:v>238</x:v>
      </x:c>
      <x:c r="E620" s="5" t="n">
        <x:v>1</x:v>
      </x:c>
      <x:c r="F620" s="5" t="str">
        <x:v>Metric</x:v>
      </x:c>
      <x:c r="G620" s="5" t="n">
        <x:v>1</x:v>
      </x:c>
      <x:c r="H620" s="5" t="n">
        <x:v>1</x:v>
      </x:c>
      <x:c r="I620" s="5" t="str">
        <x:v>Peer Engineering Alliances Established</x:v>
      </x:c>
      <x:c r="J620" s="5" t="str">
        <x:v>SOURCE QUOTE; unvalidated / superseded assessments</x:v>
      </x:c>
      <x:c r="L620" s="31" t="str">
        <x:v>D02, Markdown line 238; http://nas-1.tail55d152.ts.net:4100/static/2S_NORDIC_MARKET_PENETRATION_AND_ECOSYSTEM_ACCELERATOR.html</x:v>
      </x:c>
    </x:row>
    <x:row r="621" ht="42" customHeight="1">
      <x:c r="A621" s="5" t="str">
        <x:v>D02</x:v>
      </x:c>
      <x:c r="B621" s="5" t="str">
        <x:v>D02-T04</x:v>
      </x:c>
      <x:c r="C621" s="5" t="str">
        <x:v>Quantitative Scorecard</x:v>
      </x:c>
      <x:c r="D621" s="5" t="n">
        <x:v>238</x:v>
      </x:c>
      <x:c r="E621" s="5" t="n">
        <x:v>2</x:v>
      </x:c>
      <x:c r="F621" s="5" t="str">
        <x:v>Target (Day 30)</x:v>
      </x:c>
      <x:c r="G621" s="5" t="n">
        <x:v>1</x:v>
      </x:c>
      <x:c r="H621" s="5" t="n">
        <x:v>1</x:v>
      </x:c>
      <x:c r="I621" s="5" t="str">
        <x:v>1 exploratory</x:v>
      </x:c>
      <x:c r="J621" s="5" t="str">
        <x:v>SOURCE QUOTE; unvalidated / superseded assessments</x:v>
      </x:c>
      <x:c r="L621" s="31" t="str">
        <x:v>D02, Markdown line 238; http://nas-1.tail55d152.ts.net:4100/static/2S_NORDIC_MARKET_PENETRATION_AND_ECOSYSTEM_ACCELERATOR.html</x:v>
      </x:c>
    </x:row>
    <x:row r="622" ht="42" customHeight="1">
      <x:c r="A622" s="5" t="str">
        <x:v>D02</x:v>
      </x:c>
      <x:c r="B622" s="5" t="str">
        <x:v>D02-T04</x:v>
      </x:c>
      <x:c r="C622" s="5" t="str">
        <x:v>Quantitative Scorecard</x:v>
      </x:c>
      <x:c r="D622" s="5" t="n">
        <x:v>238</x:v>
      </x:c>
      <x:c r="E622" s="5" t="n">
        <x:v>3</x:v>
      </x:c>
      <x:c r="F622" s="5" t="str">
        <x:v>Target (Day 60)</x:v>
      </x:c>
      <x:c r="G622" s="5" t="n">
        <x:v>1</x:v>
      </x:c>
      <x:c r="H622" s="5" t="n">
        <x:v>1</x:v>
      </x:c>
      <x:c r="I622" s="5" t="str">
        <x:v>3 advanced</x:v>
      </x:c>
      <x:c r="J622" s="5" t="str">
        <x:v>SOURCE QUOTE; unvalidated / superseded assessments</x:v>
      </x:c>
      <x:c r="L622" s="31" t="str">
        <x:v>D02, Markdown line 238; http://nas-1.tail55d152.ts.net:4100/static/2S_NORDIC_MARKET_PENETRATION_AND_ECOSYSTEM_ACCELERATOR.html</x:v>
      </x:c>
    </x:row>
    <x:row r="623" ht="42" customHeight="1">
      <x:c r="A623" s="5" t="str">
        <x:v>D02</x:v>
      </x:c>
      <x:c r="B623" s="5" t="str">
        <x:v>D02-T04</x:v>
      </x:c>
      <x:c r="C623" s="5" t="str">
        <x:v>Quantitative Scorecard</x:v>
      </x:c>
      <x:c r="D623" s="5" t="n">
        <x:v>238</x:v>
      </x:c>
      <x:c r="E623" s="5" t="n">
        <x:v>4</x:v>
      </x:c>
      <x:c r="F623" s="5" t="str">
        <x:v>Target (Day 90)</x:v>
      </x:c>
      <x:c r="G623" s="5" t="n">
        <x:v>1</x:v>
      </x:c>
      <x:c r="H623" s="5" t="n">
        <x:v>1</x:v>
      </x:c>
      <x:c r="I623" s="5" t="str">
        <x:v>2 signed</x:v>
      </x:c>
      <x:c r="J623" s="5" t="str">
        <x:v>SOURCE QUOTE; unvalidated / superseded assessments</x:v>
      </x:c>
      <x:c r="L623" s="31" t="str">
        <x:v>D02, Markdown line 238; http://nas-1.tail55d152.ts.net:4100/static/2S_NORDIC_MARKET_PENETRATION_AND_ECOSYSTEM_ACCELERATOR.html</x:v>
      </x:c>
    </x:row>
    <x:row r="624" ht="42" customHeight="1">
      <x:c r="A624" s="5" t="str">
        <x:v>D02</x:v>
      </x:c>
      <x:c r="B624" s="5" t="str">
        <x:v>D02-T04</x:v>
      </x:c>
      <x:c r="C624" s="5" t="str">
        <x:v>Quantitative Scorecard</x:v>
      </x:c>
      <x:c r="D624" s="5" t="n">
        <x:v>238</x:v>
      </x:c>
      <x:c r="E624" s="5" t="n">
        <x:v>5</x:v>
      </x:c>
      <x:c r="F624" s="5" t="str">
        <x:v>Owner</x:v>
      </x:c>
      <x:c r="G624" s="5" t="n">
        <x:v>1</x:v>
      </x:c>
      <x:c r="H624" s="5" t="n">
        <x:v>1</x:v>
      </x:c>
      <x:c r="I624" s="5" t="str">
        <x:v>Hichem Sellami</x:v>
      </x:c>
      <x:c r="J624" s="5" t="str">
        <x:v>SOURCE QUOTE; unvalidated / superseded assessments</x:v>
      </x:c>
      <x:c r="L624" s="31" t="str">
        <x:v>D02, Markdown line 238; http://nas-1.tail55d152.ts.net:4100/static/2S_NORDIC_MARKET_PENETRATION_AND_ECOSYSTEM_ACCELERATOR.html</x:v>
      </x:c>
    </x:row>
    <x:row r="625" ht="42" customHeight="1">
      <x:c r="A625" s="5" t="str">
        <x:v>D02</x:v>
      </x:c>
      <x:c r="B625" s="5" t="str">
        <x:v>D02-T04</x:v>
      </x:c>
      <x:c r="C625" s="5" t="str">
        <x:v>Quantitative Scorecard</x:v>
      </x:c>
      <x:c r="D625" s="5" t="n">
        <x:v>239</x:v>
      </x:c>
      <x:c r="E625" s="5" t="n">
        <x:v>1</x:v>
      </x:c>
      <x:c r="F625" s="5" t="str">
        <x:v>Metric</x:v>
      </x:c>
      <x:c r="G625" s="5" t="n">
        <x:v>1</x:v>
      </x:c>
      <x:c r="H625" s="5" t="n">
        <x:v>1</x:v>
      </x:c>
      <x:c r="I625" s="5" t="str">
        <x:v>VC / PE Fund Introductions</x:v>
      </x:c>
      <x:c r="J625" s="5" t="str">
        <x:v>SOURCE QUOTE; unvalidated / superseded assessments</x:v>
      </x:c>
      <x:c r="L625" s="31" t="str">
        <x:v>D02, Markdown line 239; http://nas-1.tail55d152.ts.net:4100/static/2S_NORDIC_MARKET_PENETRATION_AND_ECOSYSTEM_ACCELERATOR.html</x:v>
      </x:c>
    </x:row>
    <x:row r="626" ht="42" customHeight="1">
      <x:c r="A626" s="5" t="str">
        <x:v>D02</x:v>
      </x:c>
      <x:c r="B626" s="5" t="str">
        <x:v>D02-T04</x:v>
      </x:c>
      <x:c r="C626" s="5" t="str">
        <x:v>Quantitative Scorecard</x:v>
      </x:c>
      <x:c r="D626" s="5" t="n">
        <x:v>239</x:v>
      </x:c>
      <x:c r="E626" s="5" t="n">
        <x:v>2</x:v>
      </x:c>
      <x:c r="F626" s="5" t="str">
        <x:v>Target (Day 30)</x:v>
      </x:c>
      <x:c r="G626" s="5" t="n">
        <x:v>1</x:v>
      </x:c>
      <x:c r="H626" s="5" t="n">
        <x:v>1</x:v>
      </x:c>
      <x:c r="I626" s="5" t="str">
        <x:v>2</x:v>
      </x:c>
      <x:c r="J626" s="5" t="str">
        <x:v>SOURCE QUOTE; unvalidated / superseded assessments</x:v>
      </x:c>
      <x:c r="L626" s="31" t="str">
        <x:v>D02, Markdown line 239; http://nas-1.tail55d152.ts.net:4100/static/2S_NORDIC_MARKET_PENETRATION_AND_ECOSYSTEM_ACCELERATOR.html</x:v>
      </x:c>
    </x:row>
    <x:row r="627" ht="42" customHeight="1">
      <x:c r="A627" s="5" t="str">
        <x:v>D02</x:v>
      </x:c>
      <x:c r="B627" s="5" t="str">
        <x:v>D02-T04</x:v>
      </x:c>
      <x:c r="C627" s="5" t="str">
        <x:v>Quantitative Scorecard</x:v>
      </x:c>
      <x:c r="D627" s="5" t="n">
        <x:v>239</x:v>
      </x:c>
      <x:c r="E627" s="5" t="n">
        <x:v>3</x:v>
      </x:c>
      <x:c r="F627" s="5" t="str">
        <x:v>Target (Day 60)</x:v>
      </x:c>
      <x:c r="G627" s="5" t="n">
        <x:v>1</x:v>
      </x:c>
      <x:c r="H627" s="5" t="n">
        <x:v>1</x:v>
      </x:c>
      <x:c r="I627" s="5" t="str">
        <x:v>5</x:v>
      </x:c>
      <x:c r="J627" s="5" t="str">
        <x:v>SOURCE QUOTE; unvalidated / superseded assessments</x:v>
      </x:c>
      <x:c r="L627" s="31" t="str">
        <x:v>D02, Markdown line 239; http://nas-1.tail55d152.ts.net:4100/static/2S_NORDIC_MARKET_PENETRATION_AND_ECOSYSTEM_ACCELERATOR.html</x:v>
      </x:c>
    </x:row>
    <x:row r="628" ht="42" customHeight="1">
      <x:c r="A628" s="5" t="str">
        <x:v>D02</x:v>
      </x:c>
      <x:c r="B628" s="5" t="str">
        <x:v>D02-T04</x:v>
      </x:c>
      <x:c r="C628" s="5" t="str">
        <x:v>Quantitative Scorecard</x:v>
      </x:c>
      <x:c r="D628" s="5" t="n">
        <x:v>239</x:v>
      </x:c>
      <x:c r="E628" s="5" t="n">
        <x:v>4</x:v>
      </x:c>
      <x:c r="F628" s="5" t="str">
        <x:v>Target (Day 90)</x:v>
      </x:c>
      <x:c r="G628" s="5" t="n">
        <x:v>1</x:v>
      </x:c>
      <x:c r="H628" s="5" t="n">
        <x:v>1</x:v>
      </x:c>
      <x:c r="I628" s="5" t="str">
        <x:v>5 (1 formal retainer)</x:v>
      </x:c>
      <x:c r="J628" s="5" t="str">
        <x:v>SOURCE QUOTE; unvalidated / superseded assessments</x:v>
      </x:c>
      <x:c r="L628" s="31" t="str">
        <x:v>D02, Markdown line 239; http://nas-1.tail55d152.ts.net:4100/static/2S_NORDIC_MARKET_PENETRATION_AND_ECOSYSTEM_ACCELERATOR.html</x:v>
      </x:c>
    </x:row>
    <x:row r="629" ht="42" customHeight="1">
      <x:c r="A629" s="5" t="str">
        <x:v>D02</x:v>
      </x:c>
      <x:c r="B629" s="5" t="str">
        <x:v>D02-T04</x:v>
      </x:c>
      <x:c r="C629" s="5" t="str">
        <x:v>Quantitative Scorecard</x:v>
      </x:c>
      <x:c r="D629" s="5" t="n">
        <x:v>239</x:v>
      </x:c>
      <x:c r="E629" s="5" t="n">
        <x:v>5</x:v>
      </x:c>
      <x:c r="F629" s="5" t="str">
        <x:v>Owner</x:v>
      </x:c>
      <x:c r="G629" s="5" t="n">
        <x:v>1</x:v>
      </x:c>
      <x:c r="H629" s="5" t="n">
        <x:v>1</x:v>
      </x:c>
      <x:c r="I629" s="5" t="str">
        <x:v>Hichem Sellami</x:v>
      </x:c>
      <x:c r="J629" s="5" t="str">
        <x:v>SOURCE QUOTE; unvalidated / superseded assessments</x:v>
      </x:c>
      <x:c r="L629" s="31" t="str">
        <x:v>D02, Markdown line 239; http://nas-1.tail55d152.ts.net:4100/static/2S_NORDIC_MARKET_PENETRATION_AND_ECOSYSTEM_ACCELERATOR.html</x:v>
      </x:c>
    </x:row>
    <x:row r="630" ht="42" customHeight="1">
      <x:c r="A630" s="5" t="str">
        <x:v>D02</x:v>
      </x:c>
      <x:c r="B630" s="5" t="str">
        <x:v>D02-T04</x:v>
      </x:c>
      <x:c r="C630" s="5" t="str">
        <x:v>Quantitative Scorecard</x:v>
      </x:c>
      <x:c r="D630" s="5" t="n">
        <x:v>240</x:v>
      </x:c>
      <x:c r="E630" s="5" t="n">
        <x:v>1</x:v>
      </x:c>
      <x:c r="F630" s="5" t="str">
        <x:v>Metric</x:v>
      </x:c>
      <x:c r="G630" s="5" t="n">
        <x:v>1</x:v>
      </x:c>
      <x:c r="H630" s="5" t="n">
        <x:v>1</x:v>
      </x:c>
      <x:c r="I630" s="5" t="str">
        <x:v>Tier 1 &amp; Tier 2 Accounts Engaged</x:v>
      </x:c>
      <x:c r="J630" s="5" t="str">
        <x:v>SOURCE QUOTE; unvalidated / superseded assessments</x:v>
      </x:c>
      <x:c r="L630" s="31" t="str">
        <x:v>D02, Markdown line 240; http://nas-1.tail55d152.ts.net:4100/static/2S_NORDIC_MARKET_PENETRATION_AND_ECOSYSTEM_ACCELERATOR.html</x:v>
      </x:c>
    </x:row>
    <x:row r="631" ht="42" customHeight="1">
      <x:c r="A631" s="5" t="str">
        <x:v>D02</x:v>
      </x:c>
      <x:c r="B631" s="5" t="str">
        <x:v>D02-T04</x:v>
      </x:c>
      <x:c r="C631" s="5" t="str">
        <x:v>Quantitative Scorecard</x:v>
      </x:c>
      <x:c r="D631" s="5" t="n">
        <x:v>240</x:v>
      </x:c>
      <x:c r="E631" s="5" t="n">
        <x:v>2</x:v>
      </x:c>
      <x:c r="F631" s="5" t="str">
        <x:v>Target (Day 30)</x:v>
      </x:c>
      <x:c r="G631" s="5" t="n">
        <x:v>1</x:v>
      </x:c>
      <x:c r="H631" s="5" t="n">
        <x:v>1</x:v>
      </x:c>
      <x:c r="I631" s="5" t="str">
        <x:v>15</x:v>
      </x:c>
      <x:c r="J631" s="5" t="str">
        <x:v>SOURCE QUOTE; unvalidated / superseded assessments</x:v>
      </x:c>
      <x:c r="L631" s="31" t="str">
        <x:v>D02, Markdown line 240; http://nas-1.tail55d152.ts.net:4100/static/2S_NORDIC_MARKET_PENETRATION_AND_ECOSYSTEM_ACCELERATOR.html</x:v>
      </x:c>
    </x:row>
    <x:row r="632" ht="42" customHeight="1">
      <x:c r="A632" s="5" t="str">
        <x:v>D02</x:v>
      </x:c>
      <x:c r="B632" s="5" t="str">
        <x:v>D02-T04</x:v>
      </x:c>
      <x:c r="C632" s="5" t="str">
        <x:v>Quantitative Scorecard</x:v>
      </x:c>
      <x:c r="D632" s="5" t="n">
        <x:v>240</x:v>
      </x:c>
      <x:c r="E632" s="5" t="n">
        <x:v>3</x:v>
      </x:c>
      <x:c r="F632" s="5" t="str">
        <x:v>Target (Day 60)</x:v>
      </x:c>
      <x:c r="G632" s="5" t="n">
        <x:v>1</x:v>
      </x:c>
      <x:c r="H632" s="5" t="n">
        <x:v>1</x:v>
      </x:c>
      <x:c r="I632" s="5" t="str">
        <x:v>35</x:v>
      </x:c>
      <x:c r="J632" s="5" t="str">
        <x:v>SOURCE QUOTE; unvalidated / superseded assessments</x:v>
      </x:c>
      <x:c r="L632" s="31" t="str">
        <x:v>D02, Markdown line 240; http://nas-1.tail55d152.ts.net:4100/static/2S_NORDIC_MARKET_PENETRATION_AND_ECOSYSTEM_ACCELERATOR.html</x:v>
      </x:c>
    </x:row>
    <x:row r="633" ht="42" customHeight="1">
      <x:c r="A633" s="5" t="str">
        <x:v>D02</x:v>
      </x:c>
      <x:c r="B633" s="5" t="str">
        <x:v>D02-T04</x:v>
      </x:c>
      <x:c r="C633" s="5" t="str">
        <x:v>Quantitative Scorecard</x:v>
      </x:c>
      <x:c r="D633" s="5" t="n">
        <x:v>240</x:v>
      </x:c>
      <x:c r="E633" s="5" t="n">
        <x:v>4</x:v>
      </x:c>
      <x:c r="F633" s="5" t="str">
        <x:v>Target (Day 90)</x:v>
      </x:c>
      <x:c r="G633" s="5" t="n">
        <x:v>1</x:v>
      </x:c>
      <x:c r="H633" s="5" t="n">
        <x:v>1</x:v>
      </x:c>
      <x:c r="I633" s="5" t="str">
        <x:v>50</x:v>
      </x:c>
      <x:c r="J633" s="5" t="str">
        <x:v>SOURCE QUOTE; unvalidated / superseded assessments</x:v>
      </x:c>
      <x:c r="L633" s="31" t="str">
        <x:v>D02, Markdown line 240; http://nas-1.tail55d152.ts.net:4100/static/2S_NORDIC_MARKET_PENETRATION_AND_ECOSYSTEM_ACCELERATOR.html</x:v>
      </x:c>
    </x:row>
    <x:row r="634" ht="42" customHeight="1">
      <x:c r="A634" s="5" t="str">
        <x:v>D02</x:v>
      </x:c>
      <x:c r="B634" s="5" t="str">
        <x:v>D02-T04</x:v>
      </x:c>
      <x:c r="C634" s="5" t="str">
        <x:v>Quantitative Scorecard</x:v>
      </x:c>
      <x:c r="D634" s="5" t="n">
        <x:v>240</x:v>
      </x:c>
      <x:c r="E634" s="5" t="n">
        <x:v>5</x:v>
      </x:c>
      <x:c r="F634" s="5" t="str">
        <x:v>Owner</x:v>
      </x:c>
      <x:c r="G634" s="5" t="n">
        <x:v>1</x:v>
      </x:c>
      <x:c r="H634" s="5" t="n">
        <x:v>1</x:v>
      </x:c>
      <x:c r="I634" s="5" t="str">
        <x:v>Outbound Lead</x:v>
      </x:c>
      <x:c r="J634" s="5" t="str">
        <x:v>SOURCE QUOTE; unvalidated / superseded assessments</x:v>
      </x:c>
      <x:c r="L634" s="31" t="str">
        <x:v>D02, Markdown line 240; http://nas-1.tail55d152.ts.net:4100/static/2S_NORDIC_MARKET_PENETRATION_AND_ECOSYSTEM_ACCELERATOR.html</x:v>
      </x:c>
    </x:row>
    <x:row r="635" ht="42" customHeight="1">
      <x:c r="A635" s="5" t="str">
        <x:v>D02</x:v>
      </x:c>
      <x:c r="B635" s="5" t="str">
        <x:v>D02-T04</x:v>
      </x:c>
      <x:c r="C635" s="5" t="str">
        <x:v>Quantitative Scorecard</x:v>
      </x:c>
      <x:c r="D635" s="5" t="n">
        <x:v>241</x:v>
      </x:c>
      <x:c r="E635" s="5" t="n">
        <x:v>1</x:v>
      </x:c>
      <x:c r="F635" s="5" t="str">
        <x:v>Metric</x:v>
      </x:c>
      <x:c r="G635" s="5" t="n">
        <x:v>1</x:v>
      </x:c>
      <x:c r="H635" s="5" t="n">
        <x:v>1</x:v>
      </x:c>
      <x:c r="I635" s="5" t="str">
        <x:v>Masterclass Executive Attendees</x:v>
      </x:c>
      <x:c r="J635" s="5" t="str">
        <x:v>SOURCE QUOTE; unvalidated / superseded assessments</x:v>
      </x:c>
      <x:c r="L635" s="31" t="str">
        <x:v>D02, Markdown line 241; http://nas-1.tail55d152.ts.net:4100/static/2S_NORDIC_MARKET_PENETRATION_AND_ECOSYSTEM_ACCELERATOR.html</x:v>
      </x:c>
    </x:row>
    <x:row r="636" ht="42" customHeight="1">
      <x:c r="A636" s="5" t="str">
        <x:v>D02</x:v>
      </x:c>
      <x:c r="B636" s="5" t="str">
        <x:v>D02-T04</x:v>
      </x:c>
      <x:c r="C636" s="5" t="str">
        <x:v>Quantitative Scorecard</x:v>
      </x:c>
      <x:c r="D636" s="5" t="n">
        <x:v>241</x:v>
      </x:c>
      <x:c r="E636" s="5" t="n">
        <x:v>2</x:v>
      </x:c>
      <x:c r="F636" s="5" t="str">
        <x:v>Target (Day 30)</x:v>
      </x:c>
      <x:c r="G636" s="5" t="n">
        <x:v>1</x:v>
      </x:c>
      <x:c r="H636" s="5" t="n">
        <x:v>1</x:v>
      </x:c>
      <x:c r="I636" s="5" t="str">
        <x:v>—</x:v>
      </x:c>
      <x:c r="J636" s="5" t="str">
        <x:v>SOURCE QUOTE; unvalidated / superseded assessments</x:v>
      </x:c>
      <x:c r="L636" s="31" t="str">
        <x:v>D02, Markdown line 241; http://nas-1.tail55d152.ts.net:4100/static/2S_NORDIC_MARKET_PENETRATION_AND_ECOSYSTEM_ACCELERATOR.html</x:v>
      </x:c>
    </x:row>
    <x:row r="637" ht="42" customHeight="1">
      <x:c r="A637" s="5" t="str">
        <x:v>D02</x:v>
      </x:c>
      <x:c r="B637" s="5" t="str">
        <x:v>D02-T04</x:v>
      </x:c>
      <x:c r="C637" s="5" t="str">
        <x:v>Quantitative Scorecard</x:v>
      </x:c>
      <x:c r="D637" s="5" t="n">
        <x:v>241</x:v>
      </x:c>
      <x:c r="E637" s="5" t="n">
        <x:v>3</x:v>
      </x:c>
      <x:c r="F637" s="5" t="str">
        <x:v>Target (Day 60)</x:v>
      </x:c>
      <x:c r="G637" s="5" t="n">
        <x:v>1</x:v>
      </x:c>
      <x:c r="H637" s="5" t="n">
        <x:v>1</x:v>
      </x:c>
      <x:c r="I637" s="5" t="str">
        <x:v>45</x:v>
      </x:c>
      <x:c r="J637" s="5" t="str">
        <x:v>SOURCE QUOTE; unvalidated / superseded assessments</x:v>
      </x:c>
      <x:c r="L637" s="31" t="str">
        <x:v>D02, Markdown line 241; http://nas-1.tail55d152.ts.net:4100/static/2S_NORDIC_MARKET_PENETRATION_AND_ECOSYSTEM_ACCELERATOR.html</x:v>
      </x:c>
    </x:row>
    <x:row r="638" ht="42" customHeight="1">
      <x:c r="A638" s="5" t="str">
        <x:v>D02</x:v>
      </x:c>
      <x:c r="B638" s="5" t="str">
        <x:v>D02-T04</x:v>
      </x:c>
      <x:c r="C638" s="5" t="str">
        <x:v>Quantitative Scorecard</x:v>
      </x:c>
      <x:c r="D638" s="5" t="n">
        <x:v>241</x:v>
      </x:c>
      <x:c r="E638" s="5" t="n">
        <x:v>4</x:v>
      </x:c>
      <x:c r="F638" s="5" t="str">
        <x:v>Target (Day 90)</x:v>
      </x:c>
      <x:c r="G638" s="5" t="n">
        <x:v>1</x:v>
      </x:c>
      <x:c r="H638" s="5" t="n">
        <x:v>1</x:v>
      </x:c>
      <x:c r="I638" s="5" t="str">
        <x:v>90</x:v>
      </x:c>
      <x:c r="J638" s="5" t="str">
        <x:v>SOURCE QUOTE; unvalidated / superseded assessments</x:v>
      </x:c>
      <x:c r="L638" s="31" t="str">
        <x:v>D02, Markdown line 241; http://nas-1.tail55d152.ts.net:4100/static/2S_NORDIC_MARKET_PENETRATION_AND_ECOSYSTEM_ACCELERATOR.html</x:v>
      </x:c>
    </x:row>
    <x:row r="639" ht="42" customHeight="1">
      <x:c r="A639" s="5" t="str">
        <x:v>D02</x:v>
      </x:c>
      <x:c r="B639" s="5" t="str">
        <x:v>D02-T04</x:v>
      </x:c>
      <x:c r="C639" s="5" t="str">
        <x:v>Quantitative Scorecard</x:v>
      </x:c>
      <x:c r="D639" s="5" t="n">
        <x:v>241</x:v>
      </x:c>
      <x:c r="E639" s="5" t="n">
        <x:v>5</x:v>
      </x:c>
      <x:c r="F639" s="5" t="str">
        <x:v>Owner</x:v>
      </x:c>
      <x:c r="G639" s="5" t="n">
        <x:v>1</x:v>
      </x:c>
      <x:c r="H639" s="5" t="n">
        <x:v>1</x:v>
      </x:c>
      <x:c r="I639" s="5" t="str">
        <x:v>Numantra Marketing</x:v>
      </x:c>
      <x:c r="J639" s="5" t="str">
        <x:v>SOURCE QUOTE; unvalidated / superseded assessments</x:v>
      </x:c>
      <x:c r="L639" s="31" t="str">
        <x:v>D02, Markdown line 241; http://nas-1.tail55d152.ts.net:4100/static/2S_NORDIC_MARKET_PENETRATION_AND_ECOSYSTEM_ACCELERATOR.html</x:v>
      </x:c>
    </x:row>
    <x:row r="640" ht="42" customHeight="1">
      <x:c r="A640" s="5" t="str">
        <x:v>D02</x:v>
      </x:c>
      <x:c r="B640" s="5" t="str">
        <x:v>D02-T04</x:v>
      </x:c>
      <x:c r="C640" s="5" t="str">
        <x:v>Quantitative Scorecard</x:v>
      </x:c>
      <x:c r="D640" s="5" t="n">
        <x:v>242</x:v>
      </x:c>
      <x:c r="E640" s="5" t="n">
        <x:v>1</x:v>
      </x:c>
      <x:c r="F640" s="5" t="str">
        <x:v>Metric</x:v>
      </x:c>
      <x:c r="G640" s="5" t="n">
        <x:v>1</x:v>
      </x:c>
      <x:c r="H640" s="5" t="n">
        <x:v>1</x:v>
      </x:c>
      <x:c r="I640" s="5" t="str">
        <x:v>Qualified Opportunity Pipeline</x:v>
      </x:c>
      <x:c r="J640" s="5" t="str">
        <x:v>SOURCE QUOTE; unvalidated / superseded assessments</x:v>
      </x:c>
      <x:c r="L640" s="31" t="str">
        <x:v>D02, Markdown line 242; http://nas-1.tail55d152.ts.net:4100/static/2S_NORDIC_MARKET_PENETRATION_AND_ECOSYSTEM_ACCELERATOR.html</x:v>
      </x:c>
    </x:row>
    <x:row r="641" ht="42" customHeight="1">
      <x:c r="A641" s="5" t="str">
        <x:v>D02</x:v>
      </x:c>
      <x:c r="B641" s="5" t="str">
        <x:v>D02-T04</x:v>
      </x:c>
      <x:c r="C641" s="5" t="str">
        <x:v>Quantitative Scorecard</x:v>
      </x:c>
      <x:c r="D641" s="5" t="n">
        <x:v>242</x:v>
      </x:c>
      <x:c r="E641" s="5" t="n">
        <x:v>2</x:v>
      </x:c>
      <x:c r="F641" s="5" t="str">
        <x:v>Target (Day 30)</x:v>
      </x:c>
      <x:c r="G641" s="5" t="n">
        <x:v>1</x:v>
      </x:c>
      <x:c r="H641" s="5" t="n">
        <x:v>1</x:v>
      </x:c>
      <x:c r="I641" s="5" t="str">
        <x:v>€120,000</x:v>
      </x:c>
      <x:c r="J641" s="5" t="str">
        <x:v>SOURCE QUOTE; unvalidated / superseded assessments</x:v>
      </x:c>
      <x:c r="L641" s="31" t="str">
        <x:v>D02, Markdown line 242; http://nas-1.tail55d152.ts.net:4100/static/2S_NORDIC_MARKET_PENETRATION_AND_ECOSYSTEM_ACCELERATOR.html</x:v>
      </x:c>
    </x:row>
    <x:row r="642" ht="42" customHeight="1">
      <x:c r="A642" s="5" t="str">
        <x:v>D02</x:v>
      </x:c>
      <x:c r="B642" s="5" t="str">
        <x:v>D02-T04</x:v>
      </x:c>
      <x:c r="C642" s="5" t="str">
        <x:v>Quantitative Scorecard</x:v>
      </x:c>
      <x:c r="D642" s="5" t="n">
        <x:v>242</x:v>
      </x:c>
      <x:c r="E642" s="5" t="n">
        <x:v>3</x:v>
      </x:c>
      <x:c r="F642" s="5" t="str">
        <x:v>Target (Day 60)</x:v>
      </x:c>
      <x:c r="G642" s="5" t="n">
        <x:v>1</x:v>
      </x:c>
      <x:c r="H642" s="5" t="n">
        <x:v>1</x:v>
      </x:c>
      <x:c r="I642" s="5" t="str">
        <x:v>€300,000</x:v>
      </x:c>
      <x:c r="J642" s="5" t="str">
        <x:v>SOURCE QUOTE; unvalidated / superseded assessments</x:v>
      </x:c>
      <x:c r="L642" s="31" t="str">
        <x:v>D02, Markdown line 242; http://nas-1.tail55d152.ts.net:4100/static/2S_NORDIC_MARKET_PENETRATION_AND_ECOSYSTEM_ACCELERATOR.html</x:v>
      </x:c>
    </x:row>
    <x:row r="643" ht="42" customHeight="1">
      <x:c r="A643" s="5" t="str">
        <x:v>D02</x:v>
      </x:c>
      <x:c r="B643" s="5" t="str">
        <x:v>D02-T04</x:v>
      </x:c>
      <x:c r="C643" s="5" t="str">
        <x:v>Quantitative Scorecard</x:v>
      </x:c>
      <x:c r="D643" s="5" t="n">
        <x:v>242</x:v>
      </x:c>
      <x:c r="E643" s="5" t="n">
        <x:v>4</x:v>
      </x:c>
      <x:c r="F643" s="5" t="str">
        <x:v>Target (Day 90)</x:v>
      </x:c>
      <x:c r="G643" s="5" t="n">
        <x:v>1</x:v>
      </x:c>
      <x:c r="H643" s="5" t="n">
        <x:v>1</x:v>
      </x:c>
      <x:c r="I643" s="5" t="str">
        <x:v>€500,000+</x:v>
      </x:c>
      <x:c r="J643" s="5" t="str">
        <x:v>SOURCE QUOTE; unvalidated / superseded assessments</x:v>
      </x:c>
      <x:c r="L643" s="31" t="str">
        <x:v>D02, Markdown line 242; http://nas-1.tail55d152.ts.net:4100/static/2S_NORDIC_MARKET_PENETRATION_AND_ECOSYSTEM_ACCELERATOR.html</x:v>
      </x:c>
    </x:row>
    <x:row r="644" ht="42" customHeight="1">
      <x:c r="A644" s="5" t="str">
        <x:v>D02</x:v>
      </x:c>
      <x:c r="B644" s="5" t="str">
        <x:v>D02-T04</x:v>
      </x:c>
      <x:c r="C644" s="5" t="str">
        <x:v>Quantitative Scorecard</x:v>
      </x:c>
      <x:c r="D644" s="5" t="n">
        <x:v>242</x:v>
      </x:c>
      <x:c r="E644" s="5" t="n">
        <x:v>5</x:v>
      </x:c>
      <x:c r="F644" s="5" t="str">
        <x:v>Owner</x:v>
      </x:c>
      <x:c r="G644" s="5" t="n">
        <x:v>1</x:v>
      </x:c>
      <x:c r="H644" s="5" t="n">
        <x:v>1</x:v>
      </x:c>
      <x:c r="I644" s="5" t="str">
        <x:v>Executive Team</x:v>
      </x:c>
      <x:c r="J644" s="5" t="str">
        <x:v>SOURCE QUOTE; unvalidated / superseded assessments</x:v>
      </x:c>
      <x:c r="L644" s="31" t="str">
        <x:v>D02, Markdown line 242; http://nas-1.tail55d152.ts.net:4100/static/2S_NORDIC_MARKET_PENETRATION_AND_ECOSYSTEM_ACCELERATOR.html</x:v>
      </x:c>
    </x:row>
    <x:row r="645" ht="42" customHeight="1">
      <x:c r="A645" s="5" t="str">
        <x:v>D02</x:v>
      </x:c>
      <x:c r="B645" s="5" t="str">
        <x:v>D02-T04</x:v>
      </x:c>
      <x:c r="C645" s="5" t="str">
        <x:v>Quantitative Scorecard</x:v>
      </x:c>
      <x:c r="D645" s="5" t="n">
        <x:v>243</x:v>
      </x:c>
      <x:c r="E645" s="5" t="n">
        <x:v>1</x:v>
      </x:c>
      <x:c r="F645" s="5" t="str">
        <x:v>Metric</x:v>
      </x:c>
      <x:c r="G645" s="5" t="n">
        <x:v>1</x:v>
      </x:c>
      <x:c r="H645" s="5" t="n">
        <x:v>1</x:v>
      </x:c>
      <x:c r="I645" s="5" t="str">
        <x:v>Contracted Revenue</x:v>
      </x:c>
      <x:c r="J645" s="5" t="str">
        <x:v>SOURCE QUOTE; unvalidated / superseded assessments</x:v>
      </x:c>
      <x:c r="L645" s="31" t="str">
        <x:v>D02, Markdown line 243; http://nas-1.tail55d152.ts.net:4100/static/2S_NORDIC_MARKET_PENETRATION_AND_ECOSYSTEM_ACCELERATOR.html</x:v>
      </x:c>
    </x:row>
    <x:row r="646" ht="42" customHeight="1">
      <x:c r="A646" s="5" t="str">
        <x:v>D02</x:v>
      </x:c>
      <x:c r="B646" s="5" t="str">
        <x:v>D02-T04</x:v>
      </x:c>
      <x:c r="C646" s="5" t="str">
        <x:v>Quantitative Scorecard</x:v>
      </x:c>
      <x:c r="D646" s="5" t="n">
        <x:v>243</x:v>
      </x:c>
      <x:c r="E646" s="5" t="n">
        <x:v>2</x:v>
      </x:c>
      <x:c r="F646" s="5" t="str">
        <x:v>Target (Day 30)</x:v>
      </x:c>
      <x:c r="G646" s="5" t="n">
        <x:v>1</x:v>
      </x:c>
      <x:c r="H646" s="5" t="n">
        <x:v>1</x:v>
      </x:c>
      <x:c r="I646" s="5" t="str">
        <x:v>€25,000</x:v>
      </x:c>
      <x:c r="J646" s="5" t="str">
        <x:v>SOURCE QUOTE; unvalidated / superseded assessments</x:v>
      </x:c>
      <x:c r="L646" s="31" t="str">
        <x:v>D02, Markdown line 243; http://nas-1.tail55d152.ts.net:4100/static/2S_NORDIC_MARKET_PENETRATION_AND_ECOSYSTEM_ACCELERATOR.html</x:v>
      </x:c>
    </x:row>
    <x:row r="647" ht="42" customHeight="1">
      <x:c r="A647" s="5" t="str">
        <x:v>D02</x:v>
      </x:c>
      <x:c r="B647" s="5" t="str">
        <x:v>D02-T04</x:v>
      </x:c>
      <x:c r="C647" s="5" t="str">
        <x:v>Quantitative Scorecard</x:v>
      </x:c>
      <x:c r="D647" s="5" t="n">
        <x:v>243</x:v>
      </x:c>
      <x:c r="E647" s="5" t="n">
        <x:v>3</x:v>
      </x:c>
      <x:c r="F647" s="5" t="str">
        <x:v>Target (Day 60)</x:v>
      </x:c>
      <x:c r="G647" s="5" t="n">
        <x:v>1</x:v>
      </x:c>
      <x:c r="H647" s="5" t="n">
        <x:v>1</x:v>
      </x:c>
      <x:c r="I647" s="5" t="str">
        <x:v>€65,000</x:v>
      </x:c>
      <x:c r="J647" s="5" t="str">
        <x:v>SOURCE QUOTE; unvalidated / superseded assessments</x:v>
      </x:c>
      <x:c r="L647" s="31" t="str">
        <x:v>D02, Markdown line 243; http://nas-1.tail55d152.ts.net:4100/static/2S_NORDIC_MARKET_PENETRATION_AND_ECOSYSTEM_ACCELERATOR.html</x:v>
      </x:c>
    </x:row>
    <x:row r="648" ht="42" customHeight="1">
      <x:c r="A648" s="5" t="str">
        <x:v>D02</x:v>
      </x:c>
      <x:c r="B648" s="5" t="str">
        <x:v>D02-T04</x:v>
      </x:c>
      <x:c r="C648" s="5" t="str">
        <x:v>Quantitative Scorecard</x:v>
      </x:c>
      <x:c r="D648" s="5" t="n">
        <x:v>243</x:v>
      </x:c>
      <x:c r="E648" s="5" t="n">
        <x:v>4</x:v>
      </x:c>
      <x:c r="F648" s="5" t="str">
        <x:v>Target (Day 90)</x:v>
      </x:c>
      <x:c r="G648" s="5" t="n">
        <x:v>1</x:v>
      </x:c>
      <x:c r="H648" s="5" t="n">
        <x:v>1</x:v>
      </x:c>
      <x:c r="I648" s="5" t="str">
        <x:v>€140,000+</x:v>
      </x:c>
      <x:c r="J648" s="5" t="str">
        <x:v>SOURCE QUOTE; unvalidated / superseded assessments</x:v>
      </x:c>
      <x:c r="L648" s="31" t="str">
        <x:v>D02, Markdown line 243; http://nas-1.tail55d152.ts.net:4100/static/2S_NORDIC_MARKET_PENETRATION_AND_ECOSYSTEM_ACCELERATOR.html</x:v>
      </x:c>
    </x:row>
    <x:row r="649" ht="42" customHeight="1">
      <x:c r="A649" s="5" t="str">
        <x:v>D02</x:v>
      </x:c>
      <x:c r="B649" s="5" t="str">
        <x:v>D02-T04</x:v>
      </x:c>
      <x:c r="C649" s="5" t="str">
        <x:v>Quantitative Scorecard</x:v>
      </x:c>
      <x:c r="D649" s="5" t="n">
        <x:v>243</x:v>
      </x:c>
      <x:c r="E649" s="5" t="n">
        <x:v>5</x:v>
      </x:c>
      <x:c r="F649" s="5" t="str">
        <x:v>Owner</x:v>
      </x:c>
      <x:c r="G649" s="5" t="n">
        <x:v>1</x:v>
      </x:c>
      <x:c r="H649" s="5" t="n">
        <x:v>1</x:v>
      </x:c>
      <x:c r="I649" s="5" t="str">
        <x:v>Executive Team</x:v>
      </x:c>
      <x:c r="J649" s="5" t="str">
        <x:v>SOURCE QUOTE; unvalidated / superseded assessments</x:v>
      </x:c>
      <x:c r="L649" s="31" t="str">
        <x:v>D02, Markdown line 243; http://nas-1.tail55d152.ts.net:4100/static/2S_NORDIC_MARKET_PENETRATION_AND_ECOSYSTEM_ACCELERATOR.html</x:v>
      </x:c>
    </x:row>
    <x:row r="650" ht="42" customHeight="1">
      <x:c r="A650" s="5" t="str">
        <x:v>D02</x:v>
      </x:c>
      <x:c r="B650" s="5" t="str">
        <x:v>D02-T05</x:v>
      </x:c>
      <x:c r="C650" s="5" t="str">
        <x:v>ACH Diagnostic Disconfirmation Matrix (Channel Velocity Truth Table)</x:v>
      </x:c>
      <x:c r="D650" s="5" t="n">
        <x:v>267</x:v>
      </x:c>
      <x:c r="E650" s="5" t="n">
        <x:v>1</x:v>
      </x:c>
      <x:c r="F650" s="5" t="str">
        <x:v>Market Friction &amp; Strategic Dimensions</x:v>
      </x:c>
      <x:c r="G650" s="5" t="n">
        <x:v>1</x:v>
      </x:c>
      <x:c r="H650" s="5" t="n">
        <x:v>1</x:v>
      </x:c>
      <x:c r="I650" s="5" t="str">
        <x:v>$E_1$: Nordic Social Capital Barrier (Decisions favor known Scandinavian entities; outsiders face prolonged evaluation).</x:v>
      </x:c>
      <x:c r="J650" s="5" t="str">
        <x:v>SOURCE QUOTE; unvalidated / superseded assessments</x:v>
      </x:c>
      <x:c r="L650" s="31" t="str">
        <x:v>D02, Markdown line 267; http://nas-1.tail55d152.ts.net:4100/static/2S_NORDIC_MARKET_PENETRATION_AND_ECOSYSTEM_ACCELERATOR.html</x:v>
      </x:c>
    </x:row>
    <x:row r="651" ht="42" customHeight="1">
      <x:c r="A651" s="5" t="str">
        <x:v>D02</x:v>
      </x:c>
      <x:c r="B651" s="5" t="str">
        <x:v>D02-T05</x:v>
      </x:c>
      <x:c r="C651" s="5" t="str">
        <x:v>ACH Diagnostic Disconfirmation Matrix (Channel Velocity Truth Table)</x:v>
      </x:c>
      <x:c r="D651" s="5" t="n">
        <x:v>267</x:v>
      </x:c>
      <x:c r="E651" s="5" t="n">
        <x:v>2</x:v>
      </x:c>
      <x:c r="F651" s="5" t="str">
        <x:v>$H_1$ (Unilateral Entry)</x:v>
      </x:c>
      <x:c r="G651" s="5" t="n">
        <x:v>1</x:v>
      </x:c>
      <x:c r="H651" s="5" t="n">
        <x:v>1</x:v>
      </x:c>
      <x:c r="I651" s="5" t="str">
        <x:v>Inconsistent (Disproved); Requires 12+ months to establish baseline institutional trust.</x:v>
      </x:c>
      <x:c r="J651" s="5" t="str">
        <x:v>SOURCE QUOTE; unvalidated / superseded assessments</x:v>
      </x:c>
      <x:c r="L651" s="31" t="str">
        <x:v>D02, Markdown line 267; http://nas-1.tail55d152.ts.net:4100/static/2S_NORDIC_MARKET_PENETRATION_AND_ECOSYSTEM_ACCELERATOR.html</x:v>
      </x:c>
    </x:row>
    <x:row r="652" ht="42" customHeight="1">
      <x:c r="A652" s="5" t="str">
        <x:v>D02</x:v>
      </x:c>
      <x:c r="B652" s="5" t="str">
        <x:v>D02-T05</x:v>
      </x:c>
      <x:c r="C652" s="5" t="str">
        <x:v>ACH Diagnostic Disconfirmation Matrix (Channel Velocity Truth Table)</x:v>
      </x:c>
      <x:c r="D652" s="5" t="n">
        <x:v>267</x:v>
      </x:c>
      <x:c r="E652" s="5" t="n">
        <x:v>3</x:v>
      </x:c>
      <x:c r="F652" s="5" t="str">
        <x:v>$H_2$ (Agency Resellers)</x:v>
      </x:c>
      <x:c r="G652" s="5" t="n">
        <x:v>1</x:v>
      </x:c>
      <x:c r="H652" s="5" t="n">
        <x:v>1</x:v>
      </x:c>
      <x:c r="I652" s="5" t="str">
        <x:v>Inconsistent; Brokers lack technical credibility to represent complex clinical software.</x:v>
      </x:c>
      <x:c r="J652" s="5" t="str">
        <x:v>SOURCE QUOTE; unvalidated / superseded assessments</x:v>
      </x:c>
      <x:c r="L652" s="31" t="str">
        <x:v>D02, Markdown line 267; http://nas-1.tail55d152.ts.net:4100/static/2S_NORDIC_MARKET_PENETRATION_AND_ECOSYSTEM_ACCELERATOR.html</x:v>
      </x:c>
    </x:row>
    <x:row r="653" ht="42" customHeight="1">
      <x:c r="A653" s="5" t="str">
        <x:v>D02</x:v>
      </x:c>
      <x:c r="B653" s="5" t="str">
        <x:v>D02-T05</x:v>
      </x:c>
      <x:c r="C653" s="5" t="str">
        <x:v>ACH Diagnostic Disconfirmation Matrix (Channel Velocity Truth Table)</x:v>
      </x:c>
      <x:c r="D653" s="5" t="n">
        <x:v>267</x:v>
      </x:c>
      <x:c r="E653" s="5" t="n">
        <x:v>4</x:v>
      </x:c>
      <x:c r="F653" s="5" t="str">
        <x:v>$H_3$ (Bountytek AB Ecosystem Co-Opetition)</x:v>
      </x:c>
      <x:c r="G653" s="5" t="n">
        <x:v>1</x:v>
      </x:c>
      <x:c r="H653" s="5" t="n">
        <x:v>1</x:v>
      </x:c>
      <x:c r="I653" s="5" t="str">
        <x:v>Very Consistent; Bountytek AB domestic corporate identity + Semcon/Knightec established brand equity.</x:v>
      </x:c>
      <x:c r="J653" s="5" t="str">
        <x:v>SOURCE QUOTE; unvalidated / superseded assessments</x:v>
      </x:c>
      <x:c r="L653" s="31" t="str">
        <x:v>D02, Markdown line 267; http://nas-1.tail55d152.ts.net:4100/static/2S_NORDIC_MARKET_PENETRATION_AND_ECOSYSTEM_ACCELERATOR.html</x:v>
      </x:c>
    </x:row>
    <x:row r="654" ht="42" customHeight="1">
      <x:c r="A654" s="5" t="str">
        <x:v>D02</x:v>
      </x:c>
      <x:c r="B654" s="5" t="str">
        <x:v>D02-T05</x:v>
      </x:c>
      <x:c r="C654" s="5" t="str">
        <x:v>ACH Diagnostic Disconfirmation Matrix (Channel Velocity Truth Table)</x:v>
      </x:c>
      <x:c r="D654" s="5" t="n">
        <x:v>268</x:v>
      </x:c>
      <x:c r="E654" s="5" t="n">
        <x:v>1</x:v>
      </x:c>
      <x:c r="F654" s="5" t="str">
        <x:v>Market Friction &amp; Strategic Dimensions</x:v>
      </x:c>
      <x:c r="G654" s="5" t="n">
        <x:v>1</x:v>
      </x:c>
      <x:c r="H654" s="5" t="n">
        <x:v>1</x:v>
      </x:c>
      <x:c r="I654" s="5" t="str">
        <x:v>$E_2$: Customer Acquisition Cost (CAC) (Direct enterprise sales cycles in life sciences cost €25k–€60k per closed deal).</x:v>
      </x:c>
      <x:c r="J654" s="5" t="str">
        <x:v>SOURCE QUOTE; unvalidated / superseded assessments</x:v>
      </x:c>
      <x:c r="L654" s="31" t="str">
        <x:v>D02, Markdown line 268; http://nas-1.tail55d152.ts.net:4100/static/2S_NORDIC_MARKET_PENETRATION_AND_ECOSYSTEM_ACCELERATOR.html</x:v>
      </x:c>
    </x:row>
    <x:row r="655" ht="42" customHeight="1">
      <x:c r="A655" s="5" t="str">
        <x:v>D02</x:v>
      </x:c>
      <x:c r="B655" s="5" t="str">
        <x:v>D02-T05</x:v>
      </x:c>
      <x:c r="C655" s="5" t="str">
        <x:v>ACH Diagnostic Disconfirmation Matrix (Channel Velocity Truth Table)</x:v>
      </x:c>
      <x:c r="D655" s="5" t="n">
        <x:v>268</x:v>
      </x:c>
      <x:c r="E655" s="5" t="n">
        <x:v>2</x:v>
      </x:c>
      <x:c r="F655" s="5" t="str">
        <x:v>$H_1$ (Unilateral Entry)</x:v>
      </x:c>
      <x:c r="G655" s="5" t="n">
        <x:v>1</x:v>
      </x:c>
      <x:c r="H655" s="5" t="n">
        <x:v>1</x:v>
      </x:c>
      <x:c r="I655" s="5" t="str">
        <x:v>Inconsistent; High upfront cash burn with delayed cash realization.</x:v>
      </x:c>
      <x:c r="J655" s="5" t="str">
        <x:v>SOURCE QUOTE; unvalidated / superseded assessments</x:v>
      </x:c>
      <x:c r="L655" s="31" t="str">
        <x:v>D02, Markdown line 268; http://nas-1.tail55d152.ts.net:4100/static/2S_NORDIC_MARKET_PENETRATION_AND_ECOSYSTEM_ACCELERATOR.html</x:v>
      </x:c>
    </x:row>
    <x:row r="656" ht="42" customHeight="1">
      <x:c r="A656" s="5" t="str">
        <x:v>D02</x:v>
      </x:c>
      <x:c r="B656" s="5" t="str">
        <x:v>D02-T05</x:v>
      </x:c>
      <x:c r="C656" s="5" t="str">
        <x:v>ACH Diagnostic Disconfirmation Matrix (Channel Velocity Truth Table)</x:v>
      </x:c>
      <x:c r="D656" s="5" t="n">
        <x:v>268</x:v>
      </x:c>
      <x:c r="E656" s="5" t="n">
        <x:v>3</x:v>
      </x:c>
      <x:c r="F656" s="5" t="str">
        <x:v>$H_2$ (Agency Resellers)</x:v>
      </x:c>
      <x:c r="G656" s="5" t="n">
        <x:v>1</x:v>
      </x:c>
      <x:c r="H656" s="5" t="n">
        <x:v>1</x:v>
      </x:c>
      <x:c r="I656" s="5" t="str">
        <x:v>Neutral; Commission-only reduces cash outlay but yields zero qualified deals.</x:v>
      </x:c>
      <x:c r="J656" s="5" t="str">
        <x:v>SOURCE QUOTE; unvalidated / superseded assessments</x:v>
      </x:c>
      <x:c r="L656" s="31" t="str">
        <x:v>D02, Markdown line 268; http://nas-1.tail55d152.ts.net:4100/static/2S_NORDIC_MARKET_PENETRATION_AND_ECOSYSTEM_ACCELERATOR.html</x:v>
      </x:c>
    </x:row>
    <x:row r="657" ht="42" customHeight="1">
      <x:c r="A657" s="5" t="str">
        <x:v>D02</x:v>
      </x:c>
      <x:c r="B657" s="5" t="str">
        <x:v>D02-T05</x:v>
      </x:c>
      <x:c r="C657" s="5" t="str">
        <x:v>ACH Diagnostic Disconfirmation Matrix (Channel Velocity Truth Table)</x:v>
      </x:c>
      <x:c r="D657" s="5" t="n">
        <x:v>268</x:v>
      </x:c>
      <x:c r="E657" s="5" t="n">
        <x:v>4</x:v>
      </x:c>
      <x:c r="F657" s="5" t="str">
        <x:v>$H_3$ (Bountytek AB Ecosystem Co-Opetition)</x:v>
      </x:c>
      <x:c r="G657" s="5" t="n">
        <x:v>1</x:v>
      </x:c>
      <x:c r="H657" s="5" t="n">
        <x:v>1</x:v>
      </x:c>
      <x:c r="I657" s="5" t="str">
        <x:v>Very Consistent; Zero direct CAC; lead consultancy and Bountytek AB bear client pursuit and local contract costs.</x:v>
      </x:c>
      <x:c r="J657" s="5" t="str">
        <x:v>SOURCE QUOTE; unvalidated / superseded assessments</x:v>
      </x:c>
      <x:c r="L657" s="31" t="str">
        <x:v>D02, Markdown line 268; http://nas-1.tail55d152.ts.net:4100/static/2S_NORDIC_MARKET_PENETRATION_AND_ECOSYSTEM_ACCELERATOR.html</x:v>
      </x:c>
    </x:row>
    <x:row r="658" ht="42" customHeight="1">
      <x:c r="A658" s="5" t="str">
        <x:v>D02</x:v>
      </x:c>
      <x:c r="B658" s="5" t="str">
        <x:v>D02-T05</x:v>
      </x:c>
      <x:c r="C658" s="5" t="str">
        <x:v>ACH Diagnostic Disconfirmation Matrix (Channel Velocity Truth Table)</x:v>
      </x:c>
      <x:c r="D658" s="5" t="n">
        <x:v>269</x:v>
      </x:c>
      <x:c r="E658" s="5" t="n">
        <x:v>1</x:v>
      </x:c>
      <x:c r="F658" s="5" t="str">
        <x:v>Market Friction &amp; Strategic Dimensions</x:v>
      </x:c>
      <x:c r="G658" s="5" t="n">
        <x:v>1</x:v>
      </x:c>
      <x:c r="H658" s="5" t="n">
        <x:v>1</x:v>
      </x:c>
      <x:c r="I658" s="5" t="str">
        <x:v>$E_3$: Science Park Clustering (Over 70% of venture-backed MedTech startups are co-located in 5 research campuses).</x:v>
      </x:c>
      <x:c r="J658" s="5" t="str">
        <x:v>SOURCE QUOTE; unvalidated / superseded assessments</x:v>
      </x:c>
      <x:c r="L658" s="31" t="str">
        <x:v>D02, Markdown line 269; http://nas-1.tail55d152.ts.net:4100/static/2S_NORDIC_MARKET_PENETRATION_AND_ECOSYSTEM_ACCELERATOR.html</x:v>
      </x:c>
    </x:row>
    <x:row r="659" ht="42" customHeight="1">
      <x:c r="A659" s="5" t="str">
        <x:v>D02</x:v>
      </x:c>
      <x:c r="B659" s="5" t="str">
        <x:v>D02-T05</x:v>
      </x:c>
      <x:c r="C659" s="5" t="str">
        <x:v>ACH Diagnostic Disconfirmation Matrix (Channel Velocity Truth Table)</x:v>
      </x:c>
      <x:c r="D659" s="5" t="n">
        <x:v>269</x:v>
      </x:c>
      <x:c r="E659" s="5" t="n">
        <x:v>2</x:v>
      </x:c>
      <x:c r="F659" s="5" t="str">
        <x:v>$H_1$ (Unilateral Entry)</x:v>
      </x:c>
      <x:c r="G659" s="5" t="n">
        <x:v>1</x:v>
      </x:c>
      <x:c r="H659" s="5" t="n">
        <x:v>1</x:v>
      </x:c>
      <x:c r="I659" s="5" t="str">
        <x:v>Inconsistent; Remote cold calling fails to penetrate close-knit incubator networks.</x:v>
      </x:c>
      <x:c r="J659" s="5" t="str">
        <x:v>SOURCE QUOTE; unvalidated / superseded assessments</x:v>
      </x:c>
      <x:c r="L659" s="31" t="str">
        <x:v>D02, Markdown line 269; http://nas-1.tail55d152.ts.net:4100/static/2S_NORDIC_MARKET_PENETRATION_AND_ECOSYSTEM_ACCELERATOR.html</x:v>
      </x:c>
    </x:row>
    <x:row r="660" ht="42" customHeight="1">
      <x:c r="A660" s="5" t="str">
        <x:v>D02</x:v>
      </x:c>
      <x:c r="B660" s="5" t="str">
        <x:v>D02-T05</x:v>
      </x:c>
      <x:c r="C660" s="5" t="str">
        <x:v>ACH Diagnostic Disconfirmation Matrix (Channel Velocity Truth Table)</x:v>
      </x:c>
      <x:c r="D660" s="5" t="n">
        <x:v>269</x:v>
      </x:c>
      <x:c r="E660" s="5" t="n">
        <x:v>3</x:v>
      </x:c>
      <x:c r="F660" s="5" t="str">
        <x:v>$H_2$ (Agency Resellers)</x:v>
      </x:c>
      <x:c r="G660" s="5" t="n">
        <x:v>1</x:v>
      </x:c>
      <x:c r="H660" s="5" t="n">
        <x:v>1</x:v>
      </x:c>
      <x:c r="I660" s="5" t="str">
        <x:v>Inconsistent; Brokers cannot operate accredited advisory desks inside universities.</x:v>
      </x:c>
      <x:c r="J660" s="5" t="str">
        <x:v>SOURCE QUOTE; unvalidated / superseded assessments</x:v>
      </x:c>
      <x:c r="L660" s="31" t="str">
        <x:v>D02, Markdown line 269; http://nas-1.tail55d152.ts.net:4100/static/2S_NORDIC_MARKET_PENETRATION_AND_ECOSYSTEM_ACCELERATOR.html</x:v>
      </x:c>
    </x:row>
    <x:row r="661" ht="42" customHeight="1">
      <x:c r="A661" s="5" t="str">
        <x:v>D02</x:v>
      </x:c>
      <x:c r="B661" s="5" t="str">
        <x:v>D02-T05</x:v>
      </x:c>
      <x:c r="C661" s="5" t="str">
        <x:v>ACH Diagnostic Disconfirmation Matrix (Channel Velocity Truth Table)</x:v>
      </x:c>
      <x:c r="D661" s="5" t="n">
        <x:v>269</x:v>
      </x:c>
      <x:c r="E661" s="5" t="n">
        <x:v>4</x:v>
      </x:c>
      <x:c r="F661" s="5" t="str">
        <x:v>$H_3$ (Bountytek AB Ecosystem Co-Opetition)</x:v>
      </x:c>
      <x:c r="G661" s="5" t="n">
        <x:v>1</x:v>
      </x:c>
      <x:c r="H661" s="5" t="n">
        <x:v>1</x:v>
      </x:c>
      <x:c r="I661" s="5" t="str">
        <x:v>Very Consistent; Medicon Village &amp; GoCo residencies grant daily organic access to 260+ firms via Bountytek AB.</x:v>
      </x:c>
      <x:c r="J661" s="5" t="str">
        <x:v>SOURCE QUOTE; unvalidated / superseded assessments</x:v>
      </x:c>
      <x:c r="L661" s="31" t="str">
        <x:v>D02, Markdown line 269; http://nas-1.tail55d152.ts.net:4100/static/2S_NORDIC_MARKET_PENETRATION_AND_ECOSYSTEM_ACCELERATOR.html</x:v>
      </x:c>
    </x:row>
    <x:row r="662" ht="42" customHeight="1">
      <x:c r="A662" s="5" t="str">
        <x:v>D02</x:v>
      </x:c>
      <x:c r="B662" s="5" t="str">
        <x:v>D02-T05</x:v>
      </x:c>
      <x:c r="C662" s="5" t="str">
        <x:v>ACH Diagnostic Disconfirmation Matrix (Channel Velocity Truth Table)</x:v>
      </x:c>
      <x:c r="D662" s="5" t="n">
        <x:v>270</x:v>
      </x:c>
      <x:c r="E662" s="5" t="n">
        <x:v>1</x:v>
      </x:c>
      <x:c r="F662" s="5" t="str">
        <x:v>Market Friction &amp; Strategic Dimensions</x:v>
      </x:c>
      <x:c r="G662" s="5" t="n">
        <x:v>1</x:v>
      </x:c>
      <x:c r="H662" s="5" t="n">
        <x:v>1</x:v>
      </x:c>
      <x:c r="I662" s="5" t="str">
        <x:v>$E_4$: Domestic Legal Contracting Authority (Swedish hospital councils require local F-skatt, local bank, SEK invoicing).</x:v>
      </x:c>
      <x:c r="J662" s="5" t="str">
        <x:v>SOURCE QUOTE; unvalidated / superseded assessments</x:v>
      </x:c>
      <x:c r="L662" s="31" t="str">
        <x:v>D02, Markdown line 270; http://nas-1.tail55d152.ts.net:4100/static/2S_NORDIC_MARKET_PENETRATION_AND_ECOSYSTEM_ACCELERATOR.html</x:v>
      </x:c>
    </x:row>
    <x:row r="663" ht="42" customHeight="1">
      <x:c r="A663" s="5" t="str">
        <x:v>D02</x:v>
      </x:c>
      <x:c r="B663" s="5" t="str">
        <x:v>D02-T05</x:v>
      </x:c>
      <x:c r="C663" s="5" t="str">
        <x:v>ACH Diagnostic Disconfirmation Matrix (Channel Velocity Truth Table)</x:v>
      </x:c>
      <x:c r="D663" s="5" t="n">
        <x:v>270</x:v>
      </x:c>
      <x:c r="E663" s="5" t="n">
        <x:v>2</x:v>
      </x:c>
      <x:c r="F663" s="5" t="str">
        <x:v>$H_1$ (Unilateral Entry)</x:v>
      </x:c>
      <x:c r="G663" s="5" t="n">
        <x:v>1</x:v>
      </x:c>
      <x:c r="H663" s="5" t="n">
        <x:v>1</x:v>
      </x:c>
      <x:c r="I663" s="5" t="str">
        <x:v>Inconsistent; Foreign Swiss entity blocked by central public procurement screening.</x:v>
      </x:c>
      <x:c r="J663" s="5" t="str">
        <x:v>SOURCE QUOTE; unvalidated / superseded assessments</x:v>
      </x:c>
      <x:c r="L663" s="31" t="str">
        <x:v>D02, Markdown line 270; http://nas-1.tail55d152.ts.net:4100/static/2S_NORDIC_MARKET_PENETRATION_AND_ECOSYSTEM_ACCELERATOR.html</x:v>
      </x:c>
    </x:row>
    <x:row r="664" ht="42" customHeight="1">
      <x:c r="A664" s="5" t="str">
        <x:v>D02</x:v>
      </x:c>
      <x:c r="B664" s="5" t="str">
        <x:v>D02-T05</x:v>
      </x:c>
      <x:c r="C664" s="5" t="str">
        <x:v>ACH Diagnostic Disconfirmation Matrix (Channel Velocity Truth Table)</x:v>
      </x:c>
      <x:c r="D664" s="5" t="n">
        <x:v>270</x:v>
      </x:c>
      <x:c r="E664" s="5" t="n">
        <x:v>3</x:v>
      </x:c>
      <x:c r="F664" s="5" t="str">
        <x:v>$H_2$ (Agency Resellers)</x:v>
      </x:c>
      <x:c r="G664" s="5" t="n">
        <x:v>1</x:v>
      </x:c>
      <x:c r="H664" s="5" t="n">
        <x:v>1</x:v>
      </x:c>
      <x:c r="I664" s="5" t="str">
        <x:v>Inconsistent; Resellers cannot sign prime GxP technical contracts.</x:v>
      </x:c>
      <x:c r="J664" s="5" t="str">
        <x:v>SOURCE QUOTE; unvalidated / superseded assessments</x:v>
      </x:c>
      <x:c r="L664" s="31" t="str">
        <x:v>D02, Markdown line 270; http://nas-1.tail55d152.ts.net:4100/static/2S_NORDIC_MARKET_PENETRATION_AND_ECOSYSTEM_ACCELERATOR.html</x:v>
      </x:c>
    </x:row>
    <x:row r="665" ht="42" customHeight="1">
      <x:c r="A665" s="5" t="str">
        <x:v>D02</x:v>
      </x:c>
      <x:c r="B665" s="5" t="str">
        <x:v>D02-T05</x:v>
      </x:c>
      <x:c r="C665" s="5" t="str">
        <x:v>ACH Diagnostic Disconfirmation Matrix (Channel Velocity Truth Table)</x:v>
      </x:c>
      <x:c r="D665" s="5" t="n">
        <x:v>270</x:v>
      </x:c>
      <x:c r="E665" s="5" t="n">
        <x:v>4</x:v>
      </x:c>
      <x:c r="F665" s="5" t="str">
        <x:v>$H_3$ (Bountytek AB Ecosystem Co-Opetition)</x:v>
      </x:c>
      <x:c r="G665" s="5" t="n">
        <x:v>1</x:v>
      </x:c>
      <x:c r="H665" s="5" t="n">
        <x:v>1</x:v>
      </x:c>
      <x:c r="I665" s="5" t="str">
        <x:v>Very Consistent; Bountytek AB (Sweden, Bolagsverket, F-skatt) executes direct local contracts.</x:v>
      </x:c>
      <x:c r="J665" s="5" t="str">
        <x:v>SOURCE QUOTE; unvalidated / superseded assessments</x:v>
      </x:c>
      <x:c r="L665" s="31" t="str">
        <x:v>D02, Markdown line 270; http://nas-1.tail55d152.ts.net:4100/static/2S_NORDIC_MARKET_PENETRATION_AND_ECOSYSTEM_ACCELERATOR.html</x:v>
      </x:c>
    </x:row>
    <x:row r="666" ht="42" customHeight="1">
      <x:c r="A666" s="5" t="str">
        <x:v>D02</x:v>
      </x:c>
      <x:c r="B666" s="5" t="str">
        <x:v>D02-T05</x:v>
      </x:c>
      <x:c r="C666" s="5" t="str">
        <x:v>ACH Diagnostic Disconfirmation Matrix (Channel Velocity Truth Table)</x:v>
      </x:c>
      <x:c r="D666" s="5" t="n">
        <x:v>271</x:v>
      </x:c>
      <x:c r="E666" s="5" t="n">
        <x:v>1</x:v>
      </x:c>
      <x:c r="F666" s="5" t="str">
        <x:v>Market Friction &amp; Strategic Dimensions</x:v>
      </x:c>
      <x:c r="G666" s="5" t="n">
        <x:v>1</x:v>
      </x:c>
      <x:c r="H666" s="5" t="n">
        <x:v>1</x:v>
      </x:c>
      <x:c r="I666" s="5" t="str">
        <x:v>Evaluation Verdict</x:v>
      </x:c>
      <x:c r="J666" s="5" t="str">
        <x:v>SOURCE QUOTE; unvalidated / superseded assessments</x:v>
      </x:c>
      <x:c r="L666" s="31" t="str">
        <x:v>D02, Markdown line 271; http://nas-1.tail55d152.ts.net:4100/static/2S_NORDIC_MARKET_PENETRATION_AND_ECOSYSTEM_ACCELERATOR.html</x:v>
      </x:c>
    </x:row>
    <x:row r="667" ht="42" customHeight="1">
      <x:c r="A667" s="5" t="str">
        <x:v>D02</x:v>
      </x:c>
      <x:c r="B667" s="5" t="str">
        <x:v>D02-T05</x:v>
      </x:c>
      <x:c r="C667" s="5" t="str">
        <x:v>ACH Diagnostic Disconfirmation Matrix (Channel Velocity Truth Table)</x:v>
      </x:c>
      <x:c r="D667" s="5" t="n">
        <x:v>271</x:v>
      </x:c>
      <x:c r="E667" s="5" t="n">
        <x:v>2</x:v>
      </x:c>
      <x:c r="F667" s="5" t="str">
        <x:v>$H_1$ (Unilateral Entry)</x:v>
      </x:c>
      <x:c r="G667" s="5" t="n">
        <x:v>1</x:v>
      </x:c>
      <x:c r="H667" s="5" t="n">
        <x:v>1</x:v>
      </x:c>
      <x:c r="I667" s="5" t="str">
        <x:v>REFUTED (4 Inconsistencies)</x:v>
      </x:c>
      <x:c r="J667" s="5" t="str">
        <x:v>SOURCE QUOTE; unvalidated / superseded assessments</x:v>
      </x:c>
      <x:c r="L667" s="31" t="str">
        <x:v>D02, Markdown line 271; http://nas-1.tail55d152.ts.net:4100/static/2S_NORDIC_MARKET_PENETRATION_AND_ECOSYSTEM_ACCELERATOR.html</x:v>
      </x:c>
    </x:row>
    <x:row r="668" ht="42" customHeight="1">
      <x:c r="A668" s="5" t="str">
        <x:v>D02</x:v>
      </x:c>
      <x:c r="B668" s="5" t="str">
        <x:v>D02-T05</x:v>
      </x:c>
      <x:c r="C668" s="5" t="str">
        <x:v>ACH Diagnostic Disconfirmation Matrix (Channel Velocity Truth Table)</x:v>
      </x:c>
      <x:c r="D668" s="5" t="n">
        <x:v>271</x:v>
      </x:c>
      <x:c r="E668" s="5" t="n">
        <x:v>3</x:v>
      </x:c>
      <x:c r="F668" s="5" t="str">
        <x:v>$H_2$ (Agency Resellers)</x:v>
      </x:c>
      <x:c r="G668" s="5" t="n">
        <x:v>1</x:v>
      </x:c>
      <x:c r="H668" s="5" t="n">
        <x:v>1</x:v>
      </x:c>
      <x:c r="I668" s="5" t="str">
        <x:v>REFUTED (4 Inconsistencies)</x:v>
      </x:c>
      <x:c r="J668" s="5" t="str">
        <x:v>SOURCE QUOTE; unvalidated / superseded assessments</x:v>
      </x:c>
      <x:c r="L668" s="31" t="str">
        <x:v>D02, Markdown line 271; http://nas-1.tail55d152.ts.net:4100/static/2S_NORDIC_MARKET_PENETRATION_AND_ECOSYSTEM_ACCELERATOR.html</x:v>
      </x:c>
    </x:row>
    <x:row r="669" ht="42" customHeight="1">
      <x:c r="A669" s="5" t="str">
        <x:v>D02</x:v>
      </x:c>
      <x:c r="B669" s="5" t="str">
        <x:v>D02-T05</x:v>
      </x:c>
      <x:c r="C669" s="5" t="str">
        <x:v>ACH Diagnostic Disconfirmation Matrix (Channel Velocity Truth Table)</x:v>
      </x:c>
      <x:c r="D669" s="5" t="n">
        <x:v>271</x:v>
      </x:c>
      <x:c r="E669" s="5" t="n">
        <x:v>4</x:v>
      </x:c>
      <x:c r="F669" s="5" t="str">
        <x:v>$H_3$ (Bountytek AB Ecosystem Co-Opetition)</x:v>
      </x:c>
      <x:c r="G669" s="5" t="n">
        <x:v>1</x:v>
      </x:c>
      <x:c r="H669" s="5" t="n">
        <x:v>1</x:v>
      </x:c>
      <x:c r="I669" s="5" t="str">
        <x:v>DECISIVELY CONFIRMED (0 Inconsistencies)</x:v>
      </x:c>
      <x:c r="J669" s="5" t="str">
        <x:v>SOURCE QUOTE; unvalidated / superseded assessments</x:v>
      </x:c>
      <x:c r="L669" s="31" t="str">
        <x:v>D02, Markdown line 271; http://nas-1.tail55d152.ts.net:4100/static/2S_NORDIC_MARKET_PENETRATION_AND_ECOSYSTEM_ACCELERATOR.html</x:v>
      </x:c>
    </x:row>
    <x:row r="670" ht="56" customHeight="1">
      <x:c r="A670" s="5" t="str">
        <x:v>D02</x:v>
      </x:c>
      <x:c r="B670" s="5" t="str">
        <x:v>D02-T06</x:v>
      </x:c>
      <x:c r="C670" s="5" t="str">
        <x:v>8. NATO STANAG Admiralty Protocol Verification Matrix (Ecosystem Partners)</x:v>
      </x:c>
      <x:c r="D670" s="5" t="n">
        <x:v>281</x:v>
      </x:c>
      <x:c r="E670" s="5" t="n">
        <x:v>1</x:v>
      </x:c>
      <x:c r="F670" s="5" t="str">
        <x:v>Ecosystem Entity</x:v>
      </x:c>
      <x:c r="G670" s="5" t="n">
        <x:v>1</x:v>
      </x:c>
      <x:c r="H670" s="5" t="n">
        <x:v>1</x:v>
      </x:c>
      <x:c r="I670" s="5" t="str">
        <x:v>Bountytek AB (Sweden)</x:v>
      </x:c>
      <x:c r="J670" s="5" t="str">
        <x:v>SOURCE QUOTE; unvalidated / superseded assessments</x:v>
      </x:c>
      <x:c r="L670" s="31" t="str">
        <x:v>D02, Markdown line 281; http://nas-1.tail55d152.ts.net:4100/static/2S_NORDIC_MARKET_PENETRATION_AND_ECOSYSTEM_ACCELERATOR.html</x:v>
      </x:c>
    </x:row>
    <x:row r="671" ht="56" customHeight="1">
      <x:c r="A671" s="5" t="str">
        <x:v>D02</x:v>
      </x:c>
      <x:c r="B671" s="5" t="str">
        <x:v>D02-T06</x:v>
      </x:c>
      <x:c r="C671" s="5" t="str">
        <x:v>8. NATO STANAG Admiralty Protocol Verification Matrix (Ecosystem Partners)</x:v>
      </x:c>
      <x:c r="D671" s="5" t="n">
        <x:v>281</x:v>
      </x:c>
      <x:c r="E671" s="5" t="n">
        <x:v>2</x:v>
      </x:c>
      <x:c r="F671" s="5" t="str">
        <x:v>Verified Metric / Strategic Footprint</x:v>
      </x:c>
      <x:c r="G671" s="5" t="n">
        <x:v>1</x:v>
      </x:c>
      <x:c r="H671" s="5" t="n">
        <x:v>1</x:v>
      </x:c>
      <x:c r="I671" s="5" t="str">
        <x:v>Exclusive Nordic commercial agent &amp; prime contractor</x:v>
      </x:c>
      <x:c r="J671" s="5" t="str">
        <x:v>SOURCE QUOTE; unvalidated / superseded assessments</x:v>
      </x:c>
      <x:c r="L671" s="31" t="str">
        <x:v>D02, Markdown line 281; http://nas-1.tail55d152.ts.net:4100/static/2S_NORDIC_MARKET_PENETRATION_AND_ECOSYSTEM_ACCELERATOR.html</x:v>
      </x:c>
    </x:row>
    <x:row r="672" ht="56" customHeight="1">
      <x:c r="A672" s="5" t="str">
        <x:v>D02</x:v>
      </x:c>
      <x:c r="B672" s="5" t="str">
        <x:v>D02-T06</x:v>
      </x:c>
      <x:c r="C672" s="5" t="str">
        <x:v>8. NATO STANAG Admiralty Protocol Verification Matrix (Ecosystem Partners)</x:v>
      </x:c>
      <x:c r="D672" s="5" t="n">
        <x:v>281</x:v>
      </x:c>
      <x:c r="E672" s="5" t="n">
        <x:v>3</x:v>
      </x:c>
      <x:c r="F672" s="5" t="str">
        <x:v>Primary Source</x:v>
      </x:c>
      <x:c r="G672" s="5" t="n">
        <x:v>1</x:v>
      </x:c>
      <x:c r="H672" s="5" t="n">
        <x:v>1</x:v>
      </x:c>
      <x:c r="I672" s="5" t="str">
        <x:v>Bolagsverket &amp; Skatteverket (F-skatt registration)</x:v>
      </x:c>
      <x:c r="J672" s="5" t="str">
        <x:v>SOURCE QUOTE; unvalidated / superseded assessments</x:v>
      </x:c>
      <x:c r="L672" s="31" t="str">
        <x:v>D02, Markdown line 281; http://nas-1.tail55d152.ts.net:4100/static/2S_NORDIC_MARKET_PENETRATION_AND_ECOSYSTEM_ACCELERATOR.html</x:v>
      </x:c>
    </x:row>
    <x:row r="673" ht="56" customHeight="1">
      <x:c r="A673" s="5" t="str">
        <x:v>D02</x:v>
      </x:c>
      <x:c r="B673" s="5" t="str">
        <x:v>D02-T06</x:v>
      </x:c>
      <x:c r="C673" s="5" t="str">
        <x:v>8. NATO STANAG Admiralty Protocol Verification Matrix (Ecosystem Partners)</x:v>
      </x:c>
      <x:c r="D673" s="5" t="n">
        <x:v>281</x:v>
      </x:c>
      <x:c r="E673" s="5" t="n">
        <x:v>4</x:v>
      </x:c>
      <x:c r="F673" s="5" t="str">
        <x:v>Admiralty Grade</x:v>
      </x:c>
      <x:c r="G673" s="5" t="n">
        <x:v>1</x:v>
      </x:c>
      <x:c r="H673" s="5" t="n">
        <x:v>1</x:v>
      </x:c>
      <x:c r="I673" s="5" t="str">
        <x:v>Grade: A1</x:v>
      </x:c>
      <x:c r="J673" s="5" t="str">
        <x:v>SOURCE QUOTE; unvalidated / superseded assessments</x:v>
      </x:c>
      <x:c r="L673" s="31" t="str">
        <x:v>D02, Markdown line 281; http://nas-1.tail55d152.ts.net:4100/static/2S_NORDIC_MARKET_PENETRATION_AND_ECOSYSTEM_ACCELERATOR.html</x:v>
      </x:c>
    </x:row>
    <x:row r="674" ht="56" customHeight="1">
      <x:c r="A674" s="5" t="str">
        <x:v>D02</x:v>
      </x:c>
      <x:c r="B674" s="5" t="str">
        <x:v>D02-T06</x:v>
      </x:c>
      <x:c r="C674" s="5" t="str">
        <x:v>8. NATO STANAG Admiralty Protocol Verification Matrix (Ecosystem Partners)</x:v>
      </x:c>
      <x:c r="D674" s="5" t="n">
        <x:v>281</x:v>
      </x:c>
      <x:c r="E674" s="5" t="n">
        <x:v>5</x:v>
      </x:c>
      <x:c r="F674" s="5" t="str">
        <x:v>Status</x:v>
      </x:c>
      <x:c r="G674" s="5" t="n">
        <x:v>1</x:v>
      </x:c>
      <x:c r="H674" s="5" t="n">
        <x:v>1</x:v>
      </x:c>
      <x:c r="I674" s="5" t="str">
        <x:v>PASS</x:v>
      </x:c>
      <x:c r="J674" s="5" t="str">
        <x:v>SOURCE QUOTE; unvalidated / superseded assessments</x:v>
      </x:c>
      <x:c r="L674" s="31" t="str">
        <x:v>D02, Markdown line 281; http://nas-1.tail55d152.ts.net:4100/static/2S_NORDIC_MARKET_PENETRATION_AND_ECOSYSTEM_ACCELERATOR.html</x:v>
      </x:c>
    </x:row>
    <x:row r="675" ht="56" customHeight="1">
      <x:c r="A675" s="5" t="str">
        <x:v>D02</x:v>
      </x:c>
      <x:c r="B675" s="5" t="str">
        <x:v>D02-T06</x:v>
      </x:c>
      <x:c r="C675" s="5" t="str">
        <x:v>8. NATO STANAG Admiralty Protocol Verification Matrix (Ecosystem Partners)</x:v>
      </x:c>
      <x:c r="D675" s="5" t="n">
        <x:v>282</x:v>
      </x:c>
      <x:c r="E675" s="5" t="n">
        <x:v>1</x:v>
      </x:c>
      <x:c r="F675" s="5" t="str">
        <x:v>Ecosystem Entity</x:v>
      </x:c>
      <x:c r="G675" s="5" t="n">
        <x:v>1</x:v>
      </x:c>
      <x:c r="H675" s="5" t="n">
        <x:v>1</x:v>
      </x:c>
      <x:c r="I675" s="5" t="str">
        <x:v>2S Consulting (Switzerland)</x:v>
      </x:c>
      <x:c r="J675" s="5" t="str">
        <x:v>SOURCE QUOTE; unvalidated / superseded assessments</x:v>
      </x:c>
      <x:c r="L675" s="31" t="str">
        <x:v>D02, Markdown line 282; http://nas-1.tail55d152.ts.net:4100/static/2S_NORDIC_MARKET_PENETRATION_AND_ECOSYSTEM_ACCELERATOR.html</x:v>
      </x:c>
    </x:row>
    <x:row r="676" ht="56" customHeight="1">
      <x:c r="A676" s="5" t="str">
        <x:v>D02</x:v>
      </x:c>
      <x:c r="B676" s="5" t="str">
        <x:v>D02-T06</x:v>
      </x:c>
      <x:c r="C676" s="5" t="str">
        <x:v>8. NATO STANAG Admiralty Protocol Verification Matrix (Ecosystem Partners)</x:v>
      </x:c>
      <x:c r="D676" s="5" t="n">
        <x:v>282</x:v>
      </x:c>
      <x:c r="E676" s="5" t="n">
        <x:v>2</x:v>
      </x:c>
      <x:c r="F676" s="5" t="str">
        <x:v>Verified Metric / Strategic Footprint</x:v>
      </x:c>
      <x:c r="G676" s="5" t="n">
        <x:v>1</x:v>
      </x:c>
      <x:c r="H676" s="5" t="n">
        <x:v>1</x:v>
      </x:c>
      <x:c r="I676" s="5" t="str">
        <x:v>Strategic advisory &amp; life sciences operations</x:v>
      </x:c>
      <x:c r="J676" s="5" t="str">
        <x:v>SOURCE QUOTE; unvalidated / superseded assessments</x:v>
      </x:c>
      <x:c r="L676" s="31" t="str">
        <x:v>D02, Markdown line 282; http://nas-1.tail55d152.ts.net:4100/static/2S_NORDIC_MARKET_PENETRATION_AND_ECOSYSTEM_ACCELERATOR.html</x:v>
      </x:c>
    </x:row>
    <x:row r="677" ht="56" customHeight="1">
      <x:c r="A677" s="5" t="str">
        <x:v>D02</x:v>
      </x:c>
      <x:c r="B677" s="5" t="str">
        <x:v>D02-T06</x:v>
      </x:c>
      <x:c r="C677" s="5" t="str">
        <x:v>8. NATO STANAG Admiralty Protocol Verification Matrix (Ecosystem Partners)</x:v>
      </x:c>
      <x:c r="D677" s="5" t="n">
        <x:v>282</x:v>
      </x:c>
      <x:c r="E677" s="5" t="n">
        <x:v>3</x:v>
      </x:c>
      <x:c r="F677" s="5" t="str">
        <x:v>Primary Source</x:v>
      </x:c>
      <x:c r="G677" s="5" t="n">
        <x:v>1</x:v>
      </x:c>
      <x:c r="H677" s="5" t="n">
        <x:v>1</x:v>
      </x:c>
      <x:c r="I677" s="5" t="str">
        <x:v>Swiss Commercial Register (CHE-443.084.148, [2sconsulting.com](https://www.2sconsulting.com/))</x:v>
      </x:c>
      <x:c r="J677" s="5" t="str">
        <x:v>SOURCE QUOTE; unvalidated / superseded assessments</x:v>
      </x:c>
      <x:c r="L677" s="31" t="str">
        <x:v>D02, Markdown line 282; http://nas-1.tail55d152.ts.net:4100/static/2S_NORDIC_MARKET_PENETRATION_AND_ECOSYSTEM_ACCELERATOR.html</x:v>
      </x:c>
    </x:row>
    <x:row r="678" ht="56" customHeight="1">
      <x:c r="A678" s="5" t="str">
        <x:v>D02</x:v>
      </x:c>
      <x:c r="B678" s="5" t="str">
        <x:v>D02-T06</x:v>
      </x:c>
      <x:c r="C678" s="5" t="str">
        <x:v>8. NATO STANAG Admiralty Protocol Verification Matrix (Ecosystem Partners)</x:v>
      </x:c>
      <x:c r="D678" s="5" t="n">
        <x:v>282</x:v>
      </x:c>
      <x:c r="E678" s="5" t="n">
        <x:v>4</x:v>
      </x:c>
      <x:c r="F678" s="5" t="str">
        <x:v>Admiralty Grade</x:v>
      </x:c>
      <x:c r="G678" s="5" t="n">
        <x:v>1</x:v>
      </x:c>
      <x:c r="H678" s="5" t="n">
        <x:v>1</x:v>
      </x:c>
      <x:c r="I678" s="5" t="str">
        <x:v>Grade: A1</x:v>
      </x:c>
      <x:c r="J678" s="5" t="str">
        <x:v>SOURCE QUOTE; unvalidated / superseded assessments</x:v>
      </x:c>
      <x:c r="L678" s="31" t="str">
        <x:v>D02, Markdown line 282; http://nas-1.tail55d152.ts.net:4100/static/2S_NORDIC_MARKET_PENETRATION_AND_ECOSYSTEM_ACCELERATOR.html</x:v>
      </x:c>
    </x:row>
    <x:row r="679" ht="56" customHeight="1">
      <x:c r="A679" s="5" t="str">
        <x:v>D02</x:v>
      </x:c>
      <x:c r="B679" s="5" t="str">
        <x:v>D02-T06</x:v>
      </x:c>
      <x:c r="C679" s="5" t="str">
        <x:v>8. NATO STANAG Admiralty Protocol Verification Matrix (Ecosystem Partners)</x:v>
      </x:c>
      <x:c r="D679" s="5" t="n">
        <x:v>282</x:v>
      </x:c>
      <x:c r="E679" s="5" t="n">
        <x:v>5</x:v>
      </x:c>
      <x:c r="F679" s="5" t="str">
        <x:v>Status</x:v>
      </x:c>
      <x:c r="G679" s="5" t="n">
        <x:v>1</x:v>
      </x:c>
      <x:c r="H679" s="5" t="n">
        <x:v>1</x:v>
      </x:c>
      <x:c r="I679" s="5" t="str">
        <x:v>PASS</x:v>
      </x:c>
      <x:c r="J679" s="5" t="str">
        <x:v>SOURCE QUOTE; unvalidated / superseded assessments</x:v>
      </x:c>
      <x:c r="L679" s="31" t="str">
        <x:v>D02, Markdown line 282; http://nas-1.tail55d152.ts.net:4100/static/2S_NORDIC_MARKET_PENETRATION_AND_ECOSYSTEM_ACCELERATOR.html</x:v>
      </x:c>
    </x:row>
    <x:row r="680" ht="56" customHeight="1">
      <x:c r="A680" s="5" t="str">
        <x:v>D02</x:v>
      </x:c>
      <x:c r="B680" s="5" t="str">
        <x:v>D02-T06</x:v>
      </x:c>
      <x:c r="C680" s="5" t="str">
        <x:v>8. NATO STANAG Admiralty Protocol Verification Matrix (Ecosystem Partners)</x:v>
      </x:c>
      <x:c r="D680" s="5" t="n">
        <x:v>283</x:v>
      </x:c>
      <x:c r="E680" s="5" t="n">
        <x:v>1</x:v>
      </x:c>
      <x:c r="F680" s="5" t="str">
        <x:v>Ecosystem Entity</x:v>
      </x:c>
      <x:c r="G680" s="5" t="n">
        <x:v>1</x:v>
      </x:c>
      <x:c r="H680" s="5" t="n">
        <x:v>1</x:v>
      </x:c>
      <x:c r="I680" s="5" t="str">
        <x:v>Numantra Technologies</x:v>
      </x:c>
      <x:c r="J680" s="5" t="str">
        <x:v>SOURCE QUOTE; unvalidated / superseded assessments</x:v>
      </x:c>
      <x:c r="L680" s="31" t="str">
        <x:v>D02, Markdown line 283; http://nas-1.tail55d152.ts.net:4100/static/2S_NORDIC_MARKET_PENETRATION_AND_ECOSYSTEM_ACCELERATOR.html</x:v>
      </x:c>
    </x:row>
    <x:row r="681" ht="56" customHeight="1">
      <x:c r="A681" s="5" t="str">
        <x:v>D02</x:v>
      </x:c>
      <x:c r="B681" s="5" t="str">
        <x:v>D02-T06</x:v>
      </x:c>
      <x:c r="C681" s="5" t="str">
        <x:v>8. NATO STANAG Admiralty Protocol Verification Matrix (Ecosystem Partners)</x:v>
      </x:c>
      <x:c r="D681" s="5" t="n">
        <x:v>283</x:v>
      </x:c>
      <x:c r="E681" s="5" t="n">
        <x:v>2</x:v>
      </x:c>
      <x:c r="F681" s="5" t="str">
        <x:v>Verified Metric / Strategic Footprint</x:v>
      </x:c>
      <x:c r="G681" s="5" t="n">
        <x:v>1</x:v>
      </x:c>
      <x:c r="H681" s="5" t="n">
        <x:v>1</x:v>
      </x:c>
      <x:c r="I681" s="5" t="str">
        <x:v>Deep-tech healthcare cognitive platform (HCare360)</x:v>
      </x:c>
      <x:c r="J681" s="5" t="str">
        <x:v>SOURCE QUOTE; unvalidated / superseded assessments</x:v>
      </x:c>
      <x:c r="L681" s="31" t="str">
        <x:v>D02, Markdown line 283; http://nas-1.tail55d152.ts.net:4100/static/2S_NORDIC_MARKET_PENETRATION_AND_ECOSYSTEM_ACCELERATOR.html</x:v>
      </x:c>
    </x:row>
    <x:row r="682" ht="56" customHeight="1">
      <x:c r="A682" s="5" t="str">
        <x:v>D02</x:v>
      </x:c>
      <x:c r="B682" s="5" t="str">
        <x:v>D02-T06</x:v>
      </x:c>
      <x:c r="C682" s="5" t="str">
        <x:v>8. NATO STANAG Admiralty Protocol Verification Matrix (Ecosystem Partners)</x:v>
      </x:c>
      <x:c r="D682" s="5" t="n">
        <x:v>283</x:v>
      </x:c>
      <x:c r="E682" s="5" t="n">
        <x:v>3</x:v>
      </x:c>
      <x:c r="F682" s="5" t="str">
        <x:v>Primary Source</x:v>
      </x:c>
      <x:c r="G682" s="5" t="n">
        <x:v>1</x:v>
      </x:c>
      <x:c r="H682" s="5" t="n">
        <x:v>1</x:v>
      </x:c>
      <x:c r="I682" s="5" t="str">
        <x:v>Official Corporate Infrastructure ([numantratech.ai](https://www.numantratech.ai/))</x:v>
      </x:c>
      <x:c r="J682" s="5" t="str">
        <x:v>SOURCE QUOTE; unvalidated / superseded assessments</x:v>
      </x:c>
      <x:c r="L682" s="31" t="str">
        <x:v>D02, Markdown line 283; http://nas-1.tail55d152.ts.net:4100/static/2S_NORDIC_MARKET_PENETRATION_AND_ECOSYSTEM_ACCELERATOR.html</x:v>
      </x:c>
    </x:row>
    <x:row r="683" ht="56" customHeight="1">
      <x:c r="A683" s="5" t="str">
        <x:v>D02</x:v>
      </x:c>
      <x:c r="B683" s="5" t="str">
        <x:v>D02-T06</x:v>
      </x:c>
      <x:c r="C683" s="5" t="str">
        <x:v>8. NATO STANAG Admiralty Protocol Verification Matrix (Ecosystem Partners)</x:v>
      </x:c>
      <x:c r="D683" s="5" t="n">
        <x:v>283</x:v>
      </x:c>
      <x:c r="E683" s="5" t="n">
        <x:v>4</x:v>
      </x:c>
      <x:c r="F683" s="5" t="str">
        <x:v>Admiralty Grade</x:v>
      </x:c>
      <x:c r="G683" s="5" t="n">
        <x:v>1</x:v>
      </x:c>
      <x:c r="H683" s="5" t="n">
        <x:v>1</x:v>
      </x:c>
      <x:c r="I683" s="5" t="str">
        <x:v>Grade: A1</x:v>
      </x:c>
      <x:c r="J683" s="5" t="str">
        <x:v>SOURCE QUOTE; unvalidated / superseded assessments</x:v>
      </x:c>
      <x:c r="L683" s="31" t="str">
        <x:v>D02, Markdown line 283; http://nas-1.tail55d152.ts.net:4100/static/2S_NORDIC_MARKET_PENETRATION_AND_ECOSYSTEM_ACCELERATOR.html</x:v>
      </x:c>
    </x:row>
    <x:row r="684" ht="56" customHeight="1">
      <x:c r="A684" s="5" t="str">
        <x:v>D02</x:v>
      </x:c>
      <x:c r="B684" s="5" t="str">
        <x:v>D02-T06</x:v>
      </x:c>
      <x:c r="C684" s="5" t="str">
        <x:v>8. NATO STANAG Admiralty Protocol Verification Matrix (Ecosystem Partners)</x:v>
      </x:c>
      <x:c r="D684" s="5" t="n">
        <x:v>283</x:v>
      </x:c>
      <x:c r="E684" s="5" t="n">
        <x:v>5</x:v>
      </x:c>
      <x:c r="F684" s="5" t="str">
        <x:v>Status</x:v>
      </x:c>
      <x:c r="G684" s="5" t="n">
        <x:v>1</x:v>
      </x:c>
      <x:c r="H684" s="5" t="n">
        <x:v>1</x:v>
      </x:c>
      <x:c r="I684" s="5" t="str">
        <x:v>PASS</x:v>
      </x:c>
      <x:c r="J684" s="5" t="str">
        <x:v>SOURCE QUOTE; unvalidated / superseded assessments</x:v>
      </x:c>
      <x:c r="L684" s="31" t="str">
        <x:v>D02, Markdown line 283; http://nas-1.tail55d152.ts.net:4100/static/2S_NORDIC_MARKET_PENETRATION_AND_ECOSYSTEM_ACCELERATOR.html</x:v>
      </x:c>
    </x:row>
    <x:row r="685" ht="56" customHeight="1">
      <x:c r="A685" s="5" t="str">
        <x:v>D02</x:v>
      </x:c>
      <x:c r="B685" s="5" t="str">
        <x:v>D02-T06</x:v>
      </x:c>
      <x:c r="C685" s="5" t="str">
        <x:v>8. NATO STANAG Admiralty Protocol Verification Matrix (Ecosystem Partners)</x:v>
      </x:c>
      <x:c r="D685" s="5" t="n">
        <x:v>284</x:v>
      </x:c>
      <x:c r="E685" s="5" t="n">
        <x:v>1</x:v>
      </x:c>
      <x:c r="F685" s="5" t="str">
        <x:v>Ecosystem Entity</x:v>
      </x:c>
      <x:c r="G685" s="5" t="n">
        <x:v>1</x:v>
      </x:c>
      <x:c r="H685" s="5" t="n">
        <x:v>1</x:v>
      </x:c>
      <x:c r="I685" s="5" t="str">
        <x:v>Medicon Village (Lund)</x:v>
      </x:c>
      <x:c r="J685" s="5" t="str">
        <x:v>SOURCE QUOTE; unvalidated / superseded assessments</x:v>
      </x:c>
      <x:c r="L685" s="31" t="str">
        <x:v>D02, Markdown line 284; http://nas-1.tail55d152.ts.net:4100/static/2S_NORDIC_MARKET_PENETRATION_AND_ECOSYSTEM_ACCELERATOR.html</x:v>
      </x:c>
    </x:row>
    <x:row r="686" ht="56" customHeight="1">
      <x:c r="A686" s="5" t="str">
        <x:v>D02</x:v>
      </x:c>
      <x:c r="B686" s="5" t="str">
        <x:v>D02-T06</x:v>
      </x:c>
      <x:c r="C686" s="5" t="str">
        <x:v>8. NATO STANAG Admiralty Protocol Verification Matrix (Ecosystem Partners)</x:v>
      </x:c>
      <x:c r="D686" s="5" t="n">
        <x:v>284</x:v>
      </x:c>
      <x:c r="E686" s="5" t="n">
        <x:v>2</x:v>
      </x:c>
      <x:c r="F686" s="5" t="str">
        <x:v>Verified Metric / Strategic Footprint</x:v>
      </x:c>
      <x:c r="G686" s="5" t="n">
        <x:v>1</x:v>
      </x:c>
      <x:c r="H686" s="5" t="n">
        <x:v>1</x:v>
      </x:c>
      <x:c r="I686" s="5" t="str">
        <x:v>180+ Life Science companies; 2,800+ on-site professionals</x:v>
      </x:c>
      <x:c r="J686" s="5" t="str">
        <x:v>SOURCE QUOTE; unvalidated / superseded assessments</x:v>
      </x:c>
      <x:c r="L686" s="31" t="str">
        <x:v>D02, Markdown line 284; http://nas-1.tail55d152.ts.net:4100/static/2S_NORDIC_MARKET_PENETRATION_AND_ECOSYSTEM_ACCELERATOR.html</x:v>
      </x:c>
    </x:row>
    <x:row r="687" ht="56" customHeight="1">
      <x:c r="A687" s="5" t="str">
        <x:v>D02</x:v>
      </x:c>
      <x:c r="B687" s="5" t="str">
        <x:v>D02-T06</x:v>
      </x:c>
      <x:c r="C687" s="5" t="str">
        <x:v>8. NATO STANAG Admiralty Protocol Verification Matrix (Ecosystem Partners)</x:v>
      </x:c>
      <x:c r="D687" s="5" t="n">
        <x:v>284</x:v>
      </x:c>
      <x:c r="E687" s="5" t="n">
        <x:v>3</x:v>
      </x:c>
      <x:c r="F687" s="5" t="str">
        <x:v>Primary Source</x:v>
      </x:c>
      <x:c r="G687" s="5" t="n">
        <x:v>1</x:v>
      </x:c>
      <x:c r="H687" s="5" t="n">
        <x:v>1</x:v>
      </x:c>
      <x:c r="I687" s="5" t="str">
        <x:v>Medicon Village AB Official Directory &amp; Annual Review</x:v>
      </x:c>
      <x:c r="J687" s="5" t="str">
        <x:v>SOURCE QUOTE; unvalidated / superseded assessments</x:v>
      </x:c>
      <x:c r="L687" s="31" t="str">
        <x:v>D02, Markdown line 284; http://nas-1.tail55d152.ts.net:4100/static/2S_NORDIC_MARKET_PENETRATION_AND_ECOSYSTEM_ACCELERATOR.html</x:v>
      </x:c>
    </x:row>
    <x:row r="688" ht="56" customHeight="1">
      <x:c r="A688" s="5" t="str">
        <x:v>D02</x:v>
      </x:c>
      <x:c r="B688" s="5" t="str">
        <x:v>D02-T06</x:v>
      </x:c>
      <x:c r="C688" s="5" t="str">
        <x:v>8. NATO STANAG Admiralty Protocol Verification Matrix (Ecosystem Partners)</x:v>
      </x:c>
      <x:c r="D688" s="5" t="n">
        <x:v>284</x:v>
      </x:c>
      <x:c r="E688" s="5" t="n">
        <x:v>4</x:v>
      </x:c>
      <x:c r="F688" s="5" t="str">
        <x:v>Admiralty Grade</x:v>
      </x:c>
      <x:c r="G688" s="5" t="n">
        <x:v>1</x:v>
      </x:c>
      <x:c r="H688" s="5" t="n">
        <x:v>1</x:v>
      </x:c>
      <x:c r="I688" s="5" t="str">
        <x:v>Grade: A1</x:v>
      </x:c>
      <x:c r="J688" s="5" t="str">
        <x:v>SOURCE QUOTE; unvalidated / superseded assessments</x:v>
      </x:c>
      <x:c r="L688" s="31" t="str">
        <x:v>D02, Markdown line 284; http://nas-1.tail55d152.ts.net:4100/static/2S_NORDIC_MARKET_PENETRATION_AND_ECOSYSTEM_ACCELERATOR.html</x:v>
      </x:c>
    </x:row>
    <x:row r="689" ht="56" customHeight="1">
      <x:c r="A689" s="5" t="str">
        <x:v>D02</x:v>
      </x:c>
      <x:c r="B689" s="5" t="str">
        <x:v>D02-T06</x:v>
      </x:c>
      <x:c r="C689" s="5" t="str">
        <x:v>8. NATO STANAG Admiralty Protocol Verification Matrix (Ecosystem Partners)</x:v>
      </x:c>
      <x:c r="D689" s="5" t="n">
        <x:v>284</x:v>
      </x:c>
      <x:c r="E689" s="5" t="n">
        <x:v>5</x:v>
      </x:c>
      <x:c r="F689" s="5" t="str">
        <x:v>Status</x:v>
      </x:c>
      <x:c r="G689" s="5" t="n">
        <x:v>1</x:v>
      </x:c>
      <x:c r="H689" s="5" t="n">
        <x:v>1</x:v>
      </x:c>
      <x:c r="I689" s="5" t="str">
        <x:v>PASS</x:v>
      </x:c>
      <x:c r="J689" s="5" t="str">
        <x:v>SOURCE QUOTE; unvalidated / superseded assessments</x:v>
      </x:c>
      <x:c r="L689" s="31" t="str">
        <x:v>D02, Markdown line 284; http://nas-1.tail55d152.ts.net:4100/static/2S_NORDIC_MARKET_PENETRATION_AND_ECOSYSTEM_ACCELERATOR.html</x:v>
      </x:c>
    </x:row>
    <x:row r="690" ht="56" customHeight="1">
      <x:c r="A690" s="5" t="str">
        <x:v>D02</x:v>
      </x:c>
      <x:c r="B690" s="5" t="str">
        <x:v>D02-T06</x:v>
      </x:c>
      <x:c r="C690" s="5" t="str">
        <x:v>8. NATO STANAG Admiralty Protocol Verification Matrix (Ecosystem Partners)</x:v>
      </x:c>
      <x:c r="D690" s="5" t="n">
        <x:v>285</x:v>
      </x:c>
      <x:c r="E690" s="5" t="n">
        <x:v>1</x:v>
      </x:c>
      <x:c r="F690" s="5" t="str">
        <x:v>Ecosystem Entity</x:v>
      </x:c>
      <x:c r="G690" s="5" t="n">
        <x:v>1</x:v>
      </x:c>
      <x:c r="H690" s="5" t="n">
        <x:v>1</x:v>
      </x:c>
      <x:c r="I690" s="5" t="str">
        <x:v>GoCo Innovation City (Mölndal)</x:v>
      </x:c>
      <x:c r="J690" s="5" t="str">
        <x:v>SOURCE QUOTE; unvalidated / superseded assessments</x:v>
      </x:c>
      <x:c r="L690" s="31" t="str">
        <x:v>D02, Markdown line 285; http://nas-1.tail55d152.ts.net:4100/static/2S_NORDIC_MARKET_PENETRATION_AND_ECOSYSTEM_ACCELERATOR.html</x:v>
      </x:c>
    </x:row>
    <x:row r="691" ht="56" customHeight="1">
      <x:c r="A691" s="5" t="str">
        <x:v>D02</x:v>
      </x:c>
      <x:c r="B691" s="5" t="str">
        <x:v>D02-T06</x:v>
      </x:c>
      <x:c r="C691" s="5" t="str">
        <x:v>8. NATO STANAG Admiralty Protocol Verification Matrix (Ecosystem Partners)</x:v>
      </x:c>
      <x:c r="D691" s="5" t="n">
        <x:v>285</x:v>
      </x:c>
      <x:c r="E691" s="5" t="n">
        <x:v>2</x:v>
      </x:c>
      <x:c r="F691" s="5" t="str">
        <x:v>Verified Metric / Strategic Footprint</x:v>
      </x:c>
      <x:c r="G691" s="5" t="n">
        <x:v>1</x:v>
      </x:c>
      <x:c r="H691" s="5" t="n">
        <x:v>1</x:v>
      </x:c>
      <x:c r="I691" s="5" t="str">
        <x:v>AstraZeneca core site + 80+ connected health suppliers</x:v>
      </x:c>
      <x:c r="J691" s="5" t="str">
        <x:v>SOURCE QUOTE; unvalidated / superseded assessments</x:v>
      </x:c>
      <x:c r="L691" s="31" t="str">
        <x:v>D02, Markdown line 285; http://nas-1.tail55d152.ts.net:4100/static/2S_NORDIC_MARKET_PENETRATION_AND_ECOSYSTEM_ACCELERATOR.html</x:v>
      </x:c>
    </x:row>
    <x:row r="692" ht="56" customHeight="1">
      <x:c r="A692" s="5" t="str">
        <x:v>D02</x:v>
      </x:c>
      <x:c r="B692" s="5" t="str">
        <x:v>D02-T06</x:v>
      </x:c>
      <x:c r="C692" s="5" t="str">
        <x:v>8. NATO STANAG Admiralty Protocol Verification Matrix (Ecosystem Partners)</x:v>
      </x:c>
      <x:c r="D692" s="5" t="n">
        <x:v>285</x:v>
      </x:c>
      <x:c r="E692" s="5" t="n">
        <x:v>3</x:v>
      </x:c>
      <x:c r="F692" s="5" t="str">
        <x:v>Primary Source</x:v>
      </x:c>
      <x:c r="G692" s="5" t="n">
        <x:v>1</x:v>
      </x:c>
      <x:c r="H692" s="5" t="n">
        <x:v>1</x:v>
      </x:c>
      <x:c r="I692" s="5" t="str">
        <x:v>GoCo Health Innovation City Official Tenant Registry</x:v>
      </x:c>
      <x:c r="J692" s="5" t="str">
        <x:v>SOURCE QUOTE; unvalidated / superseded assessments</x:v>
      </x:c>
      <x:c r="L692" s="31" t="str">
        <x:v>D02, Markdown line 285; http://nas-1.tail55d152.ts.net:4100/static/2S_NORDIC_MARKET_PENETRATION_AND_ECOSYSTEM_ACCELERATOR.html</x:v>
      </x:c>
    </x:row>
    <x:row r="693" ht="56" customHeight="1">
      <x:c r="A693" s="5" t="str">
        <x:v>D02</x:v>
      </x:c>
      <x:c r="B693" s="5" t="str">
        <x:v>D02-T06</x:v>
      </x:c>
      <x:c r="C693" s="5" t="str">
        <x:v>8. NATO STANAG Admiralty Protocol Verification Matrix (Ecosystem Partners)</x:v>
      </x:c>
      <x:c r="D693" s="5" t="n">
        <x:v>285</x:v>
      </x:c>
      <x:c r="E693" s="5" t="n">
        <x:v>4</x:v>
      </x:c>
      <x:c r="F693" s="5" t="str">
        <x:v>Admiralty Grade</x:v>
      </x:c>
      <x:c r="G693" s="5" t="n">
        <x:v>1</x:v>
      </x:c>
      <x:c r="H693" s="5" t="n">
        <x:v>1</x:v>
      </x:c>
      <x:c r="I693" s="5" t="str">
        <x:v>Grade: A1</x:v>
      </x:c>
      <x:c r="J693" s="5" t="str">
        <x:v>SOURCE QUOTE; unvalidated / superseded assessments</x:v>
      </x:c>
      <x:c r="L693" s="31" t="str">
        <x:v>D02, Markdown line 285; http://nas-1.tail55d152.ts.net:4100/static/2S_NORDIC_MARKET_PENETRATION_AND_ECOSYSTEM_ACCELERATOR.html</x:v>
      </x:c>
    </x:row>
    <x:row r="694" ht="56" customHeight="1">
      <x:c r="A694" s="5" t="str">
        <x:v>D02</x:v>
      </x:c>
      <x:c r="B694" s="5" t="str">
        <x:v>D02-T06</x:v>
      </x:c>
      <x:c r="C694" s="5" t="str">
        <x:v>8. NATO STANAG Admiralty Protocol Verification Matrix (Ecosystem Partners)</x:v>
      </x:c>
      <x:c r="D694" s="5" t="n">
        <x:v>285</x:v>
      </x:c>
      <x:c r="E694" s="5" t="n">
        <x:v>5</x:v>
      </x:c>
      <x:c r="F694" s="5" t="str">
        <x:v>Status</x:v>
      </x:c>
      <x:c r="G694" s="5" t="n">
        <x:v>1</x:v>
      </x:c>
      <x:c r="H694" s="5" t="n">
        <x:v>1</x:v>
      </x:c>
      <x:c r="I694" s="5" t="str">
        <x:v>PASS</x:v>
      </x:c>
      <x:c r="J694" s="5" t="str">
        <x:v>SOURCE QUOTE; unvalidated / superseded assessments</x:v>
      </x:c>
      <x:c r="L694" s="31" t="str">
        <x:v>D02, Markdown line 285; http://nas-1.tail55d152.ts.net:4100/static/2S_NORDIC_MARKET_PENETRATION_AND_ECOSYSTEM_ACCELERATOR.html</x:v>
      </x:c>
    </x:row>
    <x:row r="695" ht="56" customHeight="1">
      <x:c r="A695" s="5" t="str">
        <x:v>D02</x:v>
      </x:c>
      <x:c r="B695" s="5" t="str">
        <x:v>D02-T06</x:v>
      </x:c>
      <x:c r="C695" s="5" t="str">
        <x:v>8. NATO STANAG Admiralty Protocol Verification Matrix (Ecosystem Partners)</x:v>
      </x:c>
      <x:c r="D695" s="5" t="n">
        <x:v>286</x:v>
      </x:c>
      <x:c r="E695" s="5" t="n">
        <x:v>1</x:v>
      </x:c>
      <x:c r="F695" s="5" t="str">
        <x:v>Ecosystem Entity</x:v>
      </x:c>
      <x:c r="G695" s="5" t="n">
        <x:v>1</x:v>
      </x:c>
      <x:c r="H695" s="5" t="n">
        <x:v>1</x:v>
      </x:c>
      <x:c r="I695" s="5" t="str">
        <x:v>Norway Health Tech (Oslo)</x:v>
      </x:c>
      <x:c r="J695" s="5" t="str">
        <x:v>SOURCE QUOTE; unvalidated / superseded assessments</x:v>
      </x:c>
      <x:c r="L695" s="31" t="str">
        <x:v>D02, Markdown line 286; http://nas-1.tail55d152.ts.net:4100/static/2S_NORDIC_MARKET_PENETRATION_AND_ECOSYSTEM_ACCELERATOR.html</x:v>
      </x:c>
    </x:row>
    <x:row r="696" ht="56" customHeight="1">
      <x:c r="A696" s="5" t="str">
        <x:v>D02</x:v>
      </x:c>
      <x:c r="B696" s="5" t="str">
        <x:v>D02-T06</x:v>
      </x:c>
      <x:c r="C696" s="5" t="str">
        <x:v>8. NATO STANAG Admiralty Protocol Verification Matrix (Ecosystem Partners)</x:v>
      </x:c>
      <x:c r="D696" s="5" t="n">
        <x:v>286</x:v>
      </x:c>
      <x:c r="E696" s="5" t="n">
        <x:v>2</x:v>
      </x:c>
      <x:c r="F696" s="5" t="str">
        <x:v>Verified Metric / Strategic Footprint</x:v>
      </x:c>
      <x:c r="G696" s="5" t="n">
        <x:v>1</x:v>
      </x:c>
      <x:c r="H696" s="5" t="n">
        <x:v>1</x:v>
      </x:c>
      <x:c r="I696" s="5" t="str">
        <x:v>270+ institutional members (Oslo University Hospital, etc.)</x:v>
      </x:c>
      <x:c r="J696" s="5" t="str">
        <x:v>SOURCE QUOTE; unvalidated / superseded assessments</x:v>
      </x:c>
      <x:c r="L696" s="31" t="str">
        <x:v>D02, Markdown line 286; http://nas-1.tail55d152.ts.net:4100/static/2S_NORDIC_MARKET_PENETRATION_AND_ECOSYSTEM_ACCELERATOR.html</x:v>
      </x:c>
    </x:row>
    <x:row r="697" ht="56" customHeight="1">
      <x:c r="A697" s="5" t="str">
        <x:v>D02</x:v>
      </x:c>
      <x:c r="B697" s="5" t="str">
        <x:v>D02-T06</x:v>
      </x:c>
      <x:c r="C697" s="5" t="str">
        <x:v>8. NATO STANAG Admiralty Protocol Verification Matrix (Ecosystem Partners)</x:v>
      </x:c>
      <x:c r="D697" s="5" t="n">
        <x:v>286</x:v>
      </x:c>
      <x:c r="E697" s="5" t="n">
        <x:v>3</x:v>
      </x:c>
      <x:c r="F697" s="5" t="str">
        <x:v>Primary Source</x:v>
      </x:c>
      <x:c r="G697" s="5" t="n">
        <x:v>1</x:v>
      </x:c>
      <x:c r="H697" s="5" t="n">
        <x:v>1</x:v>
      </x:c>
      <x:c r="I697" s="5" t="str">
        <x:v>Norway Health Tech Cluster Annual Census</x:v>
      </x:c>
      <x:c r="J697" s="5" t="str">
        <x:v>SOURCE QUOTE; unvalidated / superseded assessments</x:v>
      </x:c>
      <x:c r="L697" s="31" t="str">
        <x:v>D02, Markdown line 286; http://nas-1.tail55d152.ts.net:4100/static/2S_NORDIC_MARKET_PENETRATION_AND_ECOSYSTEM_ACCELERATOR.html</x:v>
      </x:c>
    </x:row>
    <x:row r="698" ht="56" customHeight="1">
      <x:c r="A698" s="5" t="str">
        <x:v>D02</x:v>
      </x:c>
      <x:c r="B698" s="5" t="str">
        <x:v>D02-T06</x:v>
      </x:c>
      <x:c r="C698" s="5" t="str">
        <x:v>8. NATO STANAG Admiralty Protocol Verification Matrix (Ecosystem Partners)</x:v>
      </x:c>
      <x:c r="D698" s="5" t="n">
        <x:v>286</x:v>
      </x:c>
      <x:c r="E698" s="5" t="n">
        <x:v>4</x:v>
      </x:c>
      <x:c r="F698" s="5" t="str">
        <x:v>Admiralty Grade</x:v>
      </x:c>
      <x:c r="G698" s="5" t="n">
        <x:v>1</x:v>
      </x:c>
      <x:c r="H698" s="5" t="n">
        <x:v>1</x:v>
      </x:c>
      <x:c r="I698" s="5" t="str">
        <x:v>Grade: A1</x:v>
      </x:c>
      <x:c r="J698" s="5" t="str">
        <x:v>SOURCE QUOTE; unvalidated / superseded assessments</x:v>
      </x:c>
      <x:c r="L698" s="31" t="str">
        <x:v>D02, Markdown line 286; http://nas-1.tail55d152.ts.net:4100/static/2S_NORDIC_MARKET_PENETRATION_AND_ECOSYSTEM_ACCELERATOR.html</x:v>
      </x:c>
    </x:row>
    <x:row r="699" ht="56" customHeight="1">
      <x:c r="A699" s="5" t="str">
        <x:v>D02</x:v>
      </x:c>
      <x:c r="B699" s="5" t="str">
        <x:v>D02-T06</x:v>
      </x:c>
      <x:c r="C699" s="5" t="str">
        <x:v>8. NATO STANAG Admiralty Protocol Verification Matrix (Ecosystem Partners)</x:v>
      </x:c>
      <x:c r="D699" s="5" t="n">
        <x:v>286</x:v>
      </x:c>
      <x:c r="E699" s="5" t="n">
        <x:v>5</x:v>
      </x:c>
      <x:c r="F699" s="5" t="str">
        <x:v>Status</x:v>
      </x:c>
      <x:c r="G699" s="5" t="n">
        <x:v>1</x:v>
      </x:c>
      <x:c r="H699" s="5" t="n">
        <x:v>1</x:v>
      </x:c>
      <x:c r="I699" s="5" t="str">
        <x:v>PASS</x:v>
      </x:c>
      <x:c r="J699" s="5" t="str">
        <x:v>SOURCE QUOTE; unvalidated / superseded assessments</x:v>
      </x:c>
      <x:c r="L699" s="31" t="str">
        <x:v>D02, Markdown line 286; http://nas-1.tail55d152.ts.net:4100/static/2S_NORDIC_MARKET_PENETRATION_AND_ECOSYSTEM_ACCELERATOR.html</x:v>
      </x:c>
    </x:row>
    <x:row r="700" ht="56" customHeight="1">
      <x:c r="A700" s="5" t="str">
        <x:v>D02</x:v>
      </x:c>
      <x:c r="B700" s="5" t="str">
        <x:v>D02-T06</x:v>
      </x:c>
      <x:c r="C700" s="5" t="str">
        <x:v>8. NATO STANAG Admiralty Protocol Verification Matrix (Ecosystem Partners)</x:v>
      </x:c>
      <x:c r="D700" s="5" t="n">
        <x:v>287</x:v>
      </x:c>
      <x:c r="E700" s="5" t="n">
        <x:v>1</x:v>
      </x:c>
      <x:c r="F700" s="5" t="str">
        <x:v>Ecosystem Entity</x:v>
      </x:c>
      <x:c r="G700" s="5" t="n">
        <x:v>1</x:v>
      </x:c>
      <x:c r="H700" s="5" t="n">
        <x:v>1</x:v>
      </x:c>
      <x:c r="I700" s="5" t="str">
        <x:v>Health Capital Helsinki</x:v>
      </x:c>
      <x:c r="J700" s="5" t="str">
        <x:v>SOURCE QUOTE; unvalidated / superseded assessments</x:v>
      </x:c>
      <x:c r="L700" s="31" t="str">
        <x:v>D02, Markdown line 287; http://nas-1.tail55d152.ts.net:4100/static/2S_NORDIC_MARKET_PENETRATION_AND_ECOSYSTEM_ACCELERATOR.html</x:v>
      </x:c>
    </x:row>
    <x:row r="701" ht="56" customHeight="1">
      <x:c r="A701" s="5" t="str">
        <x:v>D02</x:v>
      </x:c>
      <x:c r="B701" s="5" t="str">
        <x:v>D02-T06</x:v>
      </x:c>
      <x:c r="C701" s="5" t="str">
        <x:v>8. NATO STANAG Admiralty Protocol Verification Matrix (Ecosystem Partners)</x:v>
      </x:c>
      <x:c r="D701" s="5" t="n">
        <x:v>287</x:v>
      </x:c>
      <x:c r="E701" s="5" t="n">
        <x:v>2</x:v>
      </x:c>
      <x:c r="F701" s="5" t="str">
        <x:v>Verified Metric / Strategic Footprint</x:v>
      </x:c>
      <x:c r="G701" s="5" t="n">
        <x:v>1</x:v>
      </x:c>
      <x:c r="H701" s="5" t="n">
        <x:v>1</x:v>
      </x:c>
      <x:c r="I701" s="5" t="str">
        <x:v>100+ health tech startups; Finnish AI innovation hub</x:v>
      </x:c>
      <x:c r="J701" s="5" t="str">
        <x:v>SOURCE QUOTE; unvalidated / superseded assessments</x:v>
      </x:c>
      <x:c r="L701" s="31" t="str">
        <x:v>D02, Markdown line 287; http://nas-1.tail55d152.ts.net:4100/static/2S_NORDIC_MARKET_PENETRATION_AND_ECOSYSTEM_ACCELERATOR.html</x:v>
      </x:c>
    </x:row>
    <x:row r="702" ht="56" customHeight="1">
      <x:c r="A702" s="5" t="str">
        <x:v>D02</x:v>
      </x:c>
      <x:c r="B702" s="5" t="str">
        <x:v>D02-T06</x:v>
      </x:c>
      <x:c r="C702" s="5" t="str">
        <x:v>8. NATO STANAG Admiralty Protocol Verification Matrix (Ecosystem Partners)</x:v>
      </x:c>
      <x:c r="D702" s="5" t="n">
        <x:v>287</x:v>
      </x:c>
      <x:c r="E702" s="5" t="n">
        <x:v>3</x:v>
      </x:c>
      <x:c r="F702" s="5" t="str">
        <x:v>Primary Source</x:v>
      </x:c>
      <x:c r="G702" s="5" t="n">
        <x:v>1</x:v>
      </x:c>
      <x:c r="H702" s="5" t="n">
        <x:v>1</x:v>
      </x:c>
      <x:c r="I702" s="5" t="str">
        <x:v>City of Helsinki Economic Development &amp; Business Finland</x:v>
      </x:c>
      <x:c r="J702" s="5" t="str">
        <x:v>SOURCE QUOTE; unvalidated / superseded assessments</x:v>
      </x:c>
      <x:c r="L702" s="31" t="str">
        <x:v>D02, Markdown line 287; http://nas-1.tail55d152.ts.net:4100/static/2S_NORDIC_MARKET_PENETRATION_AND_ECOSYSTEM_ACCELERATOR.html</x:v>
      </x:c>
    </x:row>
    <x:row r="703" ht="56" customHeight="1">
      <x:c r="A703" s="5" t="str">
        <x:v>D02</x:v>
      </x:c>
      <x:c r="B703" s="5" t="str">
        <x:v>D02-T06</x:v>
      </x:c>
      <x:c r="C703" s="5" t="str">
        <x:v>8. NATO STANAG Admiralty Protocol Verification Matrix (Ecosystem Partners)</x:v>
      </x:c>
      <x:c r="D703" s="5" t="n">
        <x:v>287</x:v>
      </x:c>
      <x:c r="E703" s="5" t="n">
        <x:v>4</x:v>
      </x:c>
      <x:c r="F703" s="5" t="str">
        <x:v>Admiralty Grade</x:v>
      </x:c>
      <x:c r="G703" s="5" t="n">
        <x:v>1</x:v>
      </x:c>
      <x:c r="H703" s="5" t="n">
        <x:v>1</x:v>
      </x:c>
      <x:c r="I703" s="5" t="str">
        <x:v>Grade: A1</x:v>
      </x:c>
      <x:c r="J703" s="5" t="str">
        <x:v>SOURCE QUOTE; unvalidated / superseded assessments</x:v>
      </x:c>
      <x:c r="L703" s="31" t="str">
        <x:v>D02, Markdown line 287; http://nas-1.tail55d152.ts.net:4100/static/2S_NORDIC_MARKET_PENETRATION_AND_ECOSYSTEM_ACCELERATOR.html</x:v>
      </x:c>
    </x:row>
    <x:row r="704" ht="56" customHeight="1">
      <x:c r="A704" s="5" t="str">
        <x:v>D02</x:v>
      </x:c>
      <x:c r="B704" s="5" t="str">
        <x:v>D02-T06</x:v>
      </x:c>
      <x:c r="C704" s="5" t="str">
        <x:v>8. NATO STANAG Admiralty Protocol Verification Matrix (Ecosystem Partners)</x:v>
      </x:c>
      <x:c r="D704" s="5" t="n">
        <x:v>287</x:v>
      </x:c>
      <x:c r="E704" s="5" t="n">
        <x:v>5</x:v>
      </x:c>
      <x:c r="F704" s="5" t="str">
        <x:v>Status</x:v>
      </x:c>
      <x:c r="G704" s="5" t="n">
        <x:v>1</x:v>
      </x:c>
      <x:c r="H704" s="5" t="n">
        <x:v>1</x:v>
      </x:c>
      <x:c r="I704" s="5" t="str">
        <x:v>PASS</x:v>
      </x:c>
      <x:c r="J704" s="5" t="str">
        <x:v>SOURCE QUOTE; unvalidated / superseded assessments</x:v>
      </x:c>
      <x:c r="L704" s="31" t="str">
        <x:v>D02, Markdown line 287; http://nas-1.tail55d152.ts.net:4100/static/2S_NORDIC_MARKET_PENETRATION_AND_ECOSYSTEM_ACCELERATOR.html</x:v>
      </x:c>
    </x:row>
    <x:row r="705" ht="56" customHeight="1">
      <x:c r="A705" s="5" t="str">
        <x:v>D02</x:v>
      </x:c>
      <x:c r="B705" s="5" t="str">
        <x:v>D02-T06</x:v>
      </x:c>
      <x:c r="C705" s="5" t="str">
        <x:v>8. NATO STANAG Admiralty Protocol Verification Matrix (Ecosystem Partners)</x:v>
      </x:c>
      <x:c r="D705" s="5" t="n">
        <x:v>288</x:v>
      </x:c>
      <x:c r="E705" s="5" t="n">
        <x:v>1</x:v>
      </x:c>
      <x:c r="F705" s="5" t="str">
        <x:v>Ecosystem Entity</x:v>
      </x:c>
      <x:c r="G705" s="5" t="n">
        <x:v>1</x:v>
      </x:c>
      <x:c r="H705" s="5" t="n">
        <x:v>1</x:v>
      </x:c>
      <x:c r="I705" s="5" t="str">
        <x:v>HealthCap VC (Stockholm)</x:v>
      </x:c>
      <x:c r="J705" s="5" t="str">
        <x:v>SOURCE QUOTE; unvalidated / superseded assessments</x:v>
      </x:c>
      <x:c r="L705" s="31" t="str">
        <x:v>D02, Markdown line 288; http://nas-1.tail55d152.ts.net:4100/static/2S_NORDIC_MARKET_PENETRATION_AND_ECOSYSTEM_ACCELERATOR.html</x:v>
      </x:c>
    </x:row>
    <x:row r="706" ht="56" customHeight="1">
      <x:c r="A706" s="5" t="str">
        <x:v>D02</x:v>
      </x:c>
      <x:c r="B706" s="5" t="str">
        <x:v>D02-T06</x:v>
      </x:c>
      <x:c r="C706" s="5" t="str">
        <x:v>8. NATO STANAG Admiralty Protocol Verification Matrix (Ecosystem Partners)</x:v>
      </x:c>
      <x:c r="D706" s="5" t="n">
        <x:v>288</x:v>
      </x:c>
      <x:c r="E706" s="5" t="n">
        <x:v>2</x:v>
      </x:c>
      <x:c r="F706" s="5" t="str">
        <x:v>Verified Metric / Strategic Footprint</x:v>
      </x:c>
      <x:c r="G706" s="5" t="n">
        <x:v>1</x:v>
      </x:c>
      <x:c r="H706" s="5" t="n">
        <x:v>1</x:v>
      </x:c>
      <x:c r="I706" s="5" t="str">
        <x:v>&gt;€1.2B AUM across 8 venture funds; primary Nordic lead</x:v>
      </x:c>
      <x:c r="J706" s="5" t="str">
        <x:v>SOURCE QUOTE; unvalidated / superseded assessments</x:v>
      </x:c>
      <x:c r="L706" s="31" t="str">
        <x:v>D02, Markdown line 288; http://nas-1.tail55d152.ts.net:4100/static/2S_NORDIC_MARKET_PENETRATION_AND_ECOSYSTEM_ACCELERATOR.html</x:v>
      </x:c>
    </x:row>
    <x:row r="707" ht="56" customHeight="1">
      <x:c r="A707" s="5" t="str">
        <x:v>D02</x:v>
      </x:c>
      <x:c r="B707" s="5" t="str">
        <x:v>D02-T06</x:v>
      </x:c>
      <x:c r="C707" s="5" t="str">
        <x:v>8. NATO STANAG Admiralty Protocol Verification Matrix (Ecosystem Partners)</x:v>
      </x:c>
      <x:c r="D707" s="5" t="n">
        <x:v>288</x:v>
      </x:c>
      <x:c r="E707" s="5" t="n">
        <x:v>3</x:v>
      </x:c>
      <x:c r="F707" s="5" t="str">
        <x:v>Primary Source</x:v>
      </x:c>
      <x:c r="G707" s="5" t="n">
        <x:v>1</x:v>
      </x:c>
      <x:c r="H707" s="5" t="n">
        <x:v>1</x:v>
      </x:c>
      <x:c r="I707" s="5" t="str">
        <x:v>HealthCap Official Disclosure &amp; Swedish FSA (FI) filings</x:v>
      </x:c>
      <x:c r="J707" s="5" t="str">
        <x:v>SOURCE QUOTE; unvalidated / superseded assessments</x:v>
      </x:c>
      <x:c r="L707" s="31" t="str">
        <x:v>D02, Markdown line 288; http://nas-1.tail55d152.ts.net:4100/static/2S_NORDIC_MARKET_PENETRATION_AND_ECOSYSTEM_ACCELERATOR.html</x:v>
      </x:c>
    </x:row>
    <x:row r="708" ht="56" customHeight="1">
      <x:c r="A708" s="5" t="str">
        <x:v>D02</x:v>
      </x:c>
      <x:c r="B708" s="5" t="str">
        <x:v>D02-T06</x:v>
      </x:c>
      <x:c r="C708" s="5" t="str">
        <x:v>8. NATO STANAG Admiralty Protocol Verification Matrix (Ecosystem Partners)</x:v>
      </x:c>
      <x:c r="D708" s="5" t="n">
        <x:v>288</x:v>
      </x:c>
      <x:c r="E708" s="5" t="n">
        <x:v>4</x:v>
      </x:c>
      <x:c r="F708" s="5" t="str">
        <x:v>Admiralty Grade</x:v>
      </x:c>
      <x:c r="G708" s="5" t="n">
        <x:v>1</x:v>
      </x:c>
      <x:c r="H708" s="5" t="n">
        <x:v>1</x:v>
      </x:c>
      <x:c r="I708" s="5" t="str">
        <x:v>Grade: A1</x:v>
      </x:c>
      <x:c r="J708" s="5" t="str">
        <x:v>SOURCE QUOTE; unvalidated / superseded assessments</x:v>
      </x:c>
      <x:c r="L708" s="31" t="str">
        <x:v>D02, Markdown line 288; http://nas-1.tail55d152.ts.net:4100/static/2S_NORDIC_MARKET_PENETRATION_AND_ECOSYSTEM_ACCELERATOR.html</x:v>
      </x:c>
    </x:row>
    <x:row r="709" ht="56" customHeight="1">
      <x:c r="A709" s="5" t="str">
        <x:v>D02</x:v>
      </x:c>
      <x:c r="B709" s="5" t="str">
        <x:v>D02-T06</x:v>
      </x:c>
      <x:c r="C709" s="5" t="str">
        <x:v>8. NATO STANAG Admiralty Protocol Verification Matrix (Ecosystem Partners)</x:v>
      </x:c>
      <x:c r="D709" s="5" t="n">
        <x:v>288</x:v>
      </x:c>
      <x:c r="E709" s="5" t="n">
        <x:v>5</x:v>
      </x:c>
      <x:c r="F709" s="5" t="str">
        <x:v>Status</x:v>
      </x:c>
      <x:c r="G709" s="5" t="n">
        <x:v>1</x:v>
      </x:c>
      <x:c r="H709" s="5" t="n">
        <x:v>1</x:v>
      </x:c>
      <x:c r="I709" s="5" t="str">
        <x:v>PASS</x:v>
      </x:c>
      <x:c r="J709" s="5" t="str">
        <x:v>SOURCE QUOTE; unvalidated / superseded assessments</x:v>
      </x:c>
      <x:c r="L709" s="31" t="str">
        <x:v>D02, Markdown line 288; http://nas-1.tail55d152.ts.net:4100/static/2S_NORDIC_MARKET_PENETRATION_AND_ECOSYSTEM_ACCELERATOR.html</x:v>
      </x:c>
    </x:row>
    <x:row r="710" ht="56" customHeight="1">
      <x:c r="A710" s="5" t="str">
        <x:v>D02</x:v>
      </x:c>
      <x:c r="B710" s="5" t="str">
        <x:v>D02-T06</x:v>
      </x:c>
      <x:c r="C710" s="5" t="str">
        <x:v>8. NATO STANAG Admiralty Protocol Verification Matrix (Ecosystem Partners)</x:v>
      </x:c>
      <x:c r="D710" s="5" t="n">
        <x:v>289</x:v>
      </x:c>
      <x:c r="E710" s="5" t="n">
        <x:v>1</x:v>
      </x:c>
      <x:c r="F710" s="5" t="str">
        <x:v>Ecosystem Entity</x:v>
      </x:c>
      <x:c r="G710" s="5" t="n">
        <x:v>1</x:v>
      </x:c>
      <x:c r="H710" s="5" t="n">
        <x:v>1</x:v>
      </x:c>
      <x:c r="I710" s="5" t="str">
        <x:v>Industrifonden (Stockholm)</x:v>
      </x:c>
      <x:c r="J710" s="5" t="str">
        <x:v>SOURCE QUOTE; unvalidated / superseded assessments</x:v>
      </x:c>
      <x:c r="L710" s="31" t="str">
        <x:v>D02, Markdown line 289; http://nas-1.tail55d152.ts.net:4100/static/2S_NORDIC_MARKET_PENETRATION_AND_ECOSYSTEM_ACCELERATOR.html</x:v>
      </x:c>
    </x:row>
    <x:row r="711" ht="56" customHeight="1">
      <x:c r="A711" s="5" t="str">
        <x:v>D02</x:v>
      </x:c>
      <x:c r="B711" s="5" t="str">
        <x:v>D02-T06</x:v>
      </x:c>
      <x:c r="C711" s="5" t="str">
        <x:v>8. NATO STANAG Admiralty Protocol Verification Matrix (Ecosystem Partners)</x:v>
      </x:c>
      <x:c r="D711" s="5" t="n">
        <x:v>289</x:v>
      </x:c>
      <x:c r="E711" s="5" t="n">
        <x:v>2</x:v>
      </x:c>
      <x:c r="F711" s="5" t="str">
        <x:v>Verified Metric / Strategic Footprint</x:v>
      </x:c>
      <x:c r="G711" s="5" t="n">
        <x:v>1</x:v>
      </x:c>
      <x:c r="H711" s="5" t="n">
        <x:v>1</x:v>
      </x:c>
      <x:c r="I711" s="5" t="str">
        <x:v>&gt;€500M evergreen state venture capital assets</x:v>
      </x:c>
      <x:c r="J711" s="5" t="str">
        <x:v>SOURCE QUOTE; unvalidated / superseded assessments</x:v>
      </x:c>
      <x:c r="L711" s="31" t="str">
        <x:v>D02, Markdown line 289; http://nas-1.tail55d152.ts.net:4100/static/2S_NORDIC_MARKET_PENETRATION_AND_ECOSYSTEM_ACCELERATOR.html</x:v>
      </x:c>
    </x:row>
    <x:row r="712" ht="56" customHeight="1">
      <x:c r="A712" s="5" t="str">
        <x:v>D02</x:v>
      </x:c>
      <x:c r="B712" s="5" t="str">
        <x:v>D02-T06</x:v>
      </x:c>
      <x:c r="C712" s="5" t="str">
        <x:v>8. NATO STANAG Admiralty Protocol Verification Matrix (Ecosystem Partners)</x:v>
      </x:c>
      <x:c r="D712" s="5" t="n">
        <x:v>289</x:v>
      </x:c>
      <x:c r="E712" s="5" t="n">
        <x:v>3</x:v>
      </x:c>
      <x:c r="F712" s="5" t="str">
        <x:v>Primary Source</x:v>
      </x:c>
      <x:c r="G712" s="5" t="n">
        <x:v>1</x:v>
      </x:c>
      <x:c r="H712" s="5" t="n">
        <x:v>1</x:v>
      </x:c>
      <x:c r="I712" s="5" t="str">
        <x:v>Swedish Ministry of Enterprise &amp; Industrifonden Annuals</x:v>
      </x:c>
      <x:c r="J712" s="5" t="str">
        <x:v>SOURCE QUOTE; unvalidated / superseded assessments</x:v>
      </x:c>
      <x:c r="L712" s="31" t="str">
        <x:v>D02, Markdown line 289; http://nas-1.tail55d152.ts.net:4100/static/2S_NORDIC_MARKET_PENETRATION_AND_ECOSYSTEM_ACCELERATOR.html</x:v>
      </x:c>
    </x:row>
    <x:row r="713" ht="56" customHeight="1">
      <x:c r="A713" s="5" t="str">
        <x:v>D02</x:v>
      </x:c>
      <x:c r="B713" s="5" t="str">
        <x:v>D02-T06</x:v>
      </x:c>
      <x:c r="C713" s="5" t="str">
        <x:v>8. NATO STANAG Admiralty Protocol Verification Matrix (Ecosystem Partners)</x:v>
      </x:c>
      <x:c r="D713" s="5" t="n">
        <x:v>289</x:v>
      </x:c>
      <x:c r="E713" s="5" t="n">
        <x:v>4</x:v>
      </x:c>
      <x:c r="F713" s="5" t="str">
        <x:v>Admiralty Grade</x:v>
      </x:c>
      <x:c r="G713" s="5" t="n">
        <x:v>1</x:v>
      </x:c>
      <x:c r="H713" s="5" t="n">
        <x:v>1</x:v>
      </x:c>
      <x:c r="I713" s="5" t="str">
        <x:v>Grade: A1</x:v>
      </x:c>
      <x:c r="J713" s="5" t="str">
        <x:v>SOURCE QUOTE; unvalidated / superseded assessments</x:v>
      </x:c>
      <x:c r="L713" s="31" t="str">
        <x:v>D02, Markdown line 289; http://nas-1.tail55d152.ts.net:4100/static/2S_NORDIC_MARKET_PENETRATION_AND_ECOSYSTEM_ACCELERATOR.html</x:v>
      </x:c>
    </x:row>
    <x:row r="714" ht="56" customHeight="1">
      <x:c r="A714" s="5" t="str">
        <x:v>D02</x:v>
      </x:c>
      <x:c r="B714" s="5" t="str">
        <x:v>D02-T06</x:v>
      </x:c>
      <x:c r="C714" s="5" t="str">
        <x:v>8. NATO STANAG Admiralty Protocol Verification Matrix (Ecosystem Partners)</x:v>
      </x:c>
      <x:c r="D714" s="5" t="n">
        <x:v>289</x:v>
      </x:c>
      <x:c r="E714" s="5" t="n">
        <x:v>5</x:v>
      </x:c>
      <x:c r="F714" s="5" t="str">
        <x:v>Status</x:v>
      </x:c>
      <x:c r="G714" s="5" t="n">
        <x:v>1</x:v>
      </x:c>
      <x:c r="H714" s="5" t="n">
        <x:v>1</x:v>
      </x:c>
      <x:c r="I714" s="5" t="str">
        <x:v>PASS</x:v>
      </x:c>
      <x:c r="J714" s="5" t="str">
        <x:v>SOURCE QUOTE; unvalidated / superseded assessments</x:v>
      </x:c>
      <x:c r="L714" s="31" t="str">
        <x:v>D02, Markdown line 289; http://nas-1.tail55d152.ts.net:4100/static/2S_NORDIC_MARKET_PENETRATION_AND_ECOSYSTEM_ACCELERATOR.html</x:v>
      </x:c>
    </x:row>
    <x:row r="715" ht="56" customHeight="1">
      <x:c r="A715" s="5" t="str">
        <x:v>D02</x:v>
      </x:c>
      <x:c r="B715" s="5" t="str">
        <x:v>D02-T06</x:v>
      </x:c>
      <x:c r="C715" s="5" t="str">
        <x:v>8. NATO STANAG Admiralty Protocol Verification Matrix (Ecosystem Partners)</x:v>
      </x:c>
      <x:c r="D715" s="5" t="n">
        <x:v>290</x:v>
      </x:c>
      <x:c r="E715" s="5" t="n">
        <x:v>1</x:v>
      </x:c>
      <x:c r="F715" s="5" t="str">
        <x:v>Ecosystem Entity</x:v>
      </x:c>
      <x:c r="G715" s="5" t="n">
        <x:v>1</x:v>
      </x:c>
      <x:c r="H715" s="5" t="n">
        <x:v>1</x:v>
      </x:c>
      <x:c r="I715" s="5" t="str">
        <x:v>Knightec Group Footprint</x:v>
      </x:c>
      <x:c r="J715" s="5" t="str">
        <x:v>SOURCE QUOTE; unvalidated / superseded assessments</x:v>
      </x:c>
      <x:c r="L715" s="31" t="str">
        <x:v>D02, Markdown line 290; http://nas-1.tail55d152.ts.net:4100/static/2S_NORDIC_MARKET_PENETRATION_AND_ECOSYSTEM_ACCELERATOR.html</x:v>
      </x:c>
    </x:row>
    <x:row r="716" ht="56" customHeight="1">
      <x:c r="A716" s="5" t="str">
        <x:v>D02</x:v>
      </x:c>
      <x:c r="B716" s="5" t="str">
        <x:v>D02-T06</x:v>
      </x:c>
      <x:c r="C716" s="5" t="str">
        <x:v>8. NATO STANAG Admiralty Protocol Verification Matrix (Ecosystem Partners)</x:v>
      </x:c>
      <x:c r="D716" s="5" t="n">
        <x:v>290</x:v>
      </x:c>
      <x:c r="E716" s="5" t="n">
        <x:v>2</x:v>
      </x:c>
      <x:c r="F716" s="5" t="str">
        <x:v>Verified Metric / Strategic Footprint</x:v>
      </x:c>
      <x:c r="G716" s="5" t="n">
        <x:v>1</x:v>
      </x:c>
      <x:c r="H716" s="5" t="n">
        <x:v>1</x:v>
      </x:c>
      <x:c r="I716" s="5" t="str">
        <x:v>~800 consultants across Stockholm, Gothenburg, Lund</x:v>
      </x:c>
      <x:c r="J716" s="5" t="str">
        <x:v>SOURCE QUOTE; unvalidated / superseded assessments</x:v>
      </x:c>
      <x:c r="L716" s="31" t="str">
        <x:v>D02, Markdown line 290; http://nas-1.tail55d152.ts.net:4100/static/2S_NORDIC_MARKET_PENETRATION_AND_ECOSYSTEM_ACCELERATOR.html</x:v>
      </x:c>
    </x:row>
    <x:row r="717" ht="56" customHeight="1">
      <x:c r="A717" s="5" t="str">
        <x:v>D02</x:v>
      </x:c>
      <x:c r="B717" s="5" t="str">
        <x:v>D02-T06</x:v>
      </x:c>
      <x:c r="C717" s="5" t="str">
        <x:v>8. NATO STANAG Admiralty Protocol Verification Matrix (Ecosystem Partners)</x:v>
      </x:c>
      <x:c r="D717" s="5" t="n">
        <x:v>290</x:v>
      </x:c>
      <x:c r="E717" s="5" t="n">
        <x:v>3</x:v>
      </x:c>
      <x:c r="F717" s="5" t="str">
        <x:v>Primary Source</x:v>
      </x:c>
      <x:c r="G717" s="5" t="n">
        <x:v>1</x:v>
      </x:c>
      <x:c r="H717" s="5" t="n">
        <x:v>1</x:v>
      </x:c>
      <x:c r="I717" s="5" t="str">
        <x:v>Knightec Group AB Annual Financial Disclosures (Bolagsverket)</x:v>
      </x:c>
      <x:c r="J717" s="5" t="str">
        <x:v>SOURCE QUOTE; unvalidated / superseded assessments</x:v>
      </x:c>
      <x:c r="L717" s="31" t="str">
        <x:v>D02, Markdown line 290; http://nas-1.tail55d152.ts.net:4100/static/2S_NORDIC_MARKET_PENETRATION_AND_ECOSYSTEM_ACCELERATOR.html</x:v>
      </x:c>
    </x:row>
    <x:row r="718" ht="56" customHeight="1">
      <x:c r="A718" s="5" t="str">
        <x:v>D02</x:v>
      </x:c>
      <x:c r="B718" s="5" t="str">
        <x:v>D02-T06</x:v>
      </x:c>
      <x:c r="C718" s="5" t="str">
        <x:v>8. NATO STANAG Admiralty Protocol Verification Matrix (Ecosystem Partners)</x:v>
      </x:c>
      <x:c r="D718" s="5" t="n">
        <x:v>290</x:v>
      </x:c>
      <x:c r="E718" s="5" t="n">
        <x:v>4</x:v>
      </x:c>
      <x:c r="F718" s="5" t="str">
        <x:v>Admiralty Grade</x:v>
      </x:c>
      <x:c r="G718" s="5" t="n">
        <x:v>1</x:v>
      </x:c>
      <x:c r="H718" s="5" t="n">
        <x:v>1</x:v>
      </x:c>
      <x:c r="I718" s="5" t="str">
        <x:v>Grade: A1</x:v>
      </x:c>
      <x:c r="J718" s="5" t="str">
        <x:v>SOURCE QUOTE; unvalidated / superseded assessments</x:v>
      </x:c>
      <x:c r="L718" s="31" t="str">
        <x:v>D02, Markdown line 290; http://nas-1.tail55d152.ts.net:4100/static/2S_NORDIC_MARKET_PENETRATION_AND_ECOSYSTEM_ACCELERATOR.html</x:v>
      </x:c>
    </x:row>
    <x:row r="719" ht="56" customHeight="1">
      <x:c r="A719" s="5" t="str">
        <x:v>D02</x:v>
      </x:c>
      <x:c r="B719" s="5" t="str">
        <x:v>D02-T06</x:v>
      </x:c>
      <x:c r="C719" s="5" t="str">
        <x:v>8. NATO STANAG Admiralty Protocol Verification Matrix (Ecosystem Partners)</x:v>
      </x:c>
      <x:c r="D719" s="5" t="n">
        <x:v>290</x:v>
      </x:c>
      <x:c r="E719" s="5" t="n">
        <x:v>5</x:v>
      </x:c>
      <x:c r="F719" s="5" t="str">
        <x:v>Status</x:v>
      </x:c>
      <x:c r="G719" s="5" t="n">
        <x:v>1</x:v>
      </x:c>
      <x:c r="H719" s="5" t="n">
        <x:v>1</x:v>
      </x:c>
      <x:c r="I719" s="5" t="str">
        <x:v>PASS</x:v>
      </x:c>
      <x:c r="J719" s="5" t="str">
        <x:v>SOURCE QUOTE; unvalidated / superseded assessments</x:v>
      </x:c>
      <x:c r="L719" s="31" t="str">
        <x:v>D02, Markdown line 290; http://nas-1.tail55d152.ts.net:4100/static/2S_NORDIC_MARKET_PENETRATION_AND_ECOSYSTEM_ACCELERATOR.html</x:v>
      </x:c>
    </x:row>
    <x:row r="720" ht="56" customHeight="1">
      <x:c r="A720" s="5" t="str">
        <x:v>D02</x:v>
      </x:c>
      <x:c r="B720" s="5" t="str">
        <x:v>D02-T06</x:v>
      </x:c>
      <x:c r="C720" s="5" t="str">
        <x:v>8. NATO STANAG Admiralty Protocol Verification Matrix (Ecosystem Partners)</x:v>
      </x:c>
      <x:c r="D720" s="5" t="n">
        <x:v>291</x:v>
      </x:c>
      <x:c r="E720" s="5" t="n">
        <x:v>1</x:v>
      </x:c>
      <x:c r="F720" s="5" t="str">
        <x:v>Ecosystem Entity</x:v>
      </x:c>
      <x:c r="G720" s="5" t="n">
        <x:v>1</x:v>
      </x:c>
      <x:c r="H720" s="5" t="n">
        <x:v>1</x:v>
      </x:c>
      <x:c r="I720" s="5" t="str">
        <x:v>Semcon Product Footprint</x:v>
      </x:c>
      <x:c r="J720" s="5" t="str">
        <x:v>SOURCE QUOTE; unvalidated / superseded assessments</x:v>
      </x:c>
      <x:c r="L720" s="31" t="str">
        <x:v>D02, Markdown line 291; http://nas-1.tail55d152.ts.net:4100/static/2S_NORDIC_MARKET_PENETRATION_AND_ECOSYSTEM_ACCELERATOR.html</x:v>
      </x:c>
    </x:row>
    <x:row r="721" ht="56" customHeight="1">
      <x:c r="A721" s="5" t="str">
        <x:v>D02</x:v>
      </x:c>
      <x:c r="B721" s="5" t="str">
        <x:v>D02-T06</x:v>
      </x:c>
      <x:c r="C721" s="5" t="str">
        <x:v>8. NATO STANAG Admiralty Protocol Verification Matrix (Ecosystem Partners)</x:v>
      </x:c>
      <x:c r="D721" s="5" t="n">
        <x:v>291</x:v>
      </x:c>
      <x:c r="E721" s="5" t="n">
        <x:v>2</x:v>
      </x:c>
      <x:c r="F721" s="5" t="str">
        <x:v>Verified Metric / Strategic Footprint</x:v>
      </x:c>
      <x:c r="G721" s="5" t="n">
        <x:v>1</x:v>
      </x:c>
      <x:c r="H721" s="5" t="n">
        <x:v>1</x:v>
      </x:c>
      <x:c r="I721" s="5" t="str">
        <x:v>~1,200 product design and engineering consultants</x:v>
      </x:c>
      <x:c r="J721" s="5" t="str">
        <x:v>SOURCE QUOTE; unvalidated / superseded assessments</x:v>
      </x:c>
      <x:c r="L721" s="31" t="str">
        <x:v>D02, Markdown line 291; http://nas-1.tail55d152.ts.net:4100/static/2S_NORDIC_MARKET_PENETRATION_AND_ECOSYSTEM_ACCELERATOR.html</x:v>
      </x:c>
    </x:row>
    <x:row r="722" ht="56" customHeight="1">
      <x:c r="A722" s="5" t="str">
        <x:v>D02</x:v>
      </x:c>
      <x:c r="B722" s="5" t="str">
        <x:v>D02-T06</x:v>
      </x:c>
      <x:c r="C722" s="5" t="str">
        <x:v>8. NATO STANAG Admiralty Protocol Verification Matrix (Ecosystem Partners)</x:v>
      </x:c>
      <x:c r="D722" s="5" t="n">
        <x:v>291</x:v>
      </x:c>
      <x:c r="E722" s="5" t="n">
        <x:v>3</x:v>
      </x:c>
      <x:c r="F722" s="5" t="str">
        <x:v>Primary Source</x:v>
      </x:c>
      <x:c r="G722" s="5" t="n">
        <x:v>1</x:v>
      </x:c>
      <x:c r="H722" s="5" t="n">
        <x:v>1</x:v>
      </x:c>
      <x:c r="I722" s="5" t="str">
        <x:v>Semcon AB Annual Audited Financial Statements</x:v>
      </x:c>
      <x:c r="J722" s="5" t="str">
        <x:v>SOURCE QUOTE; unvalidated / superseded assessments</x:v>
      </x:c>
      <x:c r="L722" s="31" t="str">
        <x:v>D02, Markdown line 291; http://nas-1.tail55d152.ts.net:4100/static/2S_NORDIC_MARKET_PENETRATION_AND_ECOSYSTEM_ACCELERATOR.html</x:v>
      </x:c>
    </x:row>
    <x:row r="723" ht="56" customHeight="1">
      <x:c r="A723" s="5" t="str">
        <x:v>D02</x:v>
      </x:c>
      <x:c r="B723" s="5" t="str">
        <x:v>D02-T06</x:v>
      </x:c>
      <x:c r="C723" s="5" t="str">
        <x:v>8. NATO STANAG Admiralty Protocol Verification Matrix (Ecosystem Partners)</x:v>
      </x:c>
      <x:c r="D723" s="5" t="n">
        <x:v>291</x:v>
      </x:c>
      <x:c r="E723" s="5" t="n">
        <x:v>4</x:v>
      </x:c>
      <x:c r="F723" s="5" t="str">
        <x:v>Admiralty Grade</x:v>
      </x:c>
      <x:c r="G723" s="5" t="n">
        <x:v>1</x:v>
      </x:c>
      <x:c r="H723" s="5" t="n">
        <x:v>1</x:v>
      </x:c>
      <x:c r="I723" s="5" t="str">
        <x:v>Grade: A1</x:v>
      </x:c>
      <x:c r="J723" s="5" t="str">
        <x:v>SOURCE QUOTE; unvalidated / superseded assessments</x:v>
      </x:c>
      <x:c r="L723" s="31" t="str">
        <x:v>D02, Markdown line 291; http://nas-1.tail55d152.ts.net:4100/static/2S_NORDIC_MARKET_PENETRATION_AND_ECOSYSTEM_ACCELERATOR.html</x:v>
      </x:c>
    </x:row>
    <x:row r="724" ht="56" customHeight="1">
      <x:c r="A724" s="5" t="str">
        <x:v>D02</x:v>
      </x:c>
      <x:c r="B724" s="5" t="str">
        <x:v>D02-T06</x:v>
      </x:c>
      <x:c r="C724" s="5" t="str">
        <x:v>8. NATO STANAG Admiralty Protocol Verification Matrix (Ecosystem Partners)</x:v>
      </x:c>
      <x:c r="D724" s="5" t="n">
        <x:v>291</x:v>
      </x:c>
      <x:c r="E724" s="5" t="n">
        <x:v>5</x:v>
      </x:c>
      <x:c r="F724" s="5" t="str">
        <x:v>Status</x:v>
      </x:c>
      <x:c r="G724" s="5" t="n">
        <x:v>1</x:v>
      </x:c>
      <x:c r="H724" s="5" t="n">
        <x:v>1</x:v>
      </x:c>
      <x:c r="I724" s="5" t="str">
        <x:v>PASS</x:v>
      </x:c>
      <x:c r="J724" s="5" t="str">
        <x:v>SOURCE QUOTE; unvalidated / superseded assessments</x:v>
      </x:c>
      <x:c r="L724" s="31" t="str">
        <x:v>D02, Markdown line 291; http://nas-1.tail55d152.ts.net:4100/static/2S_NORDIC_MARKET_PENETRATION_AND_ECOSYSTEM_ACCELERATOR.html</x:v>
      </x:c>
    </x:row>
    <x:row r="725" ht="56" customHeight="1">
      <x:c r="A725" s="5" t="str">
        <x:v>D02</x:v>
      </x:c>
      <x:c r="B725" s="5" t="str">
        <x:v>D02-T06</x:v>
      </x:c>
      <x:c r="C725" s="5" t="str">
        <x:v>8. NATO STANAG Admiralty Protocol Verification Matrix (Ecosystem Partners)</x:v>
      </x:c>
      <x:c r="D725" s="5" t="n">
        <x:v>292</x:v>
      </x:c>
      <x:c r="E725" s="5" t="n">
        <x:v>1</x:v>
      </x:c>
      <x:c r="F725" s="5" t="str">
        <x:v>Ecosystem Entity</x:v>
      </x:c>
      <x:c r="G725" s="5" t="n">
        <x:v>1</x:v>
      </x:c>
      <x:c r="H725" s="5" t="n">
        <x:v>1</x:v>
      </x:c>
      <x:c r="I725" s="5" t="str">
        <x:v>VC Regulatory Diligence Need</x:v>
      </x:c>
      <x:c r="J725" s="5" t="str">
        <x:v>SOURCE QUOTE; unvalidated / superseded assessments</x:v>
      </x:c>
      <x:c r="L725" s="31" t="str">
        <x:v>D02, Markdown line 292; http://nas-1.tail55d152.ts.net:4100/static/2S_NORDIC_MARKET_PENETRATION_AND_ECOSYSTEM_ACCELERATOR.html</x:v>
      </x:c>
    </x:row>
    <x:row r="726" ht="56" customHeight="1">
      <x:c r="A726" s="5" t="str">
        <x:v>D02</x:v>
      </x:c>
      <x:c r="B726" s="5" t="str">
        <x:v>D02-T06</x:v>
      </x:c>
      <x:c r="C726" s="5" t="str">
        <x:v>8. NATO STANAG Admiralty Protocol Verification Matrix (Ecosystem Partners)</x:v>
      </x:c>
      <x:c r="D726" s="5" t="n">
        <x:v>292</x:v>
      </x:c>
      <x:c r="E726" s="5" t="n">
        <x:v>2</x:v>
      </x:c>
      <x:c r="F726" s="5" t="str">
        <x:v>Verified Metric / Strategic Footprint</x:v>
      </x:c>
      <x:c r="G726" s="5" t="n">
        <x:v>1</x:v>
      </x:c>
      <x:c r="H726" s="5" t="n">
        <x:v>1</x:v>
      </x:c>
      <x:c r="I726" s="5" t="str">
        <x:v>42% of MedTech Series A milestones delayed by Notified Bodies</x:v>
      </x:c>
      <x:c r="J726" s="5" t="str">
        <x:v>SOURCE QUOTE; unvalidated / superseded assessments</x:v>
      </x:c>
      <x:c r="L726" s="31" t="str">
        <x:v>D02, Markdown line 292; http://nas-1.tail55d152.ts.net:4100/static/2S_NORDIC_MARKET_PENETRATION_AND_ECOSYSTEM_ACCELERATOR.html</x:v>
      </x:c>
    </x:row>
    <x:row r="727" ht="56" customHeight="1">
      <x:c r="A727" s="5" t="str">
        <x:v>D02</x:v>
      </x:c>
      <x:c r="B727" s="5" t="str">
        <x:v>D02-T06</x:v>
      </x:c>
      <x:c r="C727" s="5" t="str">
        <x:v>8. NATO STANAG Admiralty Protocol Verification Matrix (Ecosystem Partners)</x:v>
      </x:c>
      <x:c r="D727" s="5" t="n">
        <x:v>292</x:v>
      </x:c>
      <x:c r="E727" s="5" t="n">
        <x:v>3</x:v>
      </x:c>
      <x:c r="F727" s="5" t="str">
        <x:v>Primary Source</x:v>
      </x:c>
      <x:c r="G727" s="5" t="n">
        <x:v>1</x:v>
      </x:c>
      <x:c r="H727" s="5" t="n">
        <x:v>1</x:v>
      </x:c>
      <x:c r="I727" s="5" t="str">
        <x:v>European HealthTech VC Survey &amp; MedTech Europe Reports</x:v>
      </x:c>
      <x:c r="J727" s="5" t="str">
        <x:v>SOURCE QUOTE; unvalidated / superseded assessments</x:v>
      </x:c>
      <x:c r="L727" s="31" t="str">
        <x:v>D02, Markdown line 292; http://nas-1.tail55d152.ts.net:4100/static/2S_NORDIC_MARKET_PENETRATION_AND_ECOSYSTEM_ACCELERATOR.html</x:v>
      </x:c>
    </x:row>
    <x:row r="728" ht="56" customHeight="1">
      <x:c r="A728" s="5" t="str">
        <x:v>D02</x:v>
      </x:c>
      <x:c r="B728" s="5" t="str">
        <x:v>D02-T06</x:v>
      </x:c>
      <x:c r="C728" s="5" t="str">
        <x:v>8. NATO STANAG Admiralty Protocol Verification Matrix (Ecosystem Partners)</x:v>
      </x:c>
      <x:c r="D728" s="5" t="n">
        <x:v>292</x:v>
      </x:c>
      <x:c r="E728" s="5" t="n">
        <x:v>4</x:v>
      </x:c>
      <x:c r="F728" s="5" t="str">
        <x:v>Admiralty Grade</x:v>
      </x:c>
      <x:c r="G728" s="5" t="n">
        <x:v>1</x:v>
      </x:c>
      <x:c r="H728" s="5" t="n">
        <x:v>1</x:v>
      </x:c>
      <x:c r="I728" s="5" t="str">
        <x:v>Grade: A2</x:v>
      </x:c>
      <x:c r="J728" s="5" t="str">
        <x:v>SOURCE QUOTE; unvalidated / superseded assessments</x:v>
      </x:c>
      <x:c r="L728" s="31" t="str">
        <x:v>D02, Markdown line 292; http://nas-1.tail55d152.ts.net:4100/static/2S_NORDIC_MARKET_PENETRATION_AND_ECOSYSTEM_ACCELERATOR.html</x:v>
      </x:c>
    </x:row>
    <x:row r="729" ht="56" customHeight="1">
      <x:c r="A729" s="5" t="str">
        <x:v>D02</x:v>
      </x:c>
      <x:c r="B729" s="5" t="str">
        <x:v>D02-T06</x:v>
      </x:c>
      <x:c r="C729" s="5" t="str">
        <x:v>8. NATO STANAG Admiralty Protocol Verification Matrix (Ecosystem Partners)</x:v>
      </x:c>
      <x:c r="D729" s="5" t="n">
        <x:v>292</x:v>
      </x:c>
      <x:c r="E729" s="5" t="n">
        <x:v>5</x:v>
      </x:c>
      <x:c r="F729" s="5" t="str">
        <x:v>Status</x:v>
      </x:c>
      <x:c r="G729" s="5" t="n">
        <x:v>1</x:v>
      </x:c>
      <x:c r="H729" s="5" t="n">
        <x:v>1</x:v>
      </x:c>
      <x:c r="I729" s="5" t="str">
        <x:v>PASS</x:v>
      </x:c>
      <x:c r="J729" s="5" t="str">
        <x:v>SOURCE QUOTE; unvalidated / superseded assessments</x:v>
      </x:c>
      <x:c r="L729" s="31" t="str">
        <x:v>D02, Markdown line 292; http://nas-1.tail55d152.ts.net:4100/static/2S_NORDIC_MARKET_PENETRATION_AND_ECOSYSTEM_ACCELERATOR.html</x:v>
      </x:c>
    </x:row>
    <x:row r="730" ht="42" customHeight="1">
      <x:c r="A730" s="5" t="str">
        <x:v>D04</x:v>
      </x:c>
      <x:c r="B730" s="5" t="str">
        <x:v>D04-T01</x:v>
      </x:c>
      <x:c r="C730" s="5" t="str">
        <x:v>4. Macro Regulatory &amp; Competitive Forces</x:v>
      </x:c>
      <x:c r="D730" s="5" t="n">
        <x:v>187</x:v>
      </x:c>
      <x:c r="E730" s="5" t="n">
        <x:v>1</x:v>
      </x:c>
      <x:c r="F730" s="5" t="str">
        <x:v>Regulatory / Market Driver</x:v>
      </x:c>
      <x:c r="G730" s="5" t="n">
        <x:v>1</x:v>
      </x:c>
      <x:c r="H730" s="5" t="n">
        <x:v>1</x:v>
      </x:c>
      <x:c r="I730" s="5" t="str">
        <x:v>EU General Pharma Legislation Reform</x:v>
      </x:c>
      <x:c r="J730" s="5" t="str">
        <x:v>SOURCE QUOTE; unvalidated / superseded assessments</x:v>
      </x:c>
      <x:c r="L730" s="31" t="str">
        <x:v>D04, Markdown line 187; http://nas-1.tail55d152.ts.net:4100/static/2S_PHARMACEUTICALS_AND_CHEMICALS_SECTOR_DOSSIER.html</x:v>
      </x:c>
    </x:row>
    <x:row r="731" ht="42" customHeight="1">
      <x:c r="A731" s="5" t="str">
        <x:v>D04</x:v>
      </x:c>
      <x:c r="B731" s="5" t="str">
        <x:v>D04-T01</x:v>
      </x:c>
      <x:c r="C731" s="5" t="str">
        <x:v>4. Macro Regulatory &amp; Competitive Forces</x:v>
      </x:c>
      <x:c r="D731" s="5" t="n">
        <x:v>187</x:v>
      </x:c>
      <x:c r="E731" s="5" t="n">
        <x:v>2</x:v>
      </x:c>
      <x:c r="F731" s="5" t="str">
        <x:v>Legislative Instrument / Standard</x:v>
      </x:c>
      <x:c r="G731" s="5" t="n">
        <x:v>1</x:v>
      </x:c>
      <x:c r="H731" s="5" t="n">
        <x:v>1</x:v>
      </x:c>
      <x:c r="I731" s="5" t="str">
        <x:v>Proposed EC Directives (COM/2023/192)</x:v>
      </x:c>
      <x:c r="J731" s="5" t="str">
        <x:v>SOURCE QUOTE; unvalidated / superseded assessments</x:v>
      </x:c>
      <x:c r="L731" s="31" t="str">
        <x:v>D04, Markdown line 187; http://nas-1.tail55d152.ts.net:4100/static/2S_PHARMACEUTICALS_AND_CHEMICALS_SECTOR_DOSSIER.html</x:v>
      </x:c>
    </x:row>
    <x:row r="732" ht="56" customHeight="1">
      <x:c r="A732" s="5" t="str">
        <x:v>D04</x:v>
      </x:c>
      <x:c r="B732" s="5" t="str">
        <x:v>D04-T01</x:v>
      </x:c>
      <x:c r="C732" s="5" t="str">
        <x:v>4. Macro Regulatory &amp; Competitive Forces</x:v>
      </x:c>
      <x:c r="D732" s="5" t="n">
        <x:v>187</x:v>
      </x:c>
      <x:c r="E732" s="5" t="n">
        <x:v>3</x:v>
      </x:c>
      <x:c r="F732" s="5" t="str">
        <x:v>Operational Impact on Nordic Pharma &amp; Chemical Operators</x:v>
      </x:c>
      <x:c r="G732" s="5" t="n">
        <x:v>1</x:v>
      </x:c>
      <x:c r="H732" s="5" t="n">
        <x:v>1</x:v>
      </x:c>
      <x:c r="I732" s="5" t="str">
        <x:v>Reduction of standard regulatory data protection (RDP) from 8 to 6 years; introduces transferable exclusivity vouchers for antimicrobials; mandates European shortage prevention plans.</x:v>
      </x:c>
      <x:c r="J732" s="5" t="str">
        <x:v>SOURCE QUOTE; unvalidated / superseded assessments</x:v>
      </x:c>
      <x:c r="L732" s="31" t="str">
        <x:v>D04, Markdown line 187; http://nas-1.tail55d152.ts.net:4100/static/2S_PHARMACEUTICALS_AND_CHEMICALS_SECTOR_DOSSIER.html</x:v>
      </x:c>
    </x:row>
    <x:row r="733" ht="42" customHeight="1">
      <x:c r="A733" s="5" t="str">
        <x:v>D04</x:v>
      </x:c>
      <x:c r="B733" s="5" t="str">
        <x:v>D04-T01</x:v>
      </x:c>
      <x:c r="C733" s="5" t="str">
        <x:v>4. Macro Regulatory &amp; Competitive Forces</x:v>
      </x:c>
      <x:c r="D733" s="5" t="n">
        <x:v>187</x:v>
      </x:c>
      <x:c r="E733" s="5" t="n">
        <x:v>4</x:v>
      </x:c>
      <x:c r="F733" s="5" t="str">
        <x:v>2S Consulting / Numantra Countermeasure</x:v>
      </x:c>
      <x:c r="G733" s="5" t="n">
        <x:v>1</x:v>
      </x:c>
      <x:c r="H733" s="5" t="n">
        <x:v>1</x:v>
      </x:c>
      <x:c r="I733" s="5" t="str">
        <x:v>Rapid S&amp;OP modeling assessing pipeline patent cliff exposure; automated shortage mitigation reporting for national competent authorities.</x:v>
      </x:c>
      <x:c r="J733" s="5" t="str">
        <x:v>SOURCE QUOTE; unvalidated / superseded assessments</x:v>
      </x:c>
      <x:c r="L733" s="31" t="str">
        <x:v>D04, Markdown line 187; http://nas-1.tail55d152.ts.net:4100/static/2S_PHARMACEUTICALS_AND_CHEMICALS_SECTOR_DOSSIER.html</x:v>
      </x:c>
    </x:row>
    <x:row r="734" ht="42" customHeight="1">
      <x:c r="A734" s="5" t="str">
        <x:v>D04</x:v>
      </x:c>
      <x:c r="B734" s="5" t="str">
        <x:v>D04-T01</x:v>
      </x:c>
      <x:c r="C734" s="5" t="str">
        <x:v>4. Macro Regulatory &amp; Competitive Forces</x:v>
      </x:c>
      <x:c r="D734" s="5" t="n">
        <x:v>188</x:v>
      </x:c>
      <x:c r="E734" s="5" t="n">
        <x:v>1</x:v>
      </x:c>
      <x:c r="F734" s="5" t="str">
        <x:v>Regulatory / Market Driver</x:v>
      </x:c>
      <x:c r="G734" s="5" t="n">
        <x:v>1</x:v>
      </x:c>
      <x:c r="H734" s="5" t="n">
        <x:v>1</x:v>
      </x:c>
      <x:c r="I734" s="5" t="str">
        <x:v>EU Critical Medicines Act</x:v>
      </x:c>
      <x:c r="J734" s="5" t="str">
        <x:v>SOURCE QUOTE; unvalidated / superseded assessments</x:v>
      </x:c>
      <x:c r="L734" s="31" t="str">
        <x:v>D04, Markdown line 188; http://nas-1.tail55d152.ts.net:4100/static/2S_PHARMACEUTICALS_AND_CHEMICALS_SECTOR_DOSSIER.html</x:v>
      </x:c>
    </x:row>
    <x:row r="735" ht="42" customHeight="1">
      <x:c r="A735" s="5" t="str">
        <x:v>D04</x:v>
      </x:c>
      <x:c r="B735" s="5" t="str">
        <x:v>D04-T01</x:v>
      </x:c>
      <x:c r="C735" s="5" t="str">
        <x:v>4. Macro Regulatory &amp; Competitive Forces</x:v>
      </x:c>
      <x:c r="D735" s="5" t="n">
        <x:v>188</x:v>
      </x:c>
      <x:c r="E735" s="5" t="n">
        <x:v>2</x:v>
      </x:c>
      <x:c r="F735" s="5" t="str">
        <x:v>Legislative Instrument / Standard</x:v>
      </x:c>
      <x:c r="G735" s="5" t="n">
        <x:v>1</x:v>
      </x:c>
      <x:c r="H735" s="5" t="n">
        <x:v>1</x:v>
      </x:c>
      <x:c r="I735" s="5" t="str">
        <x:v>Critical Medicines Alliance Guidelines</x:v>
      </x:c>
      <x:c r="J735" s="5" t="str">
        <x:v>SOURCE QUOTE; unvalidated / superseded assessments</x:v>
      </x:c>
      <x:c r="L735" s="31" t="str">
        <x:v>D04, Markdown line 188; http://nas-1.tail55d152.ts.net:4100/static/2S_PHARMACEUTICALS_AND_CHEMICALS_SECTOR_DOSSIER.html</x:v>
      </x:c>
    </x:row>
    <x:row r="736" ht="42" customHeight="1">
      <x:c r="A736" s="5" t="str">
        <x:v>D04</x:v>
      </x:c>
      <x:c r="B736" s="5" t="str">
        <x:v>D04-T01</x:v>
      </x:c>
      <x:c r="C736" s="5" t="str">
        <x:v>4. Macro Regulatory &amp; Competitive Forces</x:v>
      </x:c>
      <x:c r="D736" s="5" t="n">
        <x:v>188</x:v>
      </x:c>
      <x:c r="E736" s="5" t="n">
        <x:v>3</x:v>
      </x:c>
      <x:c r="F736" s="5" t="str">
        <x:v>Operational Impact on Nordic Pharma &amp; Chemical Operators</x:v>
      </x:c>
      <x:c r="G736" s="5" t="n">
        <x:v>1</x:v>
      </x:c>
      <x:c r="H736" s="5" t="n">
        <x:v>1</x:v>
      </x:c>
      <x:c r="I736" s="5" t="str">
        <x:v>Introduces mandatory security-of-supply tender weighting (non-price criteria); provides financial incentives for EEA-based API synthesis and continuous manufacturing.</x:v>
      </x:c>
      <x:c r="J736" s="5" t="str">
        <x:v>SOURCE QUOTE; unvalidated / superseded assessments</x:v>
      </x:c>
      <x:c r="L736" s="31" t="str">
        <x:v>D04, Markdown line 188; http://nas-1.tail55d152.ts.net:4100/static/2S_PHARMACEUTICALS_AND_CHEMICALS_SECTOR_DOSSIER.html</x:v>
      </x:c>
    </x:row>
    <x:row r="737" ht="42" customHeight="1">
      <x:c r="A737" s="5" t="str">
        <x:v>D04</x:v>
      </x:c>
      <x:c r="B737" s="5" t="str">
        <x:v>D04-T01</x:v>
      </x:c>
      <x:c r="C737" s="5" t="str">
        <x:v>4. Macro Regulatory &amp; Competitive Forces</x:v>
      </x:c>
      <x:c r="D737" s="5" t="n">
        <x:v>188</x:v>
      </x:c>
      <x:c r="E737" s="5" t="n">
        <x:v>4</x:v>
      </x:c>
      <x:c r="F737" s="5" t="str">
        <x:v>2S Consulting / Numantra Countermeasure</x:v>
      </x:c>
      <x:c r="G737" s="5" t="n">
        <x:v>1</x:v>
      </x:c>
      <x:c r="H737" s="5" t="n">
        <x:v>1</x:v>
      </x:c>
      <x:c r="I737" s="5" t="str">
        <x:v>Implementation of supply-chain multi-echelon inventory models and "Security-of-Supply" tender dossier compilation tools.</x:v>
      </x:c>
      <x:c r="J737" s="5" t="str">
        <x:v>SOURCE QUOTE; unvalidated / superseded assessments</x:v>
      </x:c>
      <x:c r="L737" s="31" t="str">
        <x:v>D04, Markdown line 188; http://nas-1.tail55d152.ts.net:4100/static/2S_PHARMACEUTICALS_AND_CHEMICALS_SECTOR_DOSSIER.html</x:v>
      </x:c>
    </x:row>
    <x:row r="738" ht="42" customHeight="1">
      <x:c r="A738" s="5" t="str">
        <x:v>D04</x:v>
      </x:c>
      <x:c r="B738" s="5" t="str">
        <x:v>D04-T01</x:v>
      </x:c>
      <x:c r="C738" s="5" t="str">
        <x:v>4. Macro Regulatory &amp; Competitive Forces</x:v>
      </x:c>
      <x:c r="D738" s="5" t="n">
        <x:v>189</x:v>
      </x:c>
      <x:c r="E738" s="5" t="n">
        <x:v>1</x:v>
      </x:c>
      <x:c r="F738" s="5" t="str">
        <x:v>Regulatory / Market Driver</x:v>
      </x:c>
      <x:c r="G738" s="5" t="n">
        <x:v>1</x:v>
      </x:c>
      <x:c r="H738" s="5" t="n">
        <x:v>1</x:v>
      </x:c>
      <x:c r="I738" s="5" t="str">
        <x:v>EU AI Act &amp; Algorithmic Governance</x:v>
      </x:c>
      <x:c r="J738" s="5" t="str">
        <x:v>SOURCE QUOTE; unvalidated / superseded assessments</x:v>
      </x:c>
      <x:c r="L738" s="31" t="str">
        <x:v>D04, Markdown line 189; http://nas-1.tail55d152.ts.net:4100/static/2S_PHARMACEUTICALS_AND_CHEMICALS_SECTOR_DOSSIER.html</x:v>
      </x:c>
    </x:row>
    <x:row r="739" ht="42" customHeight="1">
      <x:c r="A739" s="5" t="str">
        <x:v>D04</x:v>
      </x:c>
      <x:c r="B739" s="5" t="str">
        <x:v>D04-T01</x:v>
      </x:c>
      <x:c r="C739" s="5" t="str">
        <x:v>4. Macro Regulatory &amp; Competitive Forces</x:v>
      </x:c>
      <x:c r="D739" s="5" t="n">
        <x:v>189</x:v>
      </x:c>
      <x:c r="E739" s="5" t="n">
        <x:v>2</x:v>
      </x:c>
      <x:c r="F739" s="5" t="str">
        <x:v>Legislative Instrument / Standard</x:v>
      </x:c>
      <x:c r="G739" s="5" t="n">
        <x:v>1</x:v>
      </x:c>
      <x:c r="H739" s="5" t="n">
        <x:v>1</x:v>
      </x:c>
      <x:c r="I739" s="5" t="str">
        <x:v>Regulation (EU) 2024/1689 &amp; EMA Reflection Paper</x:v>
      </x:c>
      <x:c r="J739" s="5" t="str">
        <x:v>SOURCE QUOTE; unvalidated / superseded assessments</x:v>
      </x:c>
      <x:c r="L739" s="31" t="str">
        <x:v>D04, Markdown line 189; http://nas-1.tail55d152.ts.net:4100/static/2S_PHARMACEUTICALS_AND_CHEMICALS_SECTOR_DOSSIER.html</x:v>
      </x:c>
    </x:row>
    <x:row r="740" ht="56" customHeight="1">
      <x:c r="A740" s="5" t="str">
        <x:v>D04</x:v>
      </x:c>
      <x:c r="B740" s="5" t="str">
        <x:v>D04-T01</x:v>
      </x:c>
      <x:c r="C740" s="5" t="str">
        <x:v>4. Macro Regulatory &amp; Competitive Forces</x:v>
      </x:c>
      <x:c r="D740" s="5" t="n">
        <x:v>189</x:v>
      </x:c>
      <x:c r="E740" s="5" t="n">
        <x:v>3</x:v>
      </x:c>
      <x:c r="F740" s="5" t="str">
        <x:v>Operational Impact on Nordic Pharma &amp; Chemical Operators</x:v>
      </x:c>
      <x:c r="G740" s="5" t="n">
        <x:v>1</x:v>
      </x:c>
      <x:c r="H740" s="5" t="n">
        <x:v>1</x:v>
      </x:c>
      <x:c r="I740" s="5" t="str">
        <x:v>Mandates conformity assessments, algorithmic transparency, bias mitigation, and human oversight for high-risk AI models used in clinical discovery, biomarker selection, and CMC batch release.</x:v>
      </x:c>
      <x:c r="J740" s="5" t="str">
        <x:v>SOURCE QUOTE; unvalidated / superseded assessments</x:v>
      </x:c>
      <x:c r="L740" s="31" t="str">
        <x:v>D04, Markdown line 189; http://nas-1.tail55d152.ts.net:4100/static/2S_PHARMACEUTICALS_AND_CHEMICALS_SECTOR_DOSSIER.html</x:v>
      </x:c>
    </x:row>
    <x:row r="741" ht="42" customHeight="1">
      <x:c r="A741" s="5" t="str">
        <x:v>D04</x:v>
      </x:c>
      <x:c r="B741" s="5" t="str">
        <x:v>D04-T01</x:v>
      </x:c>
      <x:c r="C741" s="5" t="str">
        <x:v>4. Macro Regulatory &amp; Competitive Forces</x:v>
      </x:c>
      <x:c r="D741" s="5" t="n">
        <x:v>189</x:v>
      </x:c>
      <x:c r="E741" s="5" t="n">
        <x:v>4</x:v>
      </x:c>
      <x:c r="F741" s="5" t="str">
        <x:v>2S Consulting / Numantra Countermeasure</x:v>
      </x:c>
      <x:c r="G741" s="5" t="n">
        <x:v>1</x:v>
      </x:c>
      <x:c r="H741" s="5" t="n">
        <x:v>1</x:v>
      </x:c>
      <x:c r="I741" s="5" t="str">
        <x:v>Deploy Numantra Sovereign Cloud (ISO 27001) for GxP-compliant AI model hosting with full audit trail provenance and explainability logs.</x:v>
      </x:c>
      <x:c r="J741" s="5" t="str">
        <x:v>SOURCE QUOTE; unvalidated / superseded assessments</x:v>
      </x:c>
      <x:c r="L741" s="31" t="str">
        <x:v>D04, Markdown line 189; http://nas-1.tail55d152.ts.net:4100/static/2S_PHARMACEUTICALS_AND_CHEMICALS_SECTOR_DOSSIER.html</x:v>
      </x:c>
    </x:row>
    <x:row r="742" ht="42" customHeight="1">
      <x:c r="A742" s="5" t="str">
        <x:v>D04</x:v>
      </x:c>
      <x:c r="B742" s="5" t="str">
        <x:v>D04-T01</x:v>
      </x:c>
      <x:c r="C742" s="5" t="str">
        <x:v>4. Macro Regulatory &amp; Competitive Forces</x:v>
      </x:c>
      <x:c r="D742" s="5" t="n">
        <x:v>190</x:v>
      </x:c>
      <x:c r="E742" s="5" t="n">
        <x:v>1</x:v>
      </x:c>
      <x:c r="F742" s="5" t="str">
        <x:v>Regulatory / Market Driver</x:v>
      </x:c>
      <x:c r="G742" s="5" t="n">
        <x:v>1</x:v>
      </x:c>
      <x:c r="H742" s="5" t="n">
        <x:v>1</x:v>
      </x:c>
      <x:c r="I742" s="5" t="str">
        <x:v>Green Chemistry &amp; REACH PFAS Ban</x:v>
      </x:c>
      <x:c r="J742" s="5" t="str">
        <x:v>SOURCE QUOTE; unvalidated / superseded assessments</x:v>
      </x:c>
      <x:c r="L742" s="31" t="str">
        <x:v>D04, Markdown line 190; http://nas-1.tail55d152.ts.net:4100/static/2S_PHARMACEUTICALS_AND_CHEMICALS_SECTOR_DOSSIER.html</x:v>
      </x:c>
    </x:row>
    <x:row r="743" ht="42" customHeight="1">
      <x:c r="A743" s="5" t="str">
        <x:v>D04</x:v>
      </x:c>
      <x:c r="B743" s="5" t="str">
        <x:v>D04-T01</x:v>
      </x:c>
      <x:c r="C743" s="5" t="str">
        <x:v>4. Macro Regulatory &amp; Competitive Forces</x:v>
      </x:c>
      <x:c r="D743" s="5" t="n">
        <x:v>190</x:v>
      </x:c>
      <x:c r="E743" s="5" t="n">
        <x:v>2</x:v>
      </x:c>
      <x:c r="F743" s="5" t="str">
        <x:v>Legislative Instrument / Standard</x:v>
      </x:c>
      <x:c r="G743" s="5" t="n">
        <x:v>1</x:v>
      </x:c>
      <x:c r="H743" s="5" t="n">
        <x:v>1</x:v>
      </x:c>
      <x:c r="I743" s="5" t="str">
        <x:v>ECHA REACH Universal PFAS Restriction</x:v>
      </x:c>
      <x:c r="J743" s="5" t="str">
        <x:v>SOURCE QUOTE; unvalidated / superseded assessments</x:v>
      </x:c>
      <x:c r="L743" s="31" t="str">
        <x:v>D04, Markdown line 190; http://nas-1.tail55d152.ts.net:4100/static/2S_PHARMACEUTICALS_AND_CHEMICALS_SECTOR_DOSSIER.html</x:v>
      </x:c>
    </x:row>
    <x:row r="744" ht="42" customHeight="1">
      <x:c r="A744" s="5" t="str">
        <x:v>D04</x:v>
      </x:c>
      <x:c r="B744" s="5" t="str">
        <x:v>D04-T01</x:v>
      </x:c>
      <x:c r="C744" s="5" t="str">
        <x:v>4. Macro Regulatory &amp; Competitive Forces</x:v>
      </x:c>
      <x:c r="D744" s="5" t="n">
        <x:v>190</x:v>
      </x:c>
      <x:c r="E744" s="5" t="n">
        <x:v>3</x:v>
      </x:c>
      <x:c r="F744" s="5" t="str">
        <x:v>Operational Impact on Nordic Pharma &amp; Chemical Operators</x:v>
      </x:c>
      <x:c r="G744" s="5" t="n">
        <x:v>1</x:v>
      </x:c>
      <x:c r="H744" s="5" t="n">
        <x:v>1</x:v>
      </x:c>
      <x:c r="I744" s="5" t="str">
        <x:v>Proposed phase-out of fluorinated gases, solvents, and reagents; forces rapid reformulation and adoption of greener, continuous-flow synthesis methods.</x:v>
      </x:c>
      <x:c r="J744" s="5" t="str">
        <x:v>SOURCE QUOTE; unvalidated / superseded assessments</x:v>
      </x:c>
      <x:c r="L744" s="31" t="str">
        <x:v>D04, Markdown line 190; http://nas-1.tail55d152.ts.net:4100/static/2S_PHARMACEUTICALS_AND_CHEMICALS_SECTOR_DOSSIER.html</x:v>
      </x:c>
    </x:row>
    <x:row r="745" ht="42" customHeight="1">
      <x:c r="A745" s="5" t="str">
        <x:v>D04</x:v>
      </x:c>
      <x:c r="B745" s="5" t="str">
        <x:v>D04-T01</x:v>
      </x:c>
      <x:c r="C745" s="5" t="str">
        <x:v>4. Macro Regulatory &amp; Competitive Forces</x:v>
      </x:c>
      <x:c r="D745" s="5" t="n">
        <x:v>190</x:v>
      </x:c>
      <x:c r="E745" s="5" t="n">
        <x:v>4</x:v>
      </x:c>
      <x:c r="F745" s="5" t="str">
        <x:v>2S Consulting / Numantra Countermeasure</x:v>
      </x:c>
      <x:c r="G745" s="5" t="n">
        <x:v>1</x:v>
      </x:c>
      <x:c r="H745" s="5" t="n">
        <x:v>1</x:v>
      </x:c>
      <x:c r="I745" s="5" t="str">
        <x:v>Chemical synthesis yield and solvent-recovery optimization modules in 2S's ProcessPrints platform.</x:v>
      </x:c>
      <x:c r="J745" s="5" t="str">
        <x:v>SOURCE QUOTE; unvalidated / superseded assessments</x:v>
      </x:c>
      <x:c r="L745" s="31" t="str">
        <x:v>D04, Markdown line 190; http://nas-1.tail55d152.ts.net:4100/static/2S_PHARMACEUTICALS_AND_CHEMICALS_SECTOR_DOSSIER.html</x:v>
      </x:c>
    </x:row>
    <x:row r="746" ht="42" customHeight="1">
      <x:c r="A746" s="5" t="str">
        <x:v>D04</x:v>
      </x:c>
      <x:c r="B746" s="5" t="str">
        <x:v>D04-T01</x:v>
      </x:c>
      <x:c r="C746" s="5" t="str">
        <x:v>4. Macro Regulatory &amp; Competitive Forces</x:v>
      </x:c>
      <x:c r="D746" s="5" t="n">
        <x:v>191</x:v>
      </x:c>
      <x:c r="E746" s="5" t="n">
        <x:v>1</x:v>
      </x:c>
      <x:c r="F746" s="5" t="str">
        <x:v>Regulatory / Market Driver</x:v>
      </x:c>
      <x:c r="G746" s="5" t="n">
        <x:v>1</x:v>
      </x:c>
      <x:c r="H746" s="5" t="n">
        <x:v>1</x:v>
      </x:c>
      <x:c r="I746" s="5" t="str">
        <x:v>Nordic Public Tender Reforms</x:v>
      </x:c>
      <x:c r="J746" s="5" t="str">
        <x:v>SOURCE QUOTE; unvalidated / superseded assessments</x:v>
      </x:c>
      <x:c r="L746" s="31" t="str">
        <x:v>D04, Markdown line 191; http://nas-1.tail55d152.ts.net:4100/static/2S_PHARMACEUTICALS_AND_CHEMICALS_SECTOR_DOSSIER.html</x:v>
      </x:c>
    </x:row>
    <x:row r="747" ht="42" customHeight="1">
      <x:c r="A747" s="5" t="str">
        <x:v>D04</x:v>
      </x:c>
      <x:c r="B747" s="5" t="str">
        <x:v>D04-T01</x:v>
      </x:c>
      <x:c r="C747" s="5" t="str">
        <x:v>4. Macro Regulatory &amp; Competitive Forces</x:v>
      </x:c>
      <x:c r="D747" s="5" t="n">
        <x:v>191</x:v>
      </x:c>
      <x:c r="E747" s="5" t="n">
        <x:v>2</x:v>
      </x:c>
      <x:c r="F747" s="5" t="str">
        <x:v>Legislative Instrument / Standard</x:v>
      </x:c>
      <x:c r="G747" s="5" t="n">
        <x:v>1</x:v>
      </x:c>
      <x:c r="H747" s="5" t="n">
        <x:v>1</x:v>
      </x:c>
      <x:c r="I747" s="5" t="str">
        <x:v>LOU (Sweden), LOV (Denmark/Norway)</x:v>
      </x:c>
      <x:c r="J747" s="5" t="str">
        <x:v>SOURCE QUOTE; unvalidated / superseded assessments</x:v>
      </x:c>
      <x:c r="L747" s="31" t="str">
        <x:v>D04, Markdown line 191; http://nas-1.tail55d152.ts.net:4100/static/2S_PHARMACEUTICALS_AND_CHEMICALS_SECTOR_DOSSIER.html</x:v>
      </x:c>
    </x:row>
    <x:row r="748" ht="42" customHeight="1">
      <x:c r="A748" s="5" t="str">
        <x:v>D04</x:v>
      </x:c>
      <x:c r="B748" s="5" t="str">
        <x:v>D04-T01</x:v>
      </x:c>
      <x:c r="C748" s="5" t="str">
        <x:v>4. Macro Regulatory &amp; Competitive Forces</x:v>
      </x:c>
      <x:c r="D748" s="5" t="n">
        <x:v>191</x:v>
      </x:c>
      <x:c r="E748" s="5" t="n">
        <x:v>3</x:v>
      </x:c>
      <x:c r="F748" s="5" t="str">
        <x:v>Operational Impact on Nordic Pharma &amp; Chemical Operators</x:v>
      </x:c>
      <x:c r="G748" s="5" t="n">
        <x:v>1</x:v>
      </x:c>
      <x:c r="H748" s="5" t="n">
        <x:v>1</x:v>
      </x:c>
      <x:c r="I748" s="5" t="str">
        <x:v>Regional procurement bodies enforce strict "penalty-for-stockout" clauses, fining suppliers up to 100% of difference in cost for emergency substitute medicines.</x:v>
      </x:c>
      <x:c r="J748" s="5" t="str">
        <x:v>SOURCE QUOTE; unvalidated / superseded assessments</x:v>
      </x:c>
      <x:c r="L748" s="31" t="str">
        <x:v>D04, Markdown line 191; http://nas-1.tail55d152.ts.net:4100/static/2S_PHARMACEUTICALS_AND_CHEMICALS_SECTOR_DOSSIER.html</x:v>
      </x:c>
    </x:row>
    <x:row r="749" ht="42" customHeight="1">
      <x:c r="A749" s="5" t="str">
        <x:v>D04</x:v>
      </x:c>
      <x:c r="B749" s="5" t="str">
        <x:v>D04-T01</x:v>
      </x:c>
      <x:c r="C749" s="5" t="str">
        <x:v>4. Macro Regulatory &amp; Competitive Forces</x:v>
      </x:c>
      <x:c r="D749" s="5" t="n">
        <x:v>191</x:v>
      </x:c>
      <x:c r="E749" s="5" t="n">
        <x:v>4</x:v>
      </x:c>
      <x:c r="F749" s="5" t="str">
        <x:v>2S Consulting / Numantra Countermeasure</x:v>
      </x:c>
      <x:c r="G749" s="5" t="n">
        <x:v>1</x:v>
      </x:c>
      <x:c r="H749" s="5" t="n">
        <x:v>1</x:v>
      </x:c>
      <x:c r="I749" s="5" t="str">
        <x:v>Automated Wholesaler Stockist &amp; Tender Safety-Stock Alerting Portal (Merck-proven architecture).</x:v>
      </x:c>
      <x:c r="J749" s="5" t="str">
        <x:v>SOURCE QUOTE; unvalidated / superseded assessments</x:v>
      </x:c>
      <x:c r="L749" s="31" t="str">
        <x:v>D04, Markdown line 191; http://nas-1.tail55d152.ts.net:4100/static/2S_PHARMACEUTICALS_AND_CHEMICALS_SECTOR_DOSSIER.html</x:v>
      </x:c>
    </x:row>
    <x:row r="750" ht="42" customHeight="1">
      <x:c r="A750" s="5" t="str">
        <x:v>D04</x:v>
      </x:c>
      <x:c r="B750" s="5" t="str">
        <x:v>D04-T02</x:v>
      </x:c>
      <x:c r="C750" s="5" t="str">
        <x:v>5.1 Tier 1: Global &amp; Large-Cap Nordic Pharma</x:v>
      </x:c>
      <x:c r="D750" s="5" t="n">
        <x:v>239</x:v>
      </x:c>
      <x:c r="E750" s="5" t="n">
        <x:v>1</x:v>
      </x:c>
      <x:c r="F750" s="5" t="str">
        <x:v>Company</x:v>
      </x:c>
      <x:c r="G750" s="5" t="n">
        <x:v>1</x:v>
      </x:c>
      <x:c r="H750" s="5" t="n">
        <x:v>1</x:v>
      </x:c>
      <x:c r="I750" s="5" t="str">
        <x:v>Novo Nordisk A/S</x:v>
      </x:c>
      <x:c r="J750" s="5" t="str">
        <x:v>SOURCE QUOTE; unvalidated / superseded assessments</x:v>
      </x:c>
      <x:c r="L750" s="31" t="str">
        <x:v>D04, Markdown line 239; http://nas-1.tail55d152.ts.net:4100/static/2S_PHARMACEUTICALS_AND_CHEMICALS_SECTOR_DOSSIER.html</x:v>
      </x:c>
    </x:row>
    <x:row r="751" ht="42" customHeight="1">
      <x:c r="A751" s="5" t="str">
        <x:v>D04</x:v>
      </x:c>
      <x:c r="B751" s="5" t="str">
        <x:v>D04-T02</x:v>
      </x:c>
      <x:c r="C751" s="5" t="str">
        <x:v>5.1 Tier 1: Global &amp; Large-Cap Nordic Pharma</x:v>
      </x:c>
      <x:c r="D751" s="5" t="n">
        <x:v>239</x:v>
      </x:c>
      <x:c r="E751" s="5" t="n">
        <x:v>2</x:v>
      </x:c>
      <x:c r="F751" s="5" t="str">
        <x:v>HQ &amp; Key Sites</x:v>
      </x:c>
      <x:c r="G751" s="5" t="n">
        <x:v>1</x:v>
      </x:c>
      <x:c r="H751" s="5" t="n">
        <x:v>1</x:v>
      </x:c>
      <x:c r="I751" s="5" t="str">
        <x:v>Bagsværd / Kalundborg, DK</x:v>
      </x:c>
      <x:c r="J751" s="5" t="str">
        <x:v>SOURCE QUOTE; unvalidated / superseded assessments</x:v>
      </x:c>
      <x:c r="L751" s="31" t="str">
        <x:v>D04, Markdown line 239; http://nas-1.tail55d152.ts.net:4100/static/2S_PHARMACEUTICALS_AND_CHEMICALS_SECTOR_DOSSIER.html</x:v>
      </x:c>
    </x:row>
    <x:row r="752" ht="42" customHeight="1">
      <x:c r="A752" s="5" t="str">
        <x:v>D04</x:v>
      </x:c>
      <x:c r="B752" s="5" t="str">
        <x:v>D04-T02</x:v>
      </x:c>
      <x:c r="C752" s="5" t="str">
        <x:v>5.1 Tier 1: Global &amp; Large-Cap Nordic Pharma</x:v>
      </x:c>
      <x:c r="D752" s="5" t="n">
        <x:v>239</x:v>
      </x:c>
      <x:c r="E752" s="5" t="n">
        <x:v>3</x:v>
      </x:c>
      <x:c r="F752" s="5" t="str">
        <x:v>Annual Revenue</x:v>
      </x:c>
      <x:c r="G752" s="5" t="n">
        <x:v>1</x:v>
      </x:c>
      <x:c r="H752" s="5" t="n">
        <x:v>1</x:v>
      </x:c>
      <x:c r="I752" s="5" t="str">
        <x:v>DKK 232.3B (~€31.1B)</x:v>
      </x:c>
      <x:c r="J752" s="5" t="str">
        <x:v>SOURCE QUOTE; unvalidated / superseded assessments</x:v>
      </x:c>
      <x:c r="L752" s="31" t="str">
        <x:v>D04, Markdown line 239; http://nas-1.tail55d152.ts.net:4100/static/2S_PHARMACEUTICALS_AND_CHEMICALS_SECTOR_DOSSIER.html</x:v>
      </x:c>
    </x:row>
    <x:row r="753" ht="42" customHeight="1">
      <x:c r="A753" s="5" t="str">
        <x:v>D04</x:v>
      </x:c>
      <x:c r="B753" s="5" t="str">
        <x:v>D04-T02</x:v>
      </x:c>
      <x:c r="C753" s="5" t="str">
        <x:v>5.1 Tier 1: Global &amp; Large-Cap Nordic Pharma</x:v>
      </x:c>
      <x:c r="D753" s="5" t="n">
        <x:v>239</x:v>
      </x:c>
      <x:c r="E753" s="5" t="n">
        <x:v>4</x:v>
      </x:c>
      <x:c r="F753" s="5" t="str">
        <x:v>Annual R&amp;D Spend</x:v>
      </x:c>
      <x:c r="G753" s="5" t="n">
        <x:v>1</x:v>
      </x:c>
      <x:c r="H753" s="5" t="n">
        <x:v>1</x:v>
      </x:c>
      <x:c r="I753" s="5" t="str">
        <x:v>DKK 32.4B (~€4.3B)</x:v>
      </x:c>
      <x:c r="J753" s="5" t="str">
        <x:v>SOURCE QUOTE; unvalidated / superseded assessments</x:v>
      </x:c>
      <x:c r="L753" s="31" t="str">
        <x:v>D04, Markdown line 239; http://nas-1.tail55d152.ts.net:4100/static/2S_PHARMACEUTICALS_AND_CHEMICALS_SECTOR_DOSSIER.html</x:v>
      </x:c>
    </x:row>
    <x:row r="754" ht="42" customHeight="1">
      <x:c r="A754" s="5" t="str">
        <x:v>D04</x:v>
      </x:c>
      <x:c r="B754" s="5" t="str">
        <x:v>D04-T02</x:v>
      </x:c>
      <x:c r="C754" s="5" t="str">
        <x:v>5.1 Tier 1: Global &amp; Large-Cap Nordic Pharma</x:v>
      </x:c>
      <x:c r="D754" s="5" t="n">
        <x:v>239</x:v>
      </x:c>
      <x:c r="E754" s="5" t="n">
        <x:v>5</x:v>
      </x:c>
      <x:c r="F754" s="5" t="str">
        <x:v>Core Modality &amp; Therapeutic Focus</x:v>
      </x:c>
      <x:c r="G754" s="5" t="n">
        <x:v>1</x:v>
      </x:c>
      <x:c r="H754" s="5" t="n">
        <x:v>1</x:v>
      </x:c>
      <x:c r="I754" s="5" t="str">
        <x:v>Recombinant peptides, GLP-1 analogues, diabetes, obesity, rare blood disorders.</x:v>
      </x:c>
      <x:c r="J754" s="5" t="str">
        <x:v>SOURCE QUOTE; unvalidated / superseded assessments</x:v>
      </x:c>
      <x:c r="L754" s="31" t="str">
        <x:v>D04, Markdown line 239; http://nas-1.tail55d152.ts.net:4100/static/2S_PHARMACEUTICALS_AND_CHEMICALS_SECTOR_DOSSIER.html</x:v>
      </x:c>
    </x:row>
    <x:row r="755" ht="42" customHeight="1">
      <x:c r="A755" s="5" t="str">
        <x:v>D04</x:v>
      </x:c>
      <x:c r="B755" s="5" t="str">
        <x:v>D04-T02</x:v>
      </x:c>
      <x:c r="C755" s="5" t="str">
        <x:v>5.1 Tier 1: Global &amp; Large-Cap Nordic Pharma</x:v>
      </x:c>
      <x:c r="D755" s="5" t="n">
        <x:v>239</x:v>
      </x:c>
      <x:c r="E755" s="5" t="n">
        <x:v>6</x:v>
      </x:c>
      <x:c r="F755" s="5" t="str">
        <x:v>Key Structural Pain Point</x:v>
      </x:c>
      <x:c r="G755" s="5" t="n">
        <x:v>1</x:v>
      </x:c>
      <x:c r="H755" s="5" t="n">
        <x:v>1</x:v>
      </x:c>
      <x:c r="I755" s="5" t="str">
        <x:v>Massive manufacturing scale-up bottlenecks; global API supply chain strain; complex multi-site GxP data harmonization.</x:v>
      </x:c>
      <x:c r="J755" s="5" t="str">
        <x:v>SOURCE QUOTE; unvalidated / superseded assessments</x:v>
      </x:c>
      <x:c r="L755" s="31" t="str">
        <x:v>D04, Markdown line 239; http://nas-1.tail55d152.ts.net:4100/static/2S_PHARMACEUTICALS_AND_CHEMICALS_SECTOR_DOSSIER.html</x:v>
      </x:c>
    </x:row>
    <x:row r="756" ht="42" customHeight="1">
      <x:c r="A756" s="5" t="str">
        <x:v>D04</x:v>
      </x:c>
      <x:c r="B756" s="5" t="str">
        <x:v>D04-T02</x:v>
      </x:c>
      <x:c r="C756" s="5" t="str">
        <x:v>5.1 Tier 1: Global &amp; Large-Cap Nordic Pharma</x:v>
      </x:c>
      <x:c r="D756" s="5" t="n">
        <x:v>239</x:v>
      </x:c>
      <x:c r="E756" s="5" t="n">
        <x:v>7</x:v>
      </x:c>
      <x:c r="F756" s="5" t="str">
        <x:v>2S Consulting &amp; Numantra Strategic Lever</x:v>
      </x:c>
      <x:c r="G756" s="5" t="n">
        <x:v>1</x:v>
      </x:c>
      <x:c r="H756" s="5" t="n">
        <x:v>1</x:v>
      </x:c>
      <x:c r="I756" s="5" t="str">
        <x:v>Supply chain digital twin modeling; cleanroom changeover optimization; AI Act algorithmic governance for discovery pipelines.</x:v>
      </x:c>
      <x:c r="J756" s="5" t="str">
        <x:v>SOURCE QUOTE; unvalidated / superseded assessments</x:v>
      </x:c>
      <x:c r="L756" s="31" t="str">
        <x:v>D04, Markdown line 239; http://nas-1.tail55d152.ts.net:4100/static/2S_PHARMACEUTICALS_AND_CHEMICALS_SECTOR_DOSSIER.html</x:v>
      </x:c>
    </x:row>
    <x:row r="757" ht="42" customHeight="1">
      <x:c r="A757" s="5" t="str">
        <x:v>D04</x:v>
      </x:c>
      <x:c r="B757" s="5" t="str">
        <x:v>D04-T02</x:v>
      </x:c>
      <x:c r="C757" s="5" t="str">
        <x:v>5.1 Tier 1: Global &amp; Large-Cap Nordic Pharma</x:v>
      </x:c>
      <x:c r="D757" s="5" t="n">
        <x:v>240</x:v>
      </x:c>
      <x:c r="E757" s="5" t="n">
        <x:v>1</x:v>
      </x:c>
      <x:c r="F757" s="5" t="str">
        <x:v>Company</x:v>
      </x:c>
      <x:c r="G757" s="5" t="n">
        <x:v>1</x:v>
      </x:c>
      <x:c r="H757" s="5" t="n">
        <x:v>1</x:v>
      </x:c>
      <x:c r="I757" s="5" t="str">
        <x:v>AstraZeneca AB</x:v>
      </x:c>
      <x:c r="J757" s="5" t="str">
        <x:v>SOURCE QUOTE; unvalidated / superseded assessments</x:v>
      </x:c>
      <x:c r="L757" s="31" t="str">
        <x:v>D04, Markdown line 240; http://nas-1.tail55d152.ts.net:4100/static/2S_PHARMACEUTICALS_AND_CHEMICALS_SECTOR_DOSSIER.html</x:v>
      </x:c>
    </x:row>
    <x:row r="758" ht="42" customHeight="1">
      <x:c r="A758" s="5" t="str">
        <x:v>D04</x:v>
      </x:c>
      <x:c r="B758" s="5" t="str">
        <x:v>D04-T02</x:v>
      </x:c>
      <x:c r="C758" s="5" t="str">
        <x:v>5.1 Tier 1: Global &amp; Large-Cap Nordic Pharma</x:v>
      </x:c>
      <x:c r="D758" s="5" t="n">
        <x:v>240</x:v>
      </x:c>
      <x:c r="E758" s="5" t="n">
        <x:v>2</x:v>
      </x:c>
      <x:c r="F758" s="5" t="str">
        <x:v>HQ &amp; Key Sites</x:v>
      </x:c>
      <x:c r="G758" s="5" t="n">
        <x:v>1</x:v>
      </x:c>
      <x:c r="H758" s="5" t="n">
        <x:v>1</x:v>
      </x:c>
      <x:c r="I758" s="5" t="str">
        <x:v>Södertälje &amp; Gothenburg, SE</x:v>
      </x:c>
      <x:c r="J758" s="5" t="str">
        <x:v>SOURCE QUOTE; unvalidated / superseded assessments</x:v>
      </x:c>
      <x:c r="L758" s="31" t="str">
        <x:v>D04, Markdown line 240; http://nas-1.tail55d152.ts.net:4100/static/2S_PHARMACEUTICALS_AND_CHEMICALS_SECTOR_DOSSIER.html</x:v>
      </x:c>
    </x:row>
    <x:row r="759" ht="42" customHeight="1">
      <x:c r="A759" s="5" t="str">
        <x:v>D04</x:v>
      </x:c>
      <x:c r="B759" s="5" t="str">
        <x:v>D04-T02</x:v>
      </x:c>
      <x:c r="C759" s="5" t="str">
        <x:v>5.1 Tier 1: Global &amp; Large-Cap Nordic Pharma</x:v>
      </x:c>
      <x:c r="D759" s="5" t="n">
        <x:v>240</x:v>
      </x:c>
      <x:c r="E759" s="5" t="n">
        <x:v>3</x:v>
      </x:c>
      <x:c r="F759" s="5" t="str">
        <x:v>Annual Revenue</x:v>
      </x:c>
      <x:c r="G759" s="5" t="n">
        <x:v>1</x:v>
      </x:c>
      <x:c r="H759" s="5" t="n">
        <x:v>1</x:v>
      </x:c>
      <x:c r="I759" s="5" t="str">
        <x:v>$45.8B Global (SE site ~SEK 20B)</x:v>
      </x:c>
      <x:c r="J759" s="5" t="str">
        <x:v>SOURCE QUOTE; unvalidated / superseded assessments</x:v>
      </x:c>
      <x:c r="L759" s="31" t="str">
        <x:v>D04, Markdown line 240; http://nas-1.tail55d152.ts.net:4100/static/2S_PHARMACEUTICALS_AND_CHEMICALS_SECTOR_DOSSIER.html</x:v>
      </x:c>
    </x:row>
    <x:row r="760" ht="42" customHeight="1">
      <x:c r="A760" s="5" t="str">
        <x:v>D04</x:v>
      </x:c>
      <x:c r="B760" s="5" t="str">
        <x:v>D04-T02</x:v>
      </x:c>
      <x:c r="C760" s="5" t="str">
        <x:v>5.1 Tier 1: Global &amp; Large-Cap Nordic Pharma</x:v>
      </x:c>
      <x:c r="D760" s="5" t="n">
        <x:v>240</x:v>
      </x:c>
      <x:c r="E760" s="5" t="n">
        <x:v>4</x:v>
      </x:c>
      <x:c r="F760" s="5" t="str">
        <x:v>Annual R&amp;D Spend</x:v>
      </x:c>
      <x:c r="G760" s="5" t="n">
        <x:v>1</x:v>
      </x:c>
      <x:c r="H760" s="5" t="n">
        <x:v>1</x:v>
      </x:c>
      <x:c r="I760" s="5" t="str">
        <x:v>$10.9B Global (SE R&amp;D ~SEK 4.5B)</x:v>
      </x:c>
      <x:c r="J760" s="5" t="str">
        <x:v>SOURCE QUOTE; unvalidated / superseded assessments</x:v>
      </x:c>
      <x:c r="L760" s="31" t="str">
        <x:v>D04, Markdown line 240; http://nas-1.tail55d152.ts.net:4100/static/2S_PHARMACEUTICALS_AND_CHEMICALS_SECTOR_DOSSIER.html</x:v>
      </x:c>
    </x:row>
    <x:row r="761" ht="42" customHeight="1">
      <x:c r="A761" s="5" t="str">
        <x:v>D04</x:v>
      </x:c>
      <x:c r="B761" s="5" t="str">
        <x:v>D04-T02</x:v>
      </x:c>
      <x:c r="C761" s="5" t="str">
        <x:v>5.1 Tier 1: Global &amp; Large-Cap Nordic Pharma</x:v>
      </x:c>
      <x:c r="D761" s="5" t="n">
        <x:v>240</x:v>
      </x:c>
      <x:c r="E761" s="5" t="n">
        <x:v>5</x:v>
      </x:c>
      <x:c r="F761" s="5" t="str">
        <x:v>Core Modality &amp; Therapeutic Focus</x:v>
      </x:c>
      <x:c r="G761" s="5" t="n">
        <x:v>1</x:v>
      </x:c>
      <x:c r="H761" s="5" t="n">
        <x:v>1</x:v>
      </x:c>
      <x:c r="I761" s="5" t="str">
        <x:v>Small molecules, monoclonal antibodies, oncology, cardiovascular, respiratory, rare diseases.</x:v>
      </x:c>
      <x:c r="J761" s="5" t="str">
        <x:v>SOURCE QUOTE; unvalidated / superseded assessments</x:v>
      </x:c>
      <x:c r="L761" s="31" t="str">
        <x:v>D04, Markdown line 240; http://nas-1.tail55d152.ts.net:4100/static/2S_PHARMACEUTICALS_AND_CHEMICALS_SECTOR_DOSSIER.html</x:v>
      </x:c>
    </x:row>
    <x:row r="762" ht="42" customHeight="1">
      <x:c r="A762" s="5" t="str">
        <x:v>D04</x:v>
      </x:c>
      <x:c r="B762" s="5" t="str">
        <x:v>D04-T02</x:v>
      </x:c>
      <x:c r="C762" s="5" t="str">
        <x:v>5.1 Tier 1: Global &amp; Large-Cap Nordic Pharma</x:v>
      </x:c>
      <x:c r="D762" s="5" t="n">
        <x:v>240</x:v>
      </x:c>
      <x:c r="E762" s="5" t="n">
        <x:v>6</x:v>
      </x:c>
      <x:c r="F762" s="5" t="str">
        <x:v>Key Structural Pain Point</x:v>
      </x:c>
      <x:c r="G762" s="5" t="n">
        <x:v>1</x:v>
      </x:c>
      <x:c r="H762" s="5" t="n">
        <x:v>1</x:v>
      </x:c>
      <x:c r="I762" s="5" t="str">
        <x:v>Södertälje packaging line changeovers; bridging discovery bioinformatics with GxP regulatory documentation; vendor software rationalization.</x:v>
      </x:c>
      <x:c r="J762" s="5" t="str">
        <x:v>SOURCE QUOTE; unvalidated / superseded assessments</x:v>
      </x:c>
      <x:c r="L762" s="31" t="str">
        <x:v>D04, Markdown line 240; http://nas-1.tail55d152.ts.net:4100/static/2S_PHARMACEUTICALS_AND_CHEMICALS_SECTOR_DOSSIER.html</x:v>
      </x:c>
    </x:row>
    <x:row r="763" ht="42" customHeight="1">
      <x:c r="A763" s="5" t="str">
        <x:v>D04</x:v>
      </x:c>
      <x:c r="B763" s="5" t="str">
        <x:v>D04-T02</x:v>
      </x:c>
      <x:c r="C763" s="5" t="str">
        <x:v>5.1 Tier 1: Global &amp; Large-Cap Nordic Pharma</x:v>
      </x:c>
      <x:c r="D763" s="5" t="n">
        <x:v>240</x:v>
      </x:c>
      <x:c r="E763" s="5" t="n">
        <x:v>7</x:v>
      </x:c>
      <x:c r="F763" s="5" t="str">
        <x:v>2S Consulting &amp; Numantra Strategic Lever</x:v>
      </x:c>
      <x:c r="G763" s="5" t="n">
        <x:v>1</x:v>
      </x:c>
      <x:c r="H763" s="5" t="n">
        <x:v>1</x:v>
      </x:c>
      <x:c r="I763" s="5" t="str">
        <x:v>ProcessPrints digital workflow tracing; automated LIMS-to-dossier transcription; vendor IT rationalization (Lean Digital Estate).</x:v>
      </x:c>
      <x:c r="J763" s="5" t="str">
        <x:v>SOURCE QUOTE; unvalidated / superseded assessments</x:v>
      </x:c>
      <x:c r="L763" s="31" t="str">
        <x:v>D04, Markdown line 240; http://nas-1.tail55d152.ts.net:4100/static/2S_PHARMACEUTICALS_AND_CHEMICALS_SECTOR_DOSSIER.html</x:v>
      </x:c>
    </x:row>
    <x:row r="764" ht="42" customHeight="1">
      <x:c r="A764" s="5" t="str">
        <x:v>D04</x:v>
      </x:c>
      <x:c r="B764" s="5" t="str">
        <x:v>D04-T02</x:v>
      </x:c>
      <x:c r="C764" s="5" t="str">
        <x:v>5.1 Tier 1: Global &amp; Large-Cap Nordic Pharma</x:v>
      </x:c>
      <x:c r="D764" s="5" t="n">
        <x:v>241</x:v>
      </x:c>
      <x:c r="E764" s="5" t="n">
        <x:v>1</x:v>
      </x:c>
      <x:c r="F764" s="5" t="str">
        <x:v>Company</x:v>
      </x:c>
      <x:c r="G764" s="5" t="n">
        <x:v>1</x:v>
      </x:c>
      <x:c r="H764" s="5" t="n">
        <x:v>1</x:v>
      </x:c>
      <x:c r="I764" s="5" t="str">
        <x:v>Swedish Orphan Biovitrum (Sobi)</x:v>
      </x:c>
      <x:c r="J764" s="5" t="str">
        <x:v>SOURCE QUOTE; unvalidated / superseded assessments</x:v>
      </x:c>
      <x:c r="L764" s="31" t="str">
        <x:v>D04, Markdown line 241; http://nas-1.tail55d152.ts.net:4100/static/2S_PHARMACEUTICALS_AND_CHEMICALS_SECTOR_DOSSIER.html</x:v>
      </x:c>
    </x:row>
    <x:row r="765" ht="42" customHeight="1">
      <x:c r="A765" s="5" t="str">
        <x:v>D04</x:v>
      </x:c>
      <x:c r="B765" s="5" t="str">
        <x:v>D04-T02</x:v>
      </x:c>
      <x:c r="C765" s="5" t="str">
        <x:v>5.1 Tier 1: Global &amp; Large-Cap Nordic Pharma</x:v>
      </x:c>
      <x:c r="D765" s="5" t="n">
        <x:v>241</x:v>
      </x:c>
      <x:c r="E765" s="5" t="n">
        <x:v>2</x:v>
      </x:c>
      <x:c r="F765" s="5" t="str">
        <x:v>HQ &amp; Key Sites</x:v>
      </x:c>
      <x:c r="G765" s="5" t="n">
        <x:v>1</x:v>
      </x:c>
      <x:c r="H765" s="5" t="n">
        <x:v>1</x:v>
      </x:c>
      <x:c r="I765" s="5" t="str">
        <x:v>Stockholm, SE</x:v>
      </x:c>
      <x:c r="J765" s="5" t="str">
        <x:v>SOURCE QUOTE; unvalidated / superseded assessments</x:v>
      </x:c>
      <x:c r="L765" s="31" t="str">
        <x:v>D04, Markdown line 241; http://nas-1.tail55d152.ts.net:4100/static/2S_PHARMACEUTICALS_AND_CHEMICALS_SECTOR_DOSSIER.html</x:v>
      </x:c>
    </x:row>
    <x:row r="766" ht="42" customHeight="1">
      <x:c r="A766" s="5" t="str">
        <x:v>D04</x:v>
      </x:c>
      <x:c r="B766" s="5" t="str">
        <x:v>D04-T02</x:v>
      </x:c>
      <x:c r="C766" s="5" t="str">
        <x:v>5.1 Tier 1: Global &amp; Large-Cap Nordic Pharma</x:v>
      </x:c>
      <x:c r="D766" s="5" t="n">
        <x:v>241</x:v>
      </x:c>
      <x:c r="E766" s="5" t="n">
        <x:v>3</x:v>
      </x:c>
      <x:c r="F766" s="5" t="str">
        <x:v>Annual Revenue</x:v>
      </x:c>
      <x:c r="G766" s="5" t="n">
        <x:v>1</x:v>
      </x:c>
      <x:c r="H766" s="5" t="n">
        <x:v>1</x:v>
      </x:c>
      <x:c r="I766" s="5" t="str">
        <x:v>SEK 26,000M (~€2.3B)</x:v>
      </x:c>
      <x:c r="J766" s="5" t="str">
        <x:v>SOURCE QUOTE; unvalidated / superseded assessments</x:v>
      </x:c>
      <x:c r="L766" s="31" t="str">
        <x:v>D04, Markdown line 241; http://nas-1.tail55d152.ts.net:4100/static/2S_PHARMACEUTICALS_AND_CHEMICALS_SECTOR_DOSSIER.html</x:v>
      </x:c>
    </x:row>
    <x:row r="767" ht="42" customHeight="1">
      <x:c r="A767" s="5" t="str">
        <x:v>D04</x:v>
      </x:c>
      <x:c r="B767" s="5" t="str">
        <x:v>D04-T02</x:v>
      </x:c>
      <x:c r="C767" s="5" t="str">
        <x:v>5.1 Tier 1: Global &amp; Large-Cap Nordic Pharma</x:v>
      </x:c>
      <x:c r="D767" s="5" t="n">
        <x:v>241</x:v>
      </x:c>
      <x:c r="E767" s="5" t="n">
        <x:v>4</x:v>
      </x:c>
      <x:c r="F767" s="5" t="str">
        <x:v>Annual R&amp;D Spend</x:v>
      </x:c>
      <x:c r="G767" s="5" t="n">
        <x:v>1</x:v>
      </x:c>
      <x:c r="H767" s="5" t="n">
        <x:v>1</x:v>
      </x:c>
      <x:c r="I767" s="5" t="str">
        <x:v>SEK 3,650M (~€320M)</x:v>
      </x:c>
      <x:c r="J767" s="5" t="str">
        <x:v>SOURCE QUOTE; unvalidated / superseded assessments</x:v>
      </x:c>
      <x:c r="L767" s="31" t="str">
        <x:v>D04, Markdown line 241; http://nas-1.tail55d152.ts.net:4100/static/2S_PHARMACEUTICALS_AND_CHEMICALS_SECTOR_DOSSIER.html</x:v>
      </x:c>
    </x:row>
    <x:row r="768" ht="42" customHeight="1">
      <x:c r="A768" s="5" t="str">
        <x:v>D04</x:v>
      </x:c>
      <x:c r="B768" s="5" t="str">
        <x:v>D04-T02</x:v>
      </x:c>
      <x:c r="C768" s="5" t="str">
        <x:v>5.1 Tier 1: Global &amp; Large-Cap Nordic Pharma</x:v>
      </x:c>
      <x:c r="D768" s="5" t="n">
        <x:v>241</x:v>
      </x:c>
      <x:c r="E768" s="5" t="n">
        <x:v>5</x:v>
      </x:c>
      <x:c r="F768" s="5" t="str">
        <x:v>Core Modality &amp; Therapeutic Focus</x:v>
      </x:c>
      <x:c r="G768" s="5" t="n">
        <x:v>1</x:v>
      </x:c>
      <x:c r="H768" s="5" t="n">
        <x:v>1</x:v>
      </x:c>
      <x:c r="I768" s="5" t="str">
        <x:v>Biologics, recombinant proteins, rare disease hematology and immunology.</x:v>
      </x:c>
      <x:c r="J768" s="5" t="str">
        <x:v>SOURCE QUOTE; unvalidated / superseded assessments</x:v>
      </x:c>
      <x:c r="L768" s="31" t="str">
        <x:v>D04, Markdown line 241; http://nas-1.tail55d152.ts.net:4100/static/2S_PHARMACEUTICALS_AND_CHEMICALS_SECTOR_DOSSIER.html</x:v>
      </x:c>
    </x:row>
    <x:row r="769" ht="42" customHeight="1">
      <x:c r="A769" s="5" t="str">
        <x:v>D04</x:v>
      </x:c>
      <x:c r="B769" s="5" t="str">
        <x:v>D04-T02</x:v>
      </x:c>
      <x:c r="C769" s="5" t="str">
        <x:v>5.1 Tier 1: Global &amp; Large-Cap Nordic Pharma</x:v>
      </x:c>
      <x:c r="D769" s="5" t="n">
        <x:v>241</x:v>
      </x:c>
      <x:c r="E769" s="5" t="n">
        <x:v>6</x:v>
      </x:c>
      <x:c r="F769" s="5" t="str">
        <x:v>Key Structural Pain Point</x:v>
      </x:c>
      <x:c r="G769" s="5" t="n">
        <x:v>1</x:v>
      </x:c>
      <x:c r="H769" s="5" t="n">
        <x:v>1</x:v>
      </x:c>
      <x:c r="I769" s="5" t="str">
        <x:v>Complex European stockist and hospital tender rebate management; uncoordinated secondary sales tracking across 20+ countries.</x:v>
      </x:c>
      <x:c r="J769" s="5" t="str">
        <x:v>SOURCE QUOTE; unvalidated / superseded assessments</x:v>
      </x:c>
      <x:c r="L769" s="31" t="str">
        <x:v>D04, Markdown line 241; http://nas-1.tail55d152.ts.net:4100/static/2S_PHARMACEUTICALS_AND_CHEMICALS_SECTOR_DOSSIER.html</x:v>
      </x:c>
    </x:row>
    <x:row r="770" ht="42" customHeight="1">
      <x:c r="A770" s="5" t="str">
        <x:v>D04</x:v>
      </x:c>
      <x:c r="B770" s="5" t="str">
        <x:v>D04-T02</x:v>
      </x:c>
      <x:c r="C770" s="5" t="str">
        <x:v>5.1 Tier 1: Global &amp; Large-Cap Nordic Pharma</x:v>
      </x:c>
      <x:c r="D770" s="5" t="n">
        <x:v>241</x:v>
      </x:c>
      <x:c r="E770" s="5" t="n">
        <x:v>7</x:v>
      </x:c>
      <x:c r="F770" s="5" t="str">
        <x:v>2S Consulting &amp; Numantra Strategic Lever</x:v>
      </x:c>
      <x:c r="G770" s="5" t="n">
        <x:v>1</x:v>
      </x:c>
      <x:c r="H770" s="5" t="n">
        <x:v>1</x:v>
      </x:c>
      <x:c r="I770" s="5" t="str">
        <x:v>Merck-proven Commercial S&amp;OP Portal: Unifying primary ERP billing, secondary wholesaler data, and tender penalty alerting.</x:v>
      </x:c>
      <x:c r="J770" s="5" t="str">
        <x:v>SOURCE QUOTE; unvalidated / superseded assessments</x:v>
      </x:c>
      <x:c r="L770" s="31" t="str">
        <x:v>D04, Markdown line 241; http://nas-1.tail55d152.ts.net:4100/static/2S_PHARMACEUTICALS_AND_CHEMICALS_SECTOR_DOSSIER.html</x:v>
      </x:c>
    </x:row>
    <x:row r="771" ht="42" customHeight="1">
      <x:c r="A771" s="5" t="str">
        <x:v>D04</x:v>
      </x:c>
      <x:c r="B771" s="5" t="str">
        <x:v>D04-T02</x:v>
      </x:c>
      <x:c r="C771" s="5" t="str">
        <x:v>5.1 Tier 1: Global &amp; Large-Cap Nordic Pharma</x:v>
      </x:c>
      <x:c r="D771" s="5" t="n">
        <x:v>242</x:v>
      </x:c>
      <x:c r="E771" s="5" t="n">
        <x:v>1</x:v>
      </x:c>
      <x:c r="F771" s="5" t="str">
        <x:v>Company</x:v>
      </x:c>
      <x:c r="G771" s="5" t="n">
        <x:v>1</x:v>
      </x:c>
      <x:c r="H771" s="5" t="n">
        <x:v>1</x:v>
      </x:c>
      <x:c r="I771" s="5" t="str">
        <x:v>H. Lundbeck A/S</x:v>
      </x:c>
      <x:c r="J771" s="5" t="str">
        <x:v>SOURCE QUOTE; unvalidated / superseded assessments</x:v>
      </x:c>
      <x:c r="L771" s="31" t="str">
        <x:v>D04, Markdown line 242; http://nas-1.tail55d152.ts.net:4100/static/2S_PHARMACEUTICALS_AND_CHEMICALS_SECTOR_DOSSIER.html</x:v>
      </x:c>
    </x:row>
    <x:row r="772" ht="42" customHeight="1">
      <x:c r="A772" s="5" t="str">
        <x:v>D04</x:v>
      </x:c>
      <x:c r="B772" s="5" t="str">
        <x:v>D04-T02</x:v>
      </x:c>
      <x:c r="C772" s="5" t="str">
        <x:v>5.1 Tier 1: Global &amp; Large-Cap Nordic Pharma</x:v>
      </x:c>
      <x:c r="D772" s="5" t="n">
        <x:v>242</x:v>
      </x:c>
      <x:c r="E772" s="5" t="n">
        <x:v>2</x:v>
      </x:c>
      <x:c r="F772" s="5" t="str">
        <x:v>HQ &amp; Key Sites</x:v>
      </x:c>
      <x:c r="G772" s="5" t="n">
        <x:v>1</x:v>
      </x:c>
      <x:c r="H772" s="5" t="n">
        <x:v>1</x:v>
      </x:c>
      <x:c r="I772" s="5" t="str">
        <x:v>Valby / Copenhagen, DK</x:v>
      </x:c>
      <x:c r="J772" s="5" t="str">
        <x:v>SOURCE QUOTE; unvalidated / superseded assessments</x:v>
      </x:c>
      <x:c r="L772" s="31" t="str">
        <x:v>D04, Markdown line 242; http://nas-1.tail55d152.ts.net:4100/static/2S_PHARMACEUTICALS_AND_CHEMICALS_SECTOR_DOSSIER.html</x:v>
      </x:c>
    </x:row>
    <x:row r="773" ht="42" customHeight="1">
      <x:c r="A773" s="5" t="str">
        <x:v>D04</x:v>
      </x:c>
      <x:c r="B773" s="5" t="str">
        <x:v>D04-T02</x:v>
      </x:c>
      <x:c r="C773" s="5" t="str">
        <x:v>5.1 Tier 1: Global &amp; Large-Cap Nordic Pharma</x:v>
      </x:c>
      <x:c r="D773" s="5" t="n">
        <x:v>242</x:v>
      </x:c>
      <x:c r="E773" s="5" t="n">
        <x:v>3</x:v>
      </x:c>
      <x:c r="F773" s="5" t="str">
        <x:v>Annual Revenue</x:v>
      </x:c>
      <x:c r="G773" s="5" t="n">
        <x:v>1</x:v>
      </x:c>
      <x:c r="H773" s="5" t="n">
        <x:v>1</x:v>
      </x:c>
      <x:c r="I773" s="5" t="str">
        <x:v>DKK 19.9B (~€2.7B)</x:v>
      </x:c>
      <x:c r="J773" s="5" t="str">
        <x:v>SOURCE QUOTE; unvalidated / superseded assessments</x:v>
      </x:c>
      <x:c r="L773" s="31" t="str">
        <x:v>D04, Markdown line 242; http://nas-1.tail55d152.ts.net:4100/static/2S_PHARMACEUTICALS_AND_CHEMICALS_SECTOR_DOSSIER.html</x:v>
      </x:c>
    </x:row>
    <x:row r="774" ht="42" customHeight="1">
      <x:c r="A774" s="5" t="str">
        <x:v>D04</x:v>
      </x:c>
      <x:c r="B774" s="5" t="str">
        <x:v>D04-T02</x:v>
      </x:c>
      <x:c r="C774" s="5" t="str">
        <x:v>5.1 Tier 1: Global &amp; Large-Cap Nordic Pharma</x:v>
      </x:c>
      <x:c r="D774" s="5" t="n">
        <x:v>242</x:v>
      </x:c>
      <x:c r="E774" s="5" t="n">
        <x:v>4</x:v>
      </x:c>
      <x:c r="F774" s="5" t="str">
        <x:v>Annual R&amp;D Spend</x:v>
      </x:c>
      <x:c r="G774" s="5" t="n">
        <x:v>1</x:v>
      </x:c>
      <x:c r="H774" s="5" t="n">
        <x:v>1</x:v>
      </x:c>
      <x:c r="I774" s="5" t="str">
        <x:v>DKK 4.1B (~€550M)</x:v>
      </x:c>
      <x:c r="J774" s="5" t="str">
        <x:v>SOURCE QUOTE; unvalidated / superseded assessments</x:v>
      </x:c>
      <x:c r="L774" s="31" t="str">
        <x:v>D04, Markdown line 242; http://nas-1.tail55d152.ts.net:4100/static/2S_PHARMACEUTICALS_AND_CHEMICALS_SECTOR_DOSSIER.html</x:v>
      </x:c>
    </x:row>
    <x:row r="775" ht="42" customHeight="1">
      <x:c r="A775" s="5" t="str">
        <x:v>D04</x:v>
      </x:c>
      <x:c r="B775" s="5" t="str">
        <x:v>D04-T02</x:v>
      </x:c>
      <x:c r="C775" s="5" t="str">
        <x:v>5.1 Tier 1: Global &amp; Large-Cap Nordic Pharma</x:v>
      </x:c>
      <x:c r="D775" s="5" t="n">
        <x:v>242</x:v>
      </x:c>
      <x:c r="E775" s="5" t="n">
        <x:v>5</x:v>
      </x:c>
      <x:c r="F775" s="5" t="str">
        <x:v>Core Modality &amp; Therapeutic Focus</x:v>
      </x:c>
      <x:c r="G775" s="5" t="n">
        <x:v>1</x:v>
      </x:c>
      <x:c r="H775" s="5" t="n">
        <x:v>1</x:v>
      </x:c>
      <x:c r="I775" s="5" t="str">
        <x:v>Small molecules, mAbs, neuro-therapeutics, CNS, depression, schizophrenia, migraine.</x:v>
      </x:c>
      <x:c r="J775" s="5" t="str">
        <x:v>SOURCE QUOTE; unvalidated / superseded assessments</x:v>
      </x:c>
      <x:c r="L775" s="31" t="str">
        <x:v>D04, Markdown line 242; http://nas-1.tail55d152.ts.net:4100/static/2S_PHARMACEUTICALS_AND_CHEMICALS_SECTOR_DOSSIER.html</x:v>
      </x:c>
    </x:row>
    <x:row r="776" ht="42" customHeight="1">
      <x:c r="A776" s="5" t="str">
        <x:v>D04</x:v>
      </x:c>
      <x:c r="B776" s="5" t="str">
        <x:v>D04-T02</x:v>
      </x:c>
      <x:c r="C776" s="5" t="str">
        <x:v>5.1 Tier 1: Global &amp; Large-Cap Nordic Pharma</x:v>
      </x:c>
      <x:c r="D776" s="5" t="n">
        <x:v>242</x:v>
      </x:c>
      <x:c r="E776" s="5" t="n">
        <x:v>6</x:v>
      </x:c>
      <x:c r="F776" s="5" t="str">
        <x:v>Key Structural Pain Point</x:v>
      </x:c>
      <x:c r="G776" s="5" t="n">
        <x:v>1</x:v>
      </x:c>
      <x:c r="H776" s="5" t="n">
        <x:v>1</x:v>
      </x:c>
      <x:c r="I776" s="5" t="str">
        <x:v>Clinical trial protocol complexity; high Phase III trial attrition; fragmented sales analytics across European affiliates.</x:v>
      </x:c>
      <x:c r="J776" s="5" t="str">
        <x:v>SOURCE QUOTE; unvalidated / superseded assessments</x:v>
      </x:c>
      <x:c r="L776" s="31" t="str">
        <x:v>D04, Markdown line 242; http://nas-1.tail55d152.ts.net:4100/static/2S_PHARMACEUTICALS_AND_CHEMICALS_SECTOR_DOSSIER.html</x:v>
      </x:c>
    </x:row>
    <x:row r="777" ht="42" customHeight="1">
      <x:c r="A777" s="5" t="str">
        <x:v>D04</x:v>
      </x:c>
      <x:c r="B777" s="5" t="str">
        <x:v>D04-T02</x:v>
      </x:c>
      <x:c r="C777" s="5" t="str">
        <x:v>5.1 Tier 1: Global &amp; Large-Cap Nordic Pharma</x:v>
      </x:c>
      <x:c r="D777" s="5" t="n">
        <x:v>242</x:v>
      </x:c>
      <x:c r="E777" s="5" t="n">
        <x:v>7</x:v>
      </x:c>
      <x:c r="F777" s="5" t="str">
        <x:v>2S Consulting &amp; Numantra Strategic Lever</x:v>
      </x:c>
      <x:c r="G777" s="5" t="n">
        <x:v>1</x:v>
      </x:c>
      <x:c r="H777" s="5" t="n">
        <x:v>1</x:v>
      </x:c>
      <x:c r="I777" s="5" t="str">
        <x:v>Clinical R&amp;D Productivity Monitoring (NCE milestone tracking); automated investigator grant accounting.</x:v>
      </x:c>
      <x:c r="J777" s="5" t="str">
        <x:v>SOURCE QUOTE; unvalidated / superseded assessments</x:v>
      </x:c>
      <x:c r="L777" s="31" t="str">
        <x:v>D04, Markdown line 242; http://nas-1.tail55d152.ts.net:4100/static/2S_PHARMACEUTICALS_AND_CHEMICALS_SECTOR_DOSSIER.html</x:v>
      </x:c>
    </x:row>
    <x:row r="778" ht="42" customHeight="1">
      <x:c r="A778" s="5" t="str">
        <x:v>D04</x:v>
      </x:c>
      <x:c r="B778" s="5" t="str">
        <x:v>D04-T02</x:v>
      </x:c>
      <x:c r="C778" s="5" t="str">
        <x:v>5.1 Tier 1: Global &amp; Large-Cap Nordic Pharma</x:v>
      </x:c>
      <x:c r="D778" s="5" t="n">
        <x:v>243</x:v>
      </x:c>
      <x:c r="E778" s="5" t="n">
        <x:v>1</x:v>
      </x:c>
      <x:c r="F778" s="5" t="str">
        <x:v>Company</x:v>
      </x:c>
      <x:c r="G778" s="5" t="n">
        <x:v>1</x:v>
      </x:c>
      <x:c r="H778" s="5" t="n">
        <x:v>1</x:v>
      </x:c>
      <x:c r="I778" s="5" t="str">
        <x:v>Genmab A/S</x:v>
      </x:c>
      <x:c r="J778" s="5" t="str">
        <x:v>SOURCE QUOTE; unvalidated / superseded assessments</x:v>
      </x:c>
      <x:c r="L778" s="31" t="str">
        <x:v>D04, Markdown line 243; http://nas-1.tail55d152.ts.net:4100/static/2S_PHARMACEUTICALS_AND_CHEMICALS_SECTOR_DOSSIER.html</x:v>
      </x:c>
    </x:row>
    <x:row r="779" ht="42" customHeight="1">
      <x:c r="A779" s="5" t="str">
        <x:v>D04</x:v>
      </x:c>
      <x:c r="B779" s="5" t="str">
        <x:v>D04-T02</x:v>
      </x:c>
      <x:c r="C779" s="5" t="str">
        <x:v>5.1 Tier 1: Global &amp; Large-Cap Nordic Pharma</x:v>
      </x:c>
      <x:c r="D779" s="5" t="n">
        <x:v>243</x:v>
      </x:c>
      <x:c r="E779" s="5" t="n">
        <x:v>2</x:v>
      </x:c>
      <x:c r="F779" s="5" t="str">
        <x:v>HQ &amp; Key Sites</x:v>
      </x:c>
      <x:c r="G779" s="5" t="n">
        <x:v>1</x:v>
      </x:c>
      <x:c r="H779" s="5" t="n">
        <x:v>1</x:v>
      </x:c>
      <x:c r="I779" s="5" t="str">
        <x:v>Copenhagen, DK</x:v>
      </x:c>
      <x:c r="J779" s="5" t="str">
        <x:v>SOURCE QUOTE; unvalidated / superseded assessments</x:v>
      </x:c>
      <x:c r="L779" s="31" t="str">
        <x:v>D04, Markdown line 243; http://nas-1.tail55d152.ts.net:4100/static/2S_PHARMACEUTICALS_AND_CHEMICALS_SECTOR_DOSSIER.html</x:v>
      </x:c>
    </x:row>
    <x:row r="780" ht="42" customHeight="1">
      <x:c r="A780" s="5" t="str">
        <x:v>D04</x:v>
      </x:c>
      <x:c r="B780" s="5" t="str">
        <x:v>D04-T02</x:v>
      </x:c>
      <x:c r="C780" s="5" t="str">
        <x:v>5.1 Tier 1: Global &amp; Large-Cap Nordic Pharma</x:v>
      </x:c>
      <x:c r="D780" s="5" t="n">
        <x:v>243</x:v>
      </x:c>
      <x:c r="E780" s="5" t="n">
        <x:v>3</x:v>
      </x:c>
      <x:c r="F780" s="5" t="str">
        <x:v>Annual Revenue</x:v>
      </x:c>
      <x:c r="G780" s="5" t="n">
        <x:v>1</x:v>
      </x:c>
      <x:c r="H780" s="5" t="n">
        <x:v>1</x:v>
      </x:c>
      <x:c r="I780" s="5" t="str">
        <x:v>DKK 16.5B (~€2.2B)</x:v>
      </x:c>
      <x:c r="J780" s="5" t="str">
        <x:v>SOURCE QUOTE; unvalidated / superseded assessments</x:v>
      </x:c>
      <x:c r="L780" s="31" t="str">
        <x:v>D04, Markdown line 243; http://nas-1.tail55d152.ts.net:4100/static/2S_PHARMACEUTICALS_AND_CHEMICALS_SECTOR_DOSSIER.html</x:v>
      </x:c>
    </x:row>
    <x:row r="781" ht="42" customHeight="1">
      <x:c r="A781" s="5" t="str">
        <x:v>D04</x:v>
      </x:c>
      <x:c r="B781" s="5" t="str">
        <x:v>D04-T02</x:v>
      </x:c>
      <x:c r="C781" s="5" t="str">
        <x:v>5.1 Tier 1: Global &amp; Large-Cap Nordic Pharma</x:v>
      </x:c>
      <x:c r="D781" s="5" t="n">
        <x:v>243</x:v>
      </x:c>
      <x:c r="E781" s="5" t="n">
        <x:v>4</x:v>
      </x:c>
      <x:c r="F781" s="5" t="str">
        <x:v>Annual R&amp;D Spend</x:v>
      </x:c>
      <x:c r="G781" s="5" t="n">
        <x:v>1</x:v>
      </x:c>
      <x:c r="H781" s="5" t="n">
        <x:v>1</x:v>
      </x:c>
      <x:c r="I781" s="5" t="str">
        <x:v>DKK 4.7B (~€630M)</x:v>
      </x:c>
      <x:c r="J781" s="5" t="str">
        <x:v>SOURCE QUOTE; unvalidated / superseded assessments</x:v>
      </x:c>
      <x:c r="L781" s="31" t="str">
        <x:v>D04, Markdown line 243; http://nas-1.tail55d152.ts.net:4100/static/2S_PHARMACEUTICALS_AND_CHEMICALS_SECTOR_DOSSIER.html</x:v>
      </x:c>
    </x:row>
    <x:row r="782" ht="42" customHeight="1">
      <x:c r="A782" s="5" t="str">
        <x:v>D04</x:v>
      </x:c>
      <x:c r="B782" s="5" t="str">
        <x:v>D04-T02</x:v>
      </x:c>
      <x:c r="C782" s="5" t="str">
        <x:v>5.1 Tier 1: Global &amp; Large-Cap Nordic Pharma</x:v>
      </x:c>
      <x:c r="D782" s="5" t="n">
        <x:v>243</x:v>
      </x:c>
      <x:c r="E782" s="5" t="n">
        <x:v>5</x:v>
      </x:c>
      <x:c r="F782" s="5" t="str">
        <x:v>Core Modality &amp; Therapeutic Focus</x:v>
      </x:c>
      <x:c r="G782" s="5" t="n">
        <x:v>1</x:v>
      </x:c>
      <x:c r="H782" s="5" t="n">
        <x:v>1</x:v>
      </x:c>
      <x:c r="I782" s="5" t="str">
        <x:v>Proprietary bispecific antibodies (DuoBody®, HexaBody®), oncology.</x:v>
      </x:c>
      <x:c r="J782" s="5" t="str">
        <x:v>SOURCE QUOTE; unvalidated / superseded assessments</x:v>
      </x:c>
      <x:c r="L782" s="31" t="str">
        <x:v>D04, Markdown line 243; http://nas-1.tail55d152.ts.net:4100/static/2S_PHARMACEUTICALS_AND_CHEMICALS_SECTOR_DOSSIER.html</x:v>
      </x:c>
    </x:row>
    <x:row r="783" ht="42" customHeight="1">
      <x:c r="A783" s="5" t="str">
        <x:v>D04</x:v>
      </x:c>
      <x:c r="B783" s="5" t="str">
        <x:v>D04-T02</x:v>
      </x:c>
      <x:c r="C783" s="5" t="str">
        <x:v>5.1 Tier 1: Global &amp; Large-Cap Nordic Pharma</x:v>
      </x:c>
      <x:c r="D783" s="5" t="n">
        <x:v>243</x:v>
      </x:c>
      <x:c r="E783" s="5" t="n">
        <x:v>6</x:v>
      </x:c>
      <x:c r="F783" s="5" t="str">
        <x:v>Key Structural Pain Point</x:v>
      </x:c>
      <x:c r="G783" s="5" t="n">
        <x:v>1</x:v>
      </x:c>
      <x:c r="H783" s="5" t="n">
        <x:v>1</x:v>
      </x:c>
      <x:c r="I783" s="5" t="str">
        <x:v>Partner royalty accounting complexity; massive multi-partner clinical trial data tracking; external bio-CDMO visibility.</x:v>
      </x:c>
      <x:c r="J783" s="5" t="str">
        <x:v>SOURCE QUOTE; unvalidated / superseded assessments</x:v>
      </x:c>
      <x:c r="L783" s="31" t="str">
        <x:v>D04, Markdown line 243; http://nas-1.tail55d152.ts.net:4100/static/2S_PHARMACEUTICALS_AND_CHEMICALS_SECTOR_DOSSIER.html</x:v>
      </x:c>
    </x:row>
    <x:row r="784" ht="42" customHeight="1">
      <x:c r="A784" s="5" t="str">
        <x:v>D04</x:v>
      </x:c>
      <x:c r="B784" s="5" t="str">
        <x:v>D04-T02</x:v>
      </x:c>
      <x:c r="C784" s="5" t="str">
        <x:v>5.1 Tier 1: Global &amp; Large-Cap Nordic Pharma</x:v>
      </x:c>
      <x:c r="D784" s="5" t="n">
        <x:v>243</x:v>
      </x:c>
      <x:c r="E784" s="5" t="n">
        <x:v>7</x:v>
      </x:c>
      <x:c r="F784" s="5" t="str">
        <x:v>2S Consulting &amp; Numantra Strategic Lever</x:v>
      </x:c>
      <x:c r="G784" s="5" t="n">
        <x:v>1</x:v>
      </x:c>
      <x:c r="H784" s="5" t="n">
        <x:v>1</x:v>
      </x:c>
      <x:c r="I784" s="5" t="str">
        <x:v>Automated royalty audit reconciliation; cloud data governance on Numantra Sovereign Cloud; clinical trial burn cockpit.</x:v>
      </x:c>
      <x:c r="J784" s="5" t="str">
        <x:v>SOURCE QUOTE; unvalidated / superseded assessments</x:v>
      </x:c>
      <x:c r="L784" s="31" t="str">
        <x:v>D04, Markdown line 243; http://nas-1.tail55d152.ts.net:4100/static/2S_PHARMACEUTICALS_AND_CHEMICALS_SECTOR_DOSSIER.html</x:v>
      </x:c>
    </x:row>
    <x:row r="785" ht="42" customHeight="1">
      <x:c r="A785" s="5" t="str">
        <x:v>D04</x:v>
      </x:c>
      <x:c r="B785" s="5" t="str">
        <x:v>D04-T02</x:v>
      </x:c>
      <x:c r="C785" s="5" t="str">
        <x:v>5.1 Tier 1: Global &amp; Large-Cap Nordic Pharma</x:v>
      </x:c>
      <x:c r="D785" s="5" t="n">
        <x:v>244</x:v>
      </x:c>
      <x:c r="E785" s="5" t="n">
        <x:v>1</x:v>
      </x:c>
      <x:c r="F785" s="5" t="str">
        <x:v>Company</x:v>
      </x:c>
      <x:c r="G785" s="5" t="n">
        <x:v>1</x:v>
      </x:c>
      <x:c r="H785" s="5" t="n">
        <x:v>1</x:v>
      </x:c>
      <x:c r="I785" s="5" t="str">
        <x:v>LEO Pharma A/S</x:v>
      </x:c>
      <x:c r="J785" s="5" t="str">
        <x:v>SOURCE QUOTE; unvalidated / superseded assessments</x:v>
      </x:c>
      <x:c r="L785" s="31" t="str">
        <x:v>D04, Markdown line 244; http://nas-1.tail55d152.ts.net:4100/static/2S_PHARMACEUTICALS_AND_CHEMICALS_SECTOR_DOSSIER.html</x:v>
      </x:c>
    </x:row>
    <x:row r="786" ht="42" customHeight="1">
      <x:c r="A786" s="5" t="str">
        <x:v>D04</x:v>
      </x:c>
      <x:c r="B786" s="5" t="str">
        <x:v>D04-T02</x:v>
      </x:c>
      <x:c r="C786" s="5" t="str">
        <x:v>5.1 Tier 1: Global &amp; Large-Cap Nordic Pharma</x:v>
      </x:c>
      <x:c r="D786" s="5" t="n">
        <x:v>244</x:v>
      </x:c>
      <x:c r="E786" s="5" t="n">
        <x:v>2</x:v>
      </x:c>
      <x:c r="F786" s="5" t="str">
        <x:v>HQ &amp; Key Sites</x:v>
      </x:c>
      <x:c r="G786" s="5" t="n">
        <x:v>1</x:v>
      </x:c>
      <x:c r="H786" s="5" t="n">
        <x:v>1</x:v>
      </x:c>
      <x:c r="I786" s="5" t="str">
        <x:v>Ballerup, DK</x:v>
      </x:c>
      <x:c r="J786" s="5" t="str">
        <x:v>SOURCE QUOTE; unvalidated / superseded assessments</x:v>
      </x:c>
      <x:c r="L786" s="31" t="str">
        <x:v>D04, Markdown line 244; http://nas-1.tail55d152.ts.net:4100/static/2S_PHARMACEUTICALS_AND_CHEMICALS_SECTOR_DOSSIER.html</x:v>
      </x:c>
    </x:row>
    <x:row r="787" ht="42" customHeight="1">
      <x:c r="A787" s="5" t="str">
        <x:v>D04</x:v>
      </x:c>
      <x:c r="B787" s="5" t="str">
        <x:v>D04-T02</x:v>
      </x:c>
      <x:c r="C787" s="5" t="str">
        <x:v>5.1 Tier 1: Global &amp; Large-Cap Nordic Pharma</x:v>
      </x:c>
      <x:c r="D787" s="5" t="n">
        <x:v>244</x:v>
      </x:c>
      <x:c r="E787" s="5" t="n">
        <x:v>3</x:v>
      </x:c>
      <x:c r="F787" s="5" t="str">
        <x:v>Annual Revenue</x:v>
      </x:c>
      <x:c r="G787" s="5" t="n">
        <x:v>1</x:v>
      </x:c>
      <x:c r="H787" s="5" t="n">
        <x:v>1</x:v>
      </x:c>
      <x:c r="I787" s="5" t="str">
        <x:v>DKK 11.4B (~€1.5B)</x:v>
      </x:c>
      <x:c r="J787" s="5" t="str">
        <x:v>SOURCE QUOTE; unvalidated / superseded assessments</x:v>
      </x:c>
      <x:c r="L787" s="31" t="str">
        <x:v>D04, Markdown line 244; http://nas-1.tail55d152.ts.net:4100/static/2S_PHARMACEUTICALS_AND_CHEMICALS_SECTOR_DOSSIER.html</x:v>
      </x:c>
    </x:row>
    <x:row r="788" ht="42" customHeight="1">
      <x:c r="A788" s="5" t="str">
        <x:v>D04</x:v>
      </x:c>
      <x:c r="B788" s="5" t="str">
        <x:v>D04-T02</x:v>
      </x:c>
      <x:c r="C788" s="5" t="str">
        <x:v>5.1 Tier 1: Global &amp; Large-Cap Nordic Pharma</x:v>
      </x:c>
      <x:c r="D788" s="5" t="n">
        <x:v>244</x:v>
      </x:c>
      <x:c r="E788" s="5" t="n">
        <x:v>4</x:v>
      </x:c>
      <x:c r="F788" s="5" t="str">
        <x:v>Annual R&amp;D Spend</x:v>
      </x:c>
      <x:c r="G788" s="5" t="n">
        <x:v>1</x:v>
      </x:c>
      <x:c r="H788" s="5" t="n">
        <x:v>1</x:v>
      </x:c>
      <x:c r="I788" s="5" t="str">
        <x:v>DKK 2.3B (~€310M)</x:v>
      </x:c>
      <x:c r="J788" s="5" t="str">
        <x:v>SOURCE QUOTE; unvalidated / superseded assessments</x:v>
      </x:c>
      <x:c r="L788" s="31" t="str">
        <x:v>D04, Markdown line 244; http://nas-1.tail55d152.ts.net:4100/static/2S_PHARMACEUTICALS_AND_CHEMICALS_SECTOR_DOSSIER.html</x:v>
      </x:c>
    </x:row>
    <x:row r="789" ht="42" customHeight="1">
      <x:c r="A789" s="5" t="str">
        <x:v>D04</x:v>
      </x:c>
      <x:c r="B789" s="5" t="str">
        <x:v>D04-T02</x:v>
      </x:c>
      <x:c r="C789" s="5" t="str">
        <x:v>5.1 Tier 1: Global &amp; Large-Cap Nordic Pharma</x:v>
      </x:c>
      <x:c r="D789" s="5" t="n">
        <x:v>244</x:v>
      </x:c>
      <x:c r="E789" s="5" t="n">
        <x:v>5</x:v>
      </x:c>
      <x:c r="F789" s="5" t="str">
        <x:v>Core Modality &amp; Therapeutic Focus</x:v>
      </x:c>
      <x:c r="G789" s="5" t="n">
        <x:v>1</x:v>
      </x:c>
      <x:c r="H789" s="5" t="n">
        <x:v>1</x:v>
      </x:c>
      <x:c r="I789" s="5" t="str">
        <x:v>Topical formulations, biologic therapies, medical dermatology, eczema, psoriasis.</x:v>
      </x:c>
      <x:c r="J789" s="5" t="str">
        <x:v>SOURCE QUOTE; unvalidated / superseded assessments</x:v>
      </x:c>
      <x:c r="L789" s="31" t="str">
        <x:v>D04, Markdown line 244; http://nas-1.tail55d152.ts.net:4100/static/2S_PHARMACEUTICALS_AND_CHEMICALS_SECTOR_DOSSIER.html</x:v>
      </x:c>
    </x:row>
    <x:row r="790" ht="42" customHeight="1">
      <x:c r="A790" s="5" t="str">
        <x:v>D04</x:v>
      </x:c>
      <x:c r="B790" s="5" t="str">
        <x:v>D04-T02</x:v>
      </x:c>
      <x:c r="C790" s="5" t="str">
        <x:v>5.1 Tier 1: Global &amp; Large-Cap Nordic Pharma</x:v>
      </x:c>
      <x:c r="D790" s="5" t="n">
        <x:v>244</x:v>
      </x:c>
      <x:c r="E790" s="5" t="n">
        <x:v>6</x:v>
      </x:c>
      <x:c r="F790" s="5" t="str">
        <x:v>Key Structural Pain Point</x:v>
      </x:c>
      <x:c r="G790" s="5" t="n">
        <x:v>1</x:v>
      </x:c>
      <x:c r="H790" s="5" t="n">
        <x:v>1</x:v>
      </x:c>
      <x:c r="I790" s="5" t="str">
        <x:v>Post-restructuring IT cost reduction; transition from mature topical products to high-cost biologics; regional hospital tender bidding.</x:v>
      </x:c>
      <x:c r="J790" s="5" t="str">
        <x:v>SOURCE QUOTE; unvalidated / superseded assessments</x:v>
      </x:c>
      <x:c r="L790" s="31" t="str">
        <x:v>D04, Markdown line 244; http://nas-1.tail55d152.ts.net:4100/static/2S_PHARMACEUTICALS_AND_CHEMICALS_SECTOR_DOSSIER.html</x:v>
      </x:c>
    </x:row>
    <x:row r="791" ht="42" customHeight="1">
      <x:c r="A791" s="5" t="str">
        <x:v>D04</x:v>
      </x:c>
      <x:c r="B791" s="5" t="str">
        <x:v>D04-T02</x:v>
      </x:c>
      <x:c r="C791" s="5" t="str">
        <x:v>5.1 Tier 1: Global &amp; Large-Cap Nordic Pharma</x:v>
      </x:c>
      <x:c r="D791" s="5" t="n">
        <x:v>244</x:v>
      </x:c>
      <x:c r="E791" s="5" t="n">
        <x:v>7</x:v>
      </x:c>
      <x:c r="F791" s="5" t="str">
        <x:v>2S Consulting &amp; Numantra Strategic Lever</x:v>
      </x:c>
      <x:c r="G791" s="5" t="n">
        <x:v>1</x:v>
      </x:c>
      <x:c r="H791" s="5" t="n">
        <x:v>1</x:v>
      </x:c>
      <x:c r="I791" s="5" t="str">
        <x:v>Lean Digital Estate (ERP and license rationalization); dynamic gross-to-net tender pricing simulator.</x:v>
      </x:c>
      <x:c r="J791" s="5" t="str">
        <x:v>SOURCE QUOTE; unvalidated / superseded assessments</x:v>
      </x:c>
      <x:c r="L791" s="31" t="str">
        <x:v>D04, Markdown line 244; http://nas-1.tail55d152.ts.net:4100/static/2S_PHARMACEUTICALS_AND_CHEMICALS_SECTOR_DOSSIER.html</x:v>
      </x:c>
    </x:row>
    <x:row r="792" ht="42" customHeight="1">
      <x:c r="A792" s="5" t="str">
        <x:v>D04</x:v>
      </x:c>
      <x:c r="B792" s="5" t="str">
        <x:v>D04-T02</x:v>
      </x:c>
      <x:c r="C792" s="5" t="str">
        <x:v>5.1 Tier 1: Global &amp; Large-Cap Nordic Pharma</x:v>
      </x:c>
      <x:c r="D792" s="5" t="n">
        <x:v>245</x:v>
      </x:c>
      <x:c r="E792" s="5" t="n">
        <x:v>1</x:v>
      </x:c>
      <x:c r="F792" s="5" t="str">
        <x:v>Company</x:v>
      </x:c>
      <x:c r="G792" s="5" t="n">
        <x:v>1</x:v>
      </x:c>
      <x:c r="H792" s="5" t="n">
        <x:v>1</x:v>
      </x:c>
      <x:c r="I792" s="5" t="str">
        <x:v>Orion Corporation</x:v>
      </x:c>
      <x:c r="J792" s="5" t="str">
        <x:v>SOURCE QUOTE; unvalidated / superseded assessments</x:v>
      </x:c>
      <x:c r="L792" s="31" t="str">
        <x:v>D04, Markdown line 245; http://nas-1.tail55d152.ts.net:4100/static/2S_PHARMACEUTICALS_AND_CHEMICALS_SECTOR_DOSSIER.html</x:v>
      </x:c>
    </x:row>
    <x:row r="793" ht="42" customHeight="1">
      <x:c r="A793" s="5" t="str">
        <x:v>D04</x:v>
      </x:c>
      <x:c r="B793" s="5" t="str">
        <x:v>D04-T02</x:v>
      </x:c>
      <x:c r="C793" s="5" t="str">
        <x:v>5.1 Tier 1: Global &amp; Large-Cap Nordic Pharma</x:v>
      </x:c>
      <x:c r="D793" s="5" t="n">
        <x:v>245</x:v>
      </x:c>
      <x:c r="E793" s="5" t="n">
        <x:v>2</x:v>
      </x:c>
      <x:c r="F793" s="5" t="str">
        <x:v>HQ &amp; Key Sites</x:v>
      </x:c>
      <x:c r="G793" s="5" t="n">
        <x:v>1</x:v>
      </x:c>
      <x:c r="H793" s="5" t="n">
        <x:v>1</x:v>
      </x:c>
      <x:c r="I793" s="5" t="str">
        <x:v>Espoo / Turku, FI</x:v>
      </x:c>
      <x:c r="J793" s="5" t="str">
        <x:v>SOURCE QUOTE; unvalidated / superseded assessments</x:v>
      </x:c>
      <x:c r="L793" s="31" t="str">
        <x:v>D04, Markdown line 245; http://nas-1.tail55d152.ts.net:4100/static/2S_PHARMACEUTICALS_AND_CHEMICALS_SECTOR_DOSSIER.html</x:v>
      </x:c>
    </x:row>
    <x:row r="794" ht="42" customHeight="1">
      <x:c r="A794" s="5" t="str">
        <x:v>D04</x:v>
      </x:c>
      <x:c r="B794" s="5" t="str">
        <x:v>D04-T02</x:v>
      </x:c>
      <x:c r="C794" s="5" t="str">
        <x:v>5.1 Tier 1: Global &amp; Large-Cap Nordic Pharma</x:v>
      </x:c>
      <x:c r="D794" s="5" t="n">
        <x:v>245</x:v>
      </x:c>
      <x:c r="E794" s="5" t="n">
        <x:v>3</x:v>
      </x:c>
      <x:c r="F794" s="5" t="str">
        <x:v>Annual Revenue</x:v>
      </x:c>
      <x:c r="G794" s="5" t="n">
        <x:v>1</x:v>
      </x:c>
      <x:c r="H794" s="5" t="n">
        <x:v>1</x:v>
      </x:c>
      <x:c r="I794" s="5" t="str">
        <x:v>€1,190M (~€1.2B)</x:v>
      </x:c>
      <x:c r="J794" s="5" t="str">
        <x:v>SOURCE QUOTE; unvalidated / superseded assessments</x:v>
      </x:c>
      <x:c r="L794" s="31" t="str">
        <x:v>D04, Markdown line 245; http://nas-1.tail55d152.ts.net:4100/static/2S_PHARMACEUTICALS_AND_CHEMICALS_SECTOR_DOSSIER.html</x:v>
      </x:c>
    </x:row>
    <x:row r="795" ht="42" customHeight="1">
      <x:c r="A795" s="5" t="str">
        <x:v>D04</x:v>
      </x:c>
      <x:c r="B795" s="5" t="str">
        <x:v>D04-T02</x:v>
      </x:c>
      <x:c r="C795" s="5" t="str">
        <x:v>5.1 Tier 1: Global &amp; Large-Cap Nordic Pharma</x:v>
      </x:c>
      <x:c r="D795" s="5" t="n">
        <x:v>245</x:v>
      </x:c>
      <x:c r="E795" s="5" t="n">
        <x:v>4</x:v>
      </x:c>
      <x:c r="F795" s="5" t="str">
        <x:v>Annual R&amp;D Spend</x:v>
      </x:c>
      <x:c r="G795" s="5" t="n">
        <x:v>1</x:v>
      </x:c>
      <x:c r="H795" s="5" t="n">
        <x:v>1</x:v>
      </x:c>
      <x:c r="I795" s="5" t="str">
        <x:v>€135M (~€135M)</x:v>
      </x:c>
      <x:c r="J795" s="5" t="str">
        <x:v>SOURCE QUOTE; unvalidated / superseded assessments</x:v>
      </x:c>
      <x:c r="L795" s="31" t="str">
        <x:v>D04, Markdown line 245; http://nas-1.tail55d152.ts.net:4100/static/2S_PHARMACEUTICALS_AND_CHEMICALS_SECTOR_DOSSIER.html</x:v>
      </x:c>
    </x:row>
    <x:row r="796" ht="42" customHeight="1">
      <x:c r="A796" s="5" t="str">
        <x:v>D04</x:v>
      </x:c>
      <x:c r="B796" s="5" t="str">
        <x:v>D04-T02</x:v>
      </x:c>
      <x:c r="C796" s="5" t="str">
        <x:v>5.1 Tier 1: Global &amp; Large-Cap Nordic Pharma</x:v>
      </x:c>
      <x:c r="D796" s="5" t="n">
        <x:v>245</x:v>
      </x:c>
      <x:c r="E796" s="5" t="n">
        <x:v>5</x:v>
      </x:c>
      <x:c r="F796" s="5" t="str">
        <x:v>Core Modality &amp; Therapeutic Focus</x:v>
      </x:c>
      <x:c r="G796" s="5" t="n">
        <x:v>1</x:v>
      </x:c>
      <x:c r="H796" s="5" t="n">
        <x:v>1</x:v>
      </x:c>
      <x:c r="I796" s="5" t="str">
        <x:v>Small molecules, NCEs, generic pharmaceuticals, neurology, oncology, respiratory.</x:v>
      </x:c>
      <x:c r="J796" s="5" t="str">
        <x:v>SOURCE QUOTE; unvalidated / superseded assessments</x:v>
      </x:c>
      <x:c r="L796" s="31" t="str">
        <x:v>D04, Markdown line 245; http://nas-1.tail55d152.ts.net:4100/static/2S_PHARMACEUTICALS_AND_CHEMICALS_SECTOR_DOSSIER.html</x:v>
      </x:c>
    </x:row>
    <x:row r="797" ht="42" customHeight="1">
      <x:c r="A797" s="5" t="str">
        <x:v>D04</x:v>
      </x:c>
      <x:c r="B797" s="5" t="str">
        <x:v>D04-T02</x:v>
      </x:c>
      <x:c r="C797" s="5" t="str">
        <x:v>5.1 Tier 1: Global &amp; Large-Cap Nordic Pharma</x:v>
      </x:c>
      <x:c r="D797" s="5" t="n">
        <x:v>245</x:v>
      </x:c>
      <x:c r="E797" s="5" t="n">
        <x:v>6</x:v>
      </x:c>
      <x:c r="F797" s="5" t="str">
        <x:v>Key Structural Pain Point</x:v>
      </x:c>
      <x:c r="G797" s="5" t="n">
        <x:v>1</x:v>
      </x:c>
      <x:c r="H797" s="5" t="n">
        <x:v>1</x:v>
      </x:c>
      <x:c r="I797" s="5" t="str">
        <x:v>Low-margin generic price competition; API raw material inflation; multi-plant batch scheduling across Finland and Europe.</x:v>
      </x:c>
      <x:c r="J797" s="5" t="str">
        <x:v>SOURCE QUOTE; unvalidated / superseded assessments</x:v>
      </x:c>
      <x:c r="L797" s="31" t="str">
        <x:v>D04, Markdown line 245; http://nas-1.tail55d152.ts.net:4100/static/2S_PHARMACEUTICALS_AND_CHEMICALS_SECTOR_DOSSIER.html</x:v>
      </x:c>
    </x:row>
    <x:row r="798" ht="42" customHeight="1">
      <x:c r="A798" s="5" t="str">
        <x:v>D04</x:v>
      </x:c>
      <x:c r="B798" s="5" t="str">
        <x:v>D04-T02</x:v>
      </x:c>
      <x:c r="C798" s="5" t="str">
        <x:v>5.1 Tier 1: Global &amp; Large-Cap Nordic Pharma</x:v>
      </x:c>
      <x:c r="D798" s="5" t="n">
        <x:v>245</x:v>
      </x:c>
      <x:c r="E798" s="5" t="n">
        <x:v>7</x:v>
      </x:c>
      <x:c r="F798" s="5" t="str">
        <x:v>2S Consulting &amp; Numantra Strategic Lever</x:v>
      </x:c>
      <x:c r="G798" s="5" t="n">
        <x:v>1</x:v>
      </x:c>
      <x:c r="H798" s="5" t="n">
        <x:v>1</x:v>
      </x:c>
      <x:c r="I798" s="5" t="str">
        <x:v>API Margin Defense; Product/Customer Mix Optimization (pruning margin-dilutive generic SKUs).</x:v>
      </x:c>
      <x:c r="J798" s="5" t="str">
        <x:v>SOURCE QUOTE; unvalidated / superseded assessments</x:v>
      </x:c>
      <x:c r="L798" s="31" t="str">
        <x:v>D04, Markdown line 245; http://nas-1.tail55d152.ts.net:4100/static/2S_PHARMACEUTICALS_AND_CHEMICALS_SECTOR_DOSSIER.html</x:v>
      </x:c>
    </x:row>
    <x:row r="799" ht="42" customHeight="1">
      <x:c r="A799" s="5" t="str">
        <x:v>D04</x:v>
      </x:c>
      <x:c r="B799" s="5" t="str">
        <x:v>D04-T03</x:v>
      </x:c>
      <x:c r="C799" s="5" t="str">
        <x:v>5.2 Tier 2: Mid-Cap Specialty Innovators &amp; Commercial Players</x:v>
      </x:c>
      <x:c r="D799" s="5" t="n">
        <x:v>251</x:v>
      </x:c>
      <x:c r="E799" s="5" t="n">
        <x:v>1</x:v>
      </x:c>
      <x:c r="F799" s="5" t="str">
        <x:v>Company</x:v>
      </x:c>
      <x:c r="G799" s="5" t="n">
        <x:v>1</x:v>
      </x:c>
      <x:c r="H799" s="5" t="n">
        <x:v>1</x:v>
      </x:c>
      <x:c r="I799" s="5" t="str">
        <x:v>Camurus AB</x:v>
      </x:c>
      <x:c r="J799" s="5" t="str">
        <x:v>SOURCE QUOTE; unvalidated / superseded assessments</x:v>
      </x:c>
      <x:c r="L799" s="31" t="str">
        <x:v>D04, Markdown line 251; http://nas-1.tail55d152.ts.net:4100/static/2S_PHARMACEUTICALS_AND_CHEMICALS_SECTOR_DOSSIER.html</x:v>
      </x:c>
    </x:row>
    <x:row r="800" ht="42" customHeight="1">
      <x:c r="A800" s="5" t="str">
        <x:v>D04</x:v>
      </x:c>
      <x:c r="B800" s="5" t="str">
        <x:v>D04-T03</x:v>
      </x:c>
      <x:c r="C800" s="5" t="str">
        <x:v>5.2 Tier 2: Mid-Cap Specialty Innovators &amp; Commercial Players</x:v>
      </x:c>
      <x:c r="D800" s="5" t="n">
        <x:v>251</x:v>
      </x:c>
      <x:c r="E800" s="5" t="n">
        <x:v>2</x:v>
      </x:c>
      <x:c r="F800" s="5" t="str">
        <x:v>HQ &amp; Key Sites</x:v>
      </x:c>
      <x:c r="G800" s="5" t="n">
        <x:v>1</x:v>
      </x:c>
      <x:c r="H800" s="5" t="n">
        <x:v>1</x:v>
      </x:c>
      <x:c r="I800" s="5" t="str">
        <x:v>Lund, SE</x:v>
      </x:c>
      <x:c r="J800" s="5" t="str">
        <x:v>SOURCE QUOTE; unvalidated / superseded assessments</x:v>
      </x:c>
      <x:c r="L800" s="31" t="str">
        <x:v>D04, Markdown line 251; http://nas-1.tail55d152.ts.net:4100/static/2S_PHARMACEUTICALS_AND_CHEMICALS_SECTOR_DOSSIER.html</x:v>
      </x:c>
    </x:row>
    <x:row r="801" ht="42" customHeight="1">
      <x:c r="A801" s="5" t="str">
        <x:v>D04</x:v>
      </x:c>
      <x:c r="B801" s="5" t="str">
        <x:v>D04-T03</x:v>
      </x:c>
      <x:c r="C801" s="5" t="str">
        <x:v>5.2 Tier 2: Mid-Cap Specialty Innovators &amp; Commercial Players</x:v>
      </x:c>
      <x:c r="D801" s="5" t="n">
        <x:v>251</x:v>
      </x:c>
      <x:c r="E801" s="5" t="n">
        <x:v>3</x:v>
      </x:c>
      <x:c r="F801" s="5" t="str">
        <x:v>Annual Revenue</x:v>
      </x:c>
      <x:c r="G801" s="5" t="n">
        <x:v>1</x:v>
      </x:c>
      <x:c r="H801" s="5" t="n">
        <x:v>1</x:v>
      </x:c>
      <x:c r="I801" s="5" t="str">
        <x:v>SEK 1,868M (~€165M)</x:v>
      </x:c>
      <x:c r="J801" s="5" t="str">
        <x:v>SOURCE QUOTE; unvalidated / superseded assessments</x:v>
      </x:c>
      <x:c r="L801" s="31" t="str">
        <x:v>D04, Markdown line 251; http://nas-1.tail55d152.ts.net:4100/static/2S_PHARMACEUTICALS_AND_CHEMICALS_SECTOR_DOSSIER.html</x:v>
      </x:c>
    </x:row>
    <x:row r="802" ht="42" customHeight="1">
      <x:c r="A802" s="5" t="str">
        <x:v>D04</x:v>
      </x:c>
      <x:c r="B802" s="5" t="str">
        <x:v>D04-T03</x:v>
      </x:c>
      <x:c r="C802" s="5" t="str">
        <x:v>5.2 Tier 2: Mid-Cap Specialty Innovators &amp; Commercial Players</x:v>
      </x:c>
      <x:c r="D802" s="5" t="n">
        <x:v>251</x:v>
      </x:c>
      <x:c r="E802" s="5" t="n">
        <x:v>4</x:v>
      </x:c>
      <x:c r="F802" s="5" t="str">
        <x:v>Annual R&amp;D Spend</x:v>
      </x:c>
      <x:c r="G802" s="5" t="n">
        <x:v>1</x:v>
      </x:c>
      <x:c r="H802" s="5" t="n">
        <x:v>1</x:v>
      </x:c>
      <x:c r="I802" s="5" t="str">
        <x:v>SEK 485M (~€43M)</x:v>
      </x:c>
      <x:c r="J802" s="5" t="str">
        <x:v>SOURCE QUOTE; unvalidated / superseded assessments</x:v>
      </x:c>
      <x:c r="L802" s="31" t="str">
        <x:v>D04, Markdown line 251; http://nas-1.tail55d152.ts.net:4100/static/2S_PHARMACEUTICALS_AND_CHEMICALS_SECTOR_DOSSIER.html</x:v>
      </x:c>
    </x:row>
    <x:row r="803" ht="42" customHeight="1">
      <x:c r="A803" s="5" t="str">
        <x:v>D04</x:v>
      </x:c>
      <x:c r="B803" s="5" t="str">
        <x:v>D04-T03</x:v>
      </x:c>
      <x:c r="C803" s="5" t="str">
        <x:v>5.2 Tier 2: Mid-Cap Specialty Innovators &amp; Commercial Players</x:v>
      </x:c>
      <x:c r="D803" s="5" t="n">
        <x:v>251</x:v>
      </x:c>
      <x:c r="E803" s="5" t="n">
        <x:v>5</x:v>
      </x:c>
      <x:c r="F803" s="5" t="str">
        <x:v>Core Modality &amp; Therapeutic Focus</x:v>
      </x:c>
      <x:c r="G803" s="5" t="n">
        <x:v>1</x:v>
      </x:c>
      <x:c r="H803" s="5" t="n">
        <x:v>1</x:v>
      </x:c>
      <x:c r="I803" s="5" t="str">
        <x:v>FluidCrystal® lipid depot injection, buprenorphine (Buvidal), acromegaly, neuroendocrine.</x:v>
      </x:c>
      <x:c r="J803" s="5" t="str">
        <x:v>SOURCE QUOTE; unvalidated / superseded assessments</x:v>
      </x:c>
      <x:c r="L803" s="31" t="str">
        <x:v>D04, Markdown line 251; http://nas-1.tail55d152.ts.net:4100/static/2S_PHARMACEUTICALS_AND_CHEMICALS_SECTOR_DOSSIER.html</x:v>
      </x:c>
    </x:row>
    <x:row r="804" ht="42" customHeight="1">
      <x:c r="A804" s="5" t="str">
        <x:v>D04</x:v>
      </x:c>
      <x:c r="B804" s="5" t="str">
        <x:v>D04-T03</x:v>
      </x:c>
      <x:c r="C804" s="5" t="str">
        <x:v>5.2 Tier 2: Mid-Cap Specialty Innovators &amp; Commercial Players</x:v>
      </x:c>
      <x:c r="D804" s="5" t="n">
        <x:v>251</x:v>
      </x:c>
      <x:c r="E804" s="5" t="n">
        <x:v>6</x:v>
      </x:c>
      <x:c r="F804" s="5" t="str">
        <x:v>Key Structural Pain Point</x:v>
      </x:c>
      <x:c r="G804" s="5" t="n">
        <x:v>1</x:v>
      </x:c>
      <x:c r="H804" s="5" t="n">
        <x:v>1</x:v>
      </x:c>
      <x:c r="I804" s="5" t="str">
        <x:v>Disconnected 4-month Excel budgeting cycles; clinic-level uptake forecasting; managing expanding US/EU commercial rollout.</x:v>
      </x:c>
      <x:c r="J804" s="5" t="str">
        <x:v>SOURCE QUOTE; unvalidated / superseded assessments</x:v>
      </x:c>
      <x:c r="L804" s="31" t="str">
        <x:v>D04, Markdown line 251; http://nas-1.tail55d152.ts.net:4100/static/2S_PHARMACEUTICALS_AND_CHEMICALS_SECTOR_DOSSIER.html</x:v>
      </x:c>
    </x:row>
    <x:row r="805" ht="42" customHeight="1">
      <x:c r="A805" s="5" t="str">
        <x:v>D04</x:v>
      </x:c>
      <x:c r="B805" s="5" t="str">
        <x:v>D04-T03</x:v>
      </x:c>
      <x:c r="C805" s="5" t="str">
        <x:v>5.2 Tier 2: Mid-Cap Specialty Innovators &amp; Commercial Players</x:v>
      </x:c>
      <x:c r="D805" s="5" t="n">
        <x:v>251</x:v>
      </x:c>
      <x:c r="E805" s="5" t="n">
        <x:v>7</x:v>
      </x:c>
      <x:c r="F805" s="5" t="str">
        <x:v>2S Consulting &amp; Numantra Strategic Lever</x:v>
      </x:c>
      <x:c r="G805" s="5" t="n">
        <x:v>1</x:v>
      </x:c>
      <x:c r="H805" s="5" t="n">
        <x:v>1</x:v>
      </x:c>
      <x:c r="I805" s="5" t="str">
        <x:v>Smart Financial Planning Suite: Replacing manual spreadsheets with machine learning-driven S&amp;OP clinic demand models.</x:v>
      </x:c>
      <x:c r="J805" s="5" t="str">
        <x:v>SOURCE QUOTE; unvalidated / superseded assessments</x:v>
      </x:c>
      <x:c r="L805" s="31" t="str">
        <x:v>D04, Markdown line 251; http://nas-1.tail55d152.ts.net:4100/static/2S_PHARMACEUTICALS_AND_CHEMICALS_SECTOR_DOSSIER.html</x:v>
      </x:c>
    </x:row>
    <x:row r="806" ht="42" customHeight="1">
      <x:c r="A806" s="5" t="str">
        <x:v>D04</x:v>
      </x:c>
      <x:c r="B806" s="5" t="str">
        <x:v>D04-T03</x:v>
      </x:c>
      <x:c r="C806" s="5" t="str">
        <x:v>5.2 Tier 2: Mid-Cap Specialty Innovators &amp; Commercial Players</x:v>
      </x:c>
      <x:c r="D806" s="5" t="n">
        <x:v>252</x:v>
      </x:c>
      <x:c r="E806" s="5" t="n">
        <x:v>1</x:v>
      </x:c>
      <x:c r="F806" s="5" t="str">
        <x:v>Company</x:v>
      </x:c>
      <x:c r="G806" s="5" t="n">
        <x:v>1</x:v>
      </x:c>
      <x:c r="H806" s="5" t="n">
        <x:v>1</x:v>
      </x:c>
      <x:c r="I806" s="5" t="str">
        <x:v>BioArctic AB</x:v>
      </x:c>
      <x:c r="J806" s="5" t="str">
        <x:v>SOURCE QUOTE; unvalidated / superseded assessments</x:v>
      </x:c>
      <x:c r="L806" s="31" t="str">
        <x:v>D04, Markdown line 252; http://nas-1.tail55d152.ts.net:4100/static/2S_PHARMACEUTICALS_AND_CHEMICALS_SECTOR_DOSSIER.html</x:v>
      </x:c>
    </x:row>
    <x:row r="807" ht="42" customHeight="1">
      <x:c r="A807" s="5" t="str">
        <x:v>D04</x:v>
      </x:c>
      <x:c r="B807" s="5" t="str">
        <x:v>D04-T03</x:v>
      </x:c>
      <x:c r="C807" s="5" t="str">
        <x:v>5.2 Tier 2: Mid-Cap Specialty Innovators &amp; Commercial Players</x:v>
      </x:c>
      <x:c r="D807" s="5" t="n">
        <x:v>252</x:v>
      </x:c>
      <x:c r="E807" s="5" t="n">
        <x:v>2</x:v>
      </x:c>
      <x:c r="F807" s="5" t="str">
        <x:v>HQ &amp; Key Sites</x:v>
      </x:c>
      <x:c r="G807" s="5" t="n">
        <x:v>1</x:v>
      </x:c>
      <x:c r="H807" s="5" t="n">
        <x:v>1</x:v>
      </x:c>
      <x:c r="I807" s="5" t="str">
        <x:v>Stockholm, SE</x:v>
      </x:c>
      <x:c r="J807" s="5" t="str">
        <x:v>SOURCE QUOTE; unvalidated / superseded assessments</x:v>
      </x:c>
      <x:c r="L807" s="31" t="str">
        <x:v>D04, Markdown line 252; http://nas-1.tail55d152.ts.net:4100/static/2S_PHARMACEUTICALS_AND_CHEMICALS_SECTOR_DOSSIER.html</x:v>
      </x:c>
    </x:row>
    <x:row r="808" ht="42" customHeight="1">
      <x:c r="A808" s="5" t="str">
        <x:v>D04</x:v>
      </x:c>
      <x:c r="B808" s="5" t="str">
        <x:v>D04-T03</x:v>
      </x:c>
      <x:c r="C808" s="5" t="str">
        <x:v>5.2 Tier 2: Mid-Cap Specialty Innovators &amp; Commercial Players</x:v>
      </x:c>
      <x:c r="D808" s="5" t="n">
        <x:v>252</x:v>
      </x:c>
      <x:c r="E808" s="5" t="n">
        <x:v>3</x:v>
      </x:c>
      <x:c r="F808" s="5" t="str">
        <x:v>Annual Revenue</x:v>
      </x:c>
      <x:c r="G808" s="5" t="n">
        <x:v>1</x:v>
      </x:c>
      <x:c r="H808" s="5" t="n">
        <x:v>1</x:v>
      </x:c>
      <x:c r="I808" s="5" t="str">
        <x:v>SEK 600M+ (~€53M)</x:v>
      </x:c>
      <x:c r="J808" s="5" t="str">
        <x:v>SOURCE QUOTE; unvalidated / superseded assessments</x:v>
      </x:c>
      <x:c r="L808" s="31" t="str">
        <x:v>D04, Markdown line 252; http://nas-1.tail55d152.ts.net:4100/static/2S_PHARMACEUTICALS_AND_CHEMICALS_SECTOR_DOSSIER.html</x:v>
      </x:c>
    </x:row>
    <x:row r="809" ht="42" customHeight="1">
      <x:c r="A809" s="5" t="str">
        <x:v>D04</x:v>
      </x:c>
      <x:c r="B809" s="5" t="str">
        <x:v>D04-T03</x:v>
      </x:c>
      <x:c r="C809" s="5" t="str">
        <x:v>5.2 Tier 2: Mid-Cap Specialty Innovators &amp; Commercial Players</x:v>
      </x:c>
      <x:c r="D809" s="5" t="n">
        <x:v>252</x:v>
      </x:c>
      <x:c r="E809" s="5" t="n">
        <x:v>4</x:v>
      </x:c>
      <x:c r="F809" s="5" t="str">
        <x:v>Annual R&amp;D Spend</x:v>
      </x:c>
      <x:c r="G809" s="5" t="n">
        <x:v>1</x:v>
      </x:c>
      <x:c r="H809" s="5" t="n">
        <x:v>1</x:v>
      </x:c>
      <x:c r="I809" s="5" t="str">
        <x:v>SEK 282M (~€25M)</x:v>
      </x:c>
      <x:c r="J809" s="5" t="str">
        <x:v>SOURCE QUOTE; unvalidated / superseded assessments</x:v>
      </x:c>
      <x:c r="L809" s="31" t="str">
        <x:v>D04, Markdown line 252; http://nas-1.tail55d152.ts.net:4100/static/2S_PHARMACEUTICALS_AND_CHEMICALS_SECTOR_DOSSIER.html</x:v>
      </x:c>
    </x:row>
    <x:row r="810" ht="42" customHeight="1">
      <x:c r="A810" s="5" t="str">
        <x:v>D04</x:v>
      </x:c>
      <x:c r="B810" s="5" t="str">
        <x:v>D04-T03</x:v>
      </x:c>
      <x:c r="C810" s="5" t="str">
        <x:v>5.2 Tier 2: Mid-Cap Specialty Innovators &amp; Commercial Players</x:v>
      </x:c>
      <x:c r="D810" s="5" t="n">
        <x:v>252</x:v>
      </x:c>
      <x:c r="E810" s="5" t="n">
        <x:v>5</x:v>
      </x:c>
      <x:c r="F810" s="5" t="str">
        <x:v>Core Modality &amp; Therapeutic Focus</x:v>
      </x:c>
      <x:c r="G810" s="5" t="n">
        <x:v>1</x:v>
      </x:c>
      <x:c r="H810" s="5" t="n">
        <x:v>1</x:v>
      </x:c>
      <x:c r="I810" s="5" t="str">
        <x:v>Monoclonal antibodies, brain transporter technology, Alzheimer's (Leqembi/lecanemab), Parkinson's.</x:v>
      </x:c>
      <x:c r="J810" s="5" t="str">
        <x:v>SOURCE QUOTE; unvalidated / superseded assessments</x:v>
      </x:c>
      <x:c r="L810" s="31" t="str">
        <x:v>D04, Markdown line 252; http://nas-1.tail55d152.ts.net:4100/static/2S_PHARMACEUTICALS_AND_CHEMICALS_SECTOR_DOSSIER.html</x:v>
      </x:c>
    </x:row>
    <x:row r="811" ht="42" customHeight="1">
      <x:c r="A811" s="5" t="str">
        <x:v>D04</x:v>
      </x:c>
      <x:c r="B811" s="5" t="str">
        <x:v>D04-T03</x:v>
      </x:c>
      <x:c r="C811" s="5" t="str">
        <x:v>5.2 Tier 2: Mid-Cap Specialty Innovators &amp; Commercial Players</x:v>
      </x:c>
      <x:c r="D811" s="5" t="n">
        <x:v>252</x:v>
      </x:c>
      <x:c r="E811" s="5" t="n">
        <x:v>6</x:v>
      </x:c>
      <x:c r="F811" s="5" t="str">
        <x:v>Key Structural Pain Point</x:v>
      </x:c>
      <x:c r="G811" s="5" t="n">
        <x:v>1</x:v>
      </x:c>
      <x:c r="H811" s="5" t="n">
        <x:v>1</x:v>
      </x:c>
      <x:c r="I811" s="5" t="str">
        <x:v>Managing global Eisai partnership data flows; clinical trial milestone accounting; transition from discovery boutique to commercial licensor.</x:v>
      </x:c>
      <x:c r="J811" s="5" t="str">
        <x:v>SOURCE QUOTE; unvalidated / superseded assessments</x:v>
      </x:c>
      <x:c r="L811" s="31" t="str">
        <x:v>D04, Markdown line 252; http://nas-1.tail55d152.ts.net:4100/static/2S_PHARMACEUTICALS_AND_CHEMICALS_SECTOR_DOSSIER.html</x:v>
      </x:c>
    </x:row>
    <x:row r="812" ht="42" customHeight="1">
      <x:c r="A812" s="5" t="str">
        <x:v>D04</x:v>
      </x:c>
      <x:c r="B812" s="5" t="str">
        <x:v>D04-T03</x:v>
      </x:c>
      <x:c r="C812" s="5" t="str">
        <x:v>5.2 Tier 2: Mid-Cap Specialty Innovators &amp; Commercial Players</x:v>
      </x:c>
      <x:c r="D812" s="5" t="n">
        <x:v>252</x:v>
      </x:c>
      <x:c r="E812" s="5" t="n">
        <x:v>7</x:v>
      </x:c>
      <x:c r="F812" s="5" t="str">
        <x:v>2S Consulting &amp; Numantra Strategic Lever</x:v>
      </x:c>
      <x:c r="G812" s="5" t="n">
        <x:v>1</x:v>
      </x:c>
      <x:c r="H812" s="5" t="n">
        <x:v>1</x:v>
      </x:c>
      <x:c r="I812" s="5" t="str">
        <x:v>Clinical Knowledge Graph deployment; partner milestone governance cockpit; GxP audit trail readiness.</x:v>
      </x:c>
      <x:c r="J812" s="5" t="str">
        <x:v>SOURCE QUOTE; unvalidated / superseded assessments</x:v>
      </x:c>
      <x:c r="L812" s="31" t="str">
        <x:v>D04, Markdown line 252; http://nas-1.tail55d152.ts.net:4100/static/2S_PHARMACEUTICALS_AND_CHEMICALS_SECTOR_DOSSIER.html</x:v>
      </x:c>
    </x:row>
    <x:row r="813" ht="42" customHeight="1">
      <x:c r="A813" s="5" t="str">
        <x:v>D04</x:v>
      </x:c>
      <x:c r="B813" s="5" t="str">
        <x:v>D04-T03</x:v>
      </x:c>
      <x:c r="C813" s="5" t="str">
        <x:v>5.2 Tier 2: Mid-Cap Specialty Innovators &amp; Commercial Players</x:v>
      </x:c>
      <x:c r="D813" s="5" t="n">
        <x:v>253</x:v>
      </x:c>
      <x:c r="E813" s="5" t="n">
        <x:v>1</x:v>
      </x:c>
      <x:c r="F813" s="5" t="str">
        <x:v>Company</x:v>
      </x:c>
      <x:c r="G813" s="5" t="n">
        <x:v>1</x:v>
      </x:c>
      <x:c r="H813" s="5" t="n">
        <x:v>1</x:v>
      </x:c>
      <x:c r="I813" s="5" t="str">
        <x:v>Calliditas Therapeutics</x:v>
      </x:c>
      <x:c r="J813" s="5" t="str">
        <x:v>SOURCE QUOTE; unvalidated / superseded assessments</x:v>
      </x:c>
      <x:c r="L813" s="31" t="str">
        <x:v>D04, Markdown line 253; http://nas-1.tail55d152.ts.net:4100/static/2S_PHARMACEUTICALS_AND_CHEMICALS_SECTOR_DOSSIER.html</x:v>
      </x:c>
    </x:row>
    <x:row r="814" ht="42" customHeight="1">
      <x:c r="A814" s="5" t="str">
        <x:v>D04</x:v>
      </x:c>
      <x:c r="B814" s="5" t="str">
        <x:v>D04-T03</x:v>
      </x:c>
      <x:c r="C814" s="5" t="str">
        <x:v>5.2 Tier 2: Mid-Cap Specialty Innovators &amp; Commercial Players</x:v>
      </x:c>
      <x:c r="D814" s="5" t="n">
        <x:v>253</x:v>
      </x:c>
      <x:c r="E814" s="5" t="n">
        <x:v>2</x:v>
      </x:c>
      <x:c r="F814" s="5" t="str">
        <x:v>HQ &amp; Key Sites</x:v>
      </x:c>
      <x:c r="G814" s="5" t="n">
        <x:v>1</x:v>
      </x:c>
      <x:c r="H814" s="5" t="n">
        <x:v>1</x:v>
      </x:c>
      <x:c r="I814" s="5" t="str">
        <x:v>Stockholm, SE</x:v>
      </x:c>
      <x:c r="J814" s="5" t="str">
        <x:v>SOURCE QUOTE; unvalidated / superseded assessments</x:v>
      </x:c>
      <x:c r="L814" s="31" t="str">
        <x:v>D04, Markdown line 253; http://nas-1.tail55d152.ts.net:4100/static/2S_PHARMACEUTICALS_AND_CHEMICALS_SECTOR_DOSSIER.html</x:v>
      </x:c>
    </x:row>
    <x:row r="815" ht="42" customHeight="1">
      <x:c r="A815" s="5" t="str">
        <x:v>D04</x:v>
      </x:c>
      <x:c r="B815" s="5" t="str">
        <x:v>D04-T03</x:v>
      </x:c>
      <x:c r="C815" s="5" t="str">
        <x:v>5.2 Tier 2: Mid-Cap Specialty Innovators &amp; Commercial Players</x:v>
      </x:c>
      <x:c r="D815" s="5" t="n">
        <x:v>253</x:v>
      </x:c>
      <x:c r="E815" s="5" t="n">
        <x:v>3</x:v>
      </x:c>
      <x:c r="F815" s="5" t="str">
        <x:v>Annual Revenue</x:v>
      </x:c>
      <x:c r="G815" s="5" t="n">
        <x:v>1</x:v>
      </x:c>
      <x:c r="H815" s="5" t="n">
        <x:v>1</x:v>
      </x:c>
      <x:c r="I815" s="5" t="str">
        <x:v>SEK 1,180M (~€105M)</x:v>
      </x:c>
      <x:c r="J815" s="5" t="str">
        <x:v>SOURCE QUOTE; unvalidated / superseded assessments</x:v>
      </x:c>
      <x:c r="L815" s="31" t="str">
        <x:v>D04, Markdown line 253; http://nas-1.tail55d152.ts.net:4100/static/2S_PHARMACEUTICALS_AND_CHEMICALS_SECTOR_DOSSIER.html</x:v>
      </x:c>
    </x:row>
    <x:row r="816" ht="42" customHeight="1">
      <x:c r="A816" s="5" t="str">
        <x:v>D04</x:v>
      </x:c>
      <x:c r="B816" s="5" t="str">
        <x:v>D04-T03</x:v>
      </x:c>
      <x:c r="C816" s="5" t="str">
        <x:v>5.2 Tier 2: Mid-Cap Specialty Innovators &amp; Commercial Players</x:v>
      </x:c>
      <x:c r="D816" s="5" t="n">
        <x:v>253</x:v>
      </x:c>
      <x:c r="E816" s="5" t="n">
        <x:v>4</x:v>
      </x:c>
      <x:c r="F816" s="5" t="str">
        <x:v>Annual R&amp;D Spend</x:v>
      </x:c>
      <x:c r="G816" s="5" t="n">
        <x:v>1</x:v>
      </x:c>
      <x:c r="H816" s="5" t="n">
        <x:v>1</x:v>
      </x:c>
      <x:c r="I816" s="5" t="str">
        <x:v>SEK 320M (~€28M)</x:v>
      </x:c>
      <x:c r="J816" s="5" t="str">
        <x:v>SOURCE QUOTE; unvalidated / superseded assessments</x:v>
      </x:c>
      <x:c r="L816" s="31" t="str">
        <x:v>D04, Markdown line 253; http://nas-1.tail55d152.ts.net:4100/static/2S_PHARMACEUTICALS_AND_CHEMICALS_SECTOR_DOSSIER.html</x:v>
      </x:c>
    </x:row>
    <x:row r="817" ht="42" customHeight="1">
      <x:c r="A817" s="5" t="str">
        <x:v>D04</x:v>
      </x:c>
      <x:c r="B817" s="5" t="str">
        <x:v>D04-T03</x:v>
      </x:c>
      <x:c r="C817" s="5" t="str">
        <x:v>5.2 Tier 2: Mid-Cap Specialty Innovators &amp; Commercial Players</x:v>
      </x:c>
      <x:c r="D817" s="5" t="n">
        <x:v>253</x:v>
      </x:c>
      <x:c r="E817" s="5" t="n">
        <x:v>5</x:v>
      </x:c>
      <x:c r="F817" s="5" t="str">
        <x:v>Core Modality &amp; Therapeutic Focus</x:v>
      </x:c>
      <x:c r="G817" s="5" t="n">
        <x:v>1</x:v>
      </x:c>
      <x:c r="H817" s="5" t="n">
        <x:v>1</x:v>
      </x:c>
      <x:c r="I817" s="5" t="str">
        <x:v>Targeted release formulation (Nefecon/Tarpeyo), IgA nephropathy, rare kidney diseases.</x:v>
      </x:c>
      <x:c r="J817" s="5" t="str">
        <x:v>SOURCE QUOTE; unvalidated / superseded assessments</x:v>
      </x:c>
      <x:c r="L817" s="31" t="str">
        <x:v>D04, Markdown line 253; http://nas-1.tail55d152.ts.net:4100/static/2S_PHARMACEUTICALS_AND_CHEMICALS_SECTOR_DOSSIER.html</x:v>
      </x:c>
    </x:row>
    <x:row r="818" ht="42" customHeight="1">
      <x:c r="A818" s="5" t="str">
        <x:v>D04</x:v>
      </x:c>
      <x:c r="B818" s="5" t="str">
        <x:v>D04-T03</x:v>
      </x:c>
      <x:c r="C818" s="5" t="str">
        <x:v>5.2 Tier 2: Mid-Cap Specialty Innovators &amp; Commercial Players</x:v>
      </x:c>
      <x:c r="D818" s="5" t="n">
        <x:v>253</x:v>
      </x:c>
      <x:c r="E818" s="5" t="n">
        <x:v>6</x:v>
      </x:c>
      <x:c r="F818" s="5" t="str">
        <x:v>Key Structural Pain Point</x:v>
      </x:c>
      <x:c r="G818" s="5" t="n">
        <x:v>1</x:v>
      </x:c>
      <x:c r="H818" s="5" t="n">
        <x:v>1</x:v>
      </x:c>
      <x:c r="I818" s="5" t="str">
        <x:v>Post-acquisition (Asahi Kasei) IT integration; European tender pricing and distributor inventory visibility.</x:v>
      </x:c>
      <x:c r="J818" s="5" t="str">
        <x:v>SOURCE QUOTE; unvalidated / superseded assessments</x:v>
      </x:c>
      <x:c r="L818" s="31" t="str">
        <x:v>D04, Markdown line 253; http://nas-1.tail55d152.ts.net:4100/static/2S_PHARMACEUTICALS_AND_CHEMICALS_SECTOR_DOSSIER.html</x:v>
      </x:c>
    </x:row>
    <x:row r="819" ht="42" customHeight="1">
      <x:c r="A819" s="5" t="str">
        <x:v>D04</x:v>
      </x:c>
      <x:c r="B819" s="5" t="str">
        <x:v>D04-T03</x:v>
      </x:c>
      <x:c r="C819" s="5" t="str">
        <x:v>5.2 Tier 2: Mid-Cap Specialty Innovators &amp; Commercial Players</x:v>
      </x:c>
      <x:c r="D819" s="5" t="n">
        <x:v>253</x:v>
      </x:c>
      <x:c r="E819" s="5" t="n">
        <x:v>7</x:v>
      </x:c>
      <x:c r="F819" s="5" t="str">
        <x:v>2S Consulting &amp; Numantra Strategic Lever</x:v>
      </x:c>
      <x:c r="G819" s="5" t="n">
        <x:v>1</x:v>
      </x:c>
      <x:c r="H819" s="5" t="n">
        <x:v>1</x:v>
      </x:c>
      <x:c r="I819" s="5" t="str">
        <x:v>Post-Merger ERP Harmonization; European wholesale stockist tracking portal.</x:v>
      </x:c>
      <x:c r="J819" s="5" t="str">
        <x:v>SOURCE QUOTE; unvalidated / superseded assessments</x:v>
      </x:c>
      <x:c r="L819" s="31" t="str">
        <x:v>D04, Markdown line 253; http://nas-1.tail55d152.ts.net:4100/static/2S_PHARMACEUTICALS_AND_CHEMICALS_SECTOR_DOSSIER.html</x:v>
      </x:c>
    </x:row>
    <x:row r="820" ht="42" customHeight="1">
      <x:c r="A820" s="5" t="str">
        <x:v>D04</x:v>
      </x:c>
      <x:c r="B820" s="5" t="str">
        <x:v>D04-T03</x:v>
      </x:c>
      <x:c r="C820" s="5" t="str">
        <x:v>5.2 Tier 2: Mid-Cap Specialty Innovators &amp; Commercial Players</x:v>
      </x:c>
      <x:c r="D820" s="5" t="n">
        <x:v>254</x:v>
      </x:c>
      <x:c r="E820" s="5" t="n">
        <x:v>1</x:v>
      </x:c>
      <x:c r="F820" s="5" t="str">
        <x:v>Company</x:v>
      </x:c>
      <x:c r="G820" s="5" t="n">
        <x:v>1</x:v>
      </x:c>
      <x:c r="H820" s="5" t="n">
        <x:v>1</x:v>
      </x:c>
      <x:c r="I820" s="5" t="str">
        <x:v>Bavarian Nordic A/S</x:v>
      </x:c>
      <x:c r="J820" s="5" t="str">
        <x:v>SOURCE QUOTE; unvalidated / superseded assessments</x:v>
      </x:c>
      <x:c r="L820" s="31" t="str">
        <x:v>D04, Markdown line 254; http://nas-1.tail55d152.ts.net:4100/static/2S_PHARMACEUTICALS_AND_CHEMICALS_SECTOR_DOSSIER.html</x:v>
      </x:c>
    </x:row>
    <x:row r="821" ht="42" customHeight="1">
      <x:c r="A821" s="5" t="str">
        <x:v>D04</x:v>
      </x:c>
      <x:c r="B821" s="5" t="str">
        <x:v>D04-T03</x:v>
      </x:c>
      <x:c r="C821" s="5" t="str">
        <x:v>5.2 Tier 2: Mid-Cap Specialty Innovators &amp; Commercial Players</x:v>
      </x:c>
      <x:c r="D821" s="5" t="n">
        <x:v>254</x:v>
      </x:c>
      <x:c r="E821" s="5" t="n">
        <x:v>2</x:v>
      </x:c>
      <x:c r="F821" s="5" t="str">
        <x:v>HQ &amp; Key Sites</x:v>
      </x:c>
      <x:c r="G821" s="5" t="n">
        <x:v>1</x:v>
      </x:c>
      <x:c r="H821" s="5" t="n">
        <x:v>1</x:v>
      </x:c>
      <x:c r="I821" s="5" t="str">
        <x:v>Hellerup / Kvistgård, DK</x:v>
      </x:c>
      <x:c r="J821" s="5" t="str">
        <x:v>SOURCE QUOTE; unvalidated / superseded assessments</x:v>
      </x:c>
      <x:c r="L821" s="31" t="str">
        <x:v>D04, Markdown line 254; http://nas-1.tail55d152.ts.net:4100/static/2S_PHARMACEUTICALS_AND_CHEMICALS_SECTOR_DOSSIER.html</x:v>
      </x:c>
    </x:row>
    <x:row r="822" ht="42" customHeight="1">
      <x:c r="A822" s="5" t="str">
        <x:v>D04</x:v>
      </x:c>
      <x:c r="B822" s="5" t="str">
        <x:v>D04-T03</x:v>
      </x:c>
      <x:c r="C822" s="5" t="str">
        <x:v>5.2 Tier 2: Mid-Cap Specialty Innovators &amp; Commercial Players</x:v>
      </x:c>
      <x:c r="D822" s="5" t="n">
        <x:v>254</x:v>
      </x:c>
      <x:c r="E822" s="5" t="n">
        <x:v>3</x:v>
      </x:c>
      <x:c r="F822" s="5" t="str">
        <x:v>Annual Revenue</x:v>
      </x:c>
      <x:c r="G822" s="5" t="n">
        <x:v>1</x:v>
      </x:c>
      <x:c r="H822" s="5" t="n">
        <x:v>1</x:v>
      </x:c>
      <x:c r="I822" s="5" t="str">
        <x:v>DKK 7,062M (~€945M)</x:v>
      </x:c>
      <x:c r="J822" s="5" t="str">
        <x:v>SOURCE QUOTE; unvalidated / superseded assessments</x:v>
      </x:c>
      <x:c r="L822" s="31" t="str">
        <x:v>D04, Markdown line 254; http://nas-1.tail55d152.ts.net:4100/static/2S_PHARMACEUTICALS_AND_CHEMICALS_SECTOR_DOSSIER.html</x:v>
      </x:c>
    </x:row>
    <x:row r="823" ht="42" customHeight="1">
      <x:c r="A823" s="5" t="str">
        <x:v>D04</x:v>
      </x:c>
      <x:c r="B823" s="5" t="str">
        <x:v>D04-T03</x:v>
      </x:c>
      <x:c r="C823" s="5" t="str">
        <x:v>5.2 Tier 2: Mid-Cap Specialty Innovators &amp; Commercial Players</x:v>
      </x:c>
      <x:c r="D823" s="5" t="n">
        <x:v>254</x:v>
      </x:c>
      <x:c r="E823" s="5" t="n">
        <x:v>4</x:v>
      </x:c>
      <x:c r="F823" s="5" t="str">
        <x:v>Annual R&amp;D Spend</x:v>
      </x:c>
      <x:c r="G823" s="5" t="n">
        <x:v>1</x:v>
      </x:c>
      <x:c r="H823" s="5" t="n">
        <x:v>1</x:v>
      </x:c>
      <x:c r="I823" s="5" t="str">
        <x:v>DKK 850M (~€114M)</x:v>
      </x:c>
      <x:c r="J823" s="5" t="str">
        <x:v>SOURCE QUOTE; unvalidated / superseded assessments</x:v>
      </x:c>
      <x:c r="L823" s="31" t="str">
        <x:v>D04, Markdown line 254; http://nas-1.tail55d152.ts.net:4100/static/2S_PHARMACEUTICALS_AND_CHEMICALS_SECTOR_DOSSIER.html</x:v>
      </x:c>
    </x:row>
    <x:row r="824" ht="42" customHeight="1">
      <x:c r="A824" s="5" t="str">
        <x:v>D04</x:v>
      </x:c>
      <x:c r="B824" s="5" t="str">
        <x:v>D04-T03</x:v>
      </x:c>
      <x:c r="C824" s="5" t="str">
        <x:v>5.2 Tier 2: Mid-Cap Specialty Innovators &amp; Commercial Players</x:v>
      </x:c>
      <x:c r="D824" s="5" t="n">
        <x:v>254</x:v>
      </x:c>
      <x:c r="E824" s="5" t="n">
        <x:v>5</x:v>
      </x:c>
      <x:c r="F824" s="5" t="str">
        <x:v>Core Modality &amp; Therapeutic Focus</x:v>
      </x:c>
      <x:c r="G824" s="5" t="n">
        <x:v>1</x:v>
      </x:c>
      <x:c r="H824" s="5" t="n">
        <x:v>1</x:v>
      </x:c>
      <x:c r="I824" s="5" t="str">
        <x:v>Viral vaccines, live attenuated vectors, smallpox/mpox, rabies, travel vaccines.</x:v>
      </x:c>
      <x:c r="J824" s="5" t="str">
        <x:v>SOURCE QUOTE; unvalidated / superseded assessments</x:v>
      </x:c>
      <x:c r="L824" s="31" t="str">
        <x:v>D04, Markdown line 254; http://nas-1.tail55d152.ts.net:4100/static/2S_PHARMACEUTICALS_AND_CHEMICALS_SECTOR_DOSSIER.html</x:v>
      </x:c>
    </x:row>
    <x:row r="825" ht="42" customHeight="1">
      <x:c r="A825" s="5" t="str">
        <x:v>D04</x:v>
      </x:c>
      <x:c r="B825" s="5" t="str">
        <x:v>D04-T03</x:v>
      </x:c>
      <x:c r="C825" s="5" t="str">
        <x:v>5.2 Tier 2: Mid-Cap Specialty Innovators &amp; Commercial Players</x:v>
      </x:c>
      <x:c r="D825" s="5" t="n">
        <x:v>254</x:v>
      </x:c>
      <x:c r="E825" s="5" t="n">
        <x:v>6</x:v>
      </x:c>
      <x:c r="F825" s="5" t="str">
        <x:v>Key Structural Pain Point</x:v>
      </x:c>
      <x:c r="G825" s="5" t="n">
        <x:v>1</x:v>
      </x:c>
      <x:c r="H825" s="5" t="n">
        <x:v>1</x:v>
      </x:c>
      <x:c r="I825" s="5" t="str">
        <x:v>High demand volatility driven by government stockpiling contracts; complex vaccine cold-chain distribution logistics.</x:v>
      </x:c>
      <x:c r="J825" s="5" t="str">
        <x:v>SOURCE QUOTE; unvalidated / superseded assessments</x:v>
      </x:c>
      <x:c r="L825" s="31" t="str">
        <x:v>D04, Markdown line 254; http://nas-1.tail55d152.ts.net:4100/static/2S_PHARMACEUTICALS_AND_CHEMICALS_SECTOR_DOSSIER.html</x:v>
      </x:c>
    </x:row>
    <x:row r="826" ht="42" customHeight="1">
      <x:c r="A826" s="5" t="str">
        <x:v>D04</x:v>
      </x:c>
      <x:c r="B826" s="5" t="str">
        <x:v>D04-T03</x:v>
      </x:c>
      <x:c r="C826" s="5" t="str">
        <x:v>5.2 Tier 2: Mid-Cap Specialty Innovators &amp; Commercial Players</x:v>
      </x:c>
      <x:c r="D826" s="5" t="n">
        <x:v>254</x:v>
      </x:c>
      <x:c r="E826" s="5" t="n">
        <x:v>7</x:v>
      </x:c>
      <x:c r="F826" s="5" t="str">
        <x:v>2S Consulting &amp; Numantra Strategic Lever</x:v>
      </x:c>
      <x:c r="G826" s="5" t="n">
        <x:v>1</x:v>
      </x:c>
      <x:c r="H826" s="5" t="n">
        <x:v>1</x:v>
      </x:c>
      <x:c r="I826" s="5" t="str">
        <x:v>Government Contract Milestone Governance; cold-chain distribution risk simulation.</x:v>
      </x:c>
      <x:c r="J826" s="5" t="str">
        <x:v>SOURCE QUOTE; unvalidated / superseded assessments</x:v>
      </x:c>
      <x:c r="L826" s="31" t="str">
        <x:v>D04, Markdown line 254; http://nas-1.tail55d152.ts.net:4100/static/2S_PHARMACEUTICALS_AND_CHEMICALS_SECTOR_DOSSIER.html</x:v>
      </x:c>
    </x:row>
    <x:row r="827" ht="42" customHeight="1">
      <x:c r="A827" s="5" t="str">
        <x:v>D04</x:v>
      </x:c>
      <x:c r="B827" s="5" t="str">
        <x:v>D04-T03</x:v>
      </x:c>
      <x:c r="C827" s="5" t="str">
        <x:v>5.2 Tier 2: Mid-Cap Specialty Innovators &amp; Commercial Players</x:v>
      </x:c>
      <x:c r="D827" s="5" t="n">
        <x:v>255</x:v>
      </x:c>
      <x:c r="E827" s="5" t="n">
        <x:v>1</x:v>
      </x:c>
      <x:c r="F827" s="5" t="str">
        <x:v>Company</x:v>
      </x:c>
      <x:c r="G827" s="5" t="n">
        <x:v>1</x:v>
      </x:c>
      <x:c r="H827" s="5" t="n">
        <x:v>1</x:v>
      </x:c>
      <x:c r="I827" s="5" t="str">
        <x:v>ALK-Abelló A/S</x:v>
      </x:c>
      <x:c r="J827" s="5" t="str">
        <x:v>SOURCE QUOTE; unvalidated / superseded assessments</x:v>
      </x:c>
      <x:c r="L827" s="31" t="str">
        <x:v>D04, Markdown line 255; http://nas-1.tail55d152.ts.net:4100/static/2S_PHARMACEUTICALS_AND_CHEMICALS_SECTOR_DOSSIER.html</x:v>
      </x:c>
    </x:row>
    <x:row r="828" ht="42" customHeight="1">
      <x:c r="A828" s="5" t="str">
        <x:v>D04</x:v>
      </x:c>
      <x:c r="B828" s="5" t="str">
        <x:v>D04-T03</x:v>
      </x:c>
      <x:c r="C828" s="5" t="str">
        <x:v>5.2 Tier 2: Mid-Cap Specialty Innovators &amp; Commercial Players</x:v>
      </x:c>
      <x:c r="D828" s="5" t="n">
        <x:v>255</x:v>
      </x:c>
      <x:c r="E828" s="5" t="n">
        <x:v>2</x:v>
      </x:c>
      <x:c r="F828" s="5" t="str">
        <x:v>HQ &amp; Key Sites</x:v>
      </x:c>
      <x:c r="G828" s="5" t="n">
        <x:v>1</x:v>
      </x:c>
      <x:c r="H828" s="5" t="n">
        <x:v>1</x:v>
      </x:c>
      <x:c r="I828" s="5" t="str">
        <x:v>Hørsholm, DK</x:v>
      </x:c>
      <x:c r="J828" s="5" t="str">
        <x:v>SOURCE QUOTE; unvalidated / superseded assessments</x:v>
      </x:c>
      <x:c r="L828" s="31" t="str">
        <x:v>D04, Markdown line 255; http://nas-1.tail55d152.ts.net:4100/static/2S_PHARMACEUTICALS_AND_CHEMICALS_SECTOR_DOSSIER.html</x:v>
      </x:c>
    </x:row>
    <x:row r="829" ht="42" customHeight="1">
      <x:c r="A829" s="5" t="str">
        <x:v>D04</x:v>
      </x:c>
      <x:c r="B829" s="5" t="str">
        <x:v>D04-T03</x:v>
      </x:c>
      <x:c r="C829" s="5" t="str">
        <x:v>5.2 Tier 2: Mid-Cap Specialty Innovators &amp; Commercial Players</x:v>
      </x:c>
      <x:c r="D829" s="5" t="n">
        <x:v>255</x:v>
      </x:c>
      <x:c r="E829" s="5" t="n">
        <x:v>3</x:v>
      </x:c>
      <x:c r="F829" s="5" t="str">
        <x:v>Annual Revenue</x:v>
      </x:c>
      <x:c r="G829" s="5" t="n">
        <x:v>1</x:v>
      </x:c>
      <x:c r="H829" s="5" t="n">
        <x:v>1</x:v>
      </x:c>
      <x:c r="I829" s="5" t="str">
        <x:v>DKK 4,821M (~€645M)</x:v>
      </x:c>
      <x:c r="J829" s="5" t="str">
        <x:v>SOURCE QUOTE; unvalidated / superseded assessments</x:v>
      </x:c>
      <x:c r="L829" s="31" t="str">
        <x:v>D04, Markdown line 255; http://nas-1.tail55d152.ts.net:4100/static/2S_PHARMACEUTICALS_AND_CHEMICALS_SECTOR_DOSSIER.html</x:v>
      </x:c>
    </x:row>
    <x:row r="830" ht="42" customHeight="1">
      <x:c r="A830" s="5" t="str">
        <x:v>D04</x:v>
      </x:c>
      <x:c r="B830" s="5" t="str">
        <x:v>D04-T03</x:v>
      </x:c>
      <x:c r="C830" s="5" t="str">
        <x:v>5.2 Tier 2: Mid-Cap Specialty Innovators &amp; Commercial Players</x:v>
      </x:c>
      <x:c r="D830" s="5" t="n">
        <x:v>255</x:v>
      </x:c>
      <x:c r="E830" s="5" t="n">
        <x:v>4</x:v>
      </x:c>
      <x:c r="F830" s="5" t="str">
        <x:v>Annual R&amp;D Spend</x:v>
      </x:c>
      <x:c r="G830" s="5" t="n">
        <x:v>1</x:v>
      </x:c>
      <x:c r="H830" s="5" t="n">
        <x:v>1</x:v>
      </x:c>
      <x:c r="I830" s="5" t="str">
        <x:v>DKK 712M (~€95M)</x:v>
      </x:c>
      <x:c r="J830" s="5" t="str">
        <x:v>SOURCE QUOTE; unvalidated / superseded assessments</x:v>
      </x:c>
      <x:c r="L830" s="31" t="str">
        <x:v>D04, Markdown line 255; http://nas-1.tail55d152.ts.net:4100/static/2S_PHARMACEUTICALS_AND_CHEMICALS_SECTOR_DOSSIER.html</x:v>
      </x:c>
    </x:row>
    <x:row r="831" ht="42" customHeight="1">
      <x:c r="A831" s="5" t="str">
        <x:v>D04</x:v>
      </x:c>
      <x:c r="B831" s="5" t="str">
        <x:v>D04-T03</x:v>
      </x:c>
      <x:c r="C831" s="5" t="str">
        <x:v>5.2 Tier 2: Mid-Cap Specialty Innovators &amp; Commercial Players</x:v>
      </x:c>
      <x:c r="D831" s="5" t="n">
        <x:v>255</x:v>
      </x:c>
      <x:c r="E831" s="5" t="n">
        <x:v>5</x:v>
      </x:c>
      <x:c r="F831" s="5" t="str">
        <x:v>Core Modality &amp; Therapeutic Focus</x:v>
      </x:c>
      <x:c r="G831" s="5" t="n">
        <x:v>1</x:v>
      </x:c>
      <x:c r="H831" s="5" t="n">
        <x:v>1</x:v>
      </x:c>
      <x:c r="I831" s="5" t="str">
        <x:v>Allergy immunotherapy (SLIT tablets, SCIT injections), allergic rhinitis, asthma.</x:v>
      </x:c>
      <x:c r="J831" s="5" t="str">
        <x:v>SOURCE QUOTE; unvalidated / superseded assessments</x:v>
      </x:c>
      <x:c r="L831" s="31" t="str">
        <x:v>D04, Markdown line 255; http://nas-1.tail55d152.ts.net:4100/static/2S_PHARMACEUTICALS_AND_CHEMICALS_SECTOR_DOSSIER.html</x:v>
      </x:c>
    </x:row>
    <x:row r="832" ht="42" customHeight="1">
      <x:c r="A832" s="5" t="str">
        <x:v>D04</x:v>
      </x:c>
      <x:c r="B832" s="5" t="str">
        <x:v>D04-T03</x:v>
      </x:c>
      <x:c r="C832" s="5" t="str">
        <x:v>5.2 Tier 2: Mid-Cap Specialty Innovators &amp; Commercial Players</x:v>
      </x:c>
      <x:c r="D832" s="5" t="n">
        <x:v>255</x:v>
      </x:c>
      <x:c r="E832" s="5" t="n">
        <x:v>6</x:v>
      </x:c>
      <x:c r="F832" s="5" t="str">
        <x:v>Key Structural Pain Point</x:v>
      </x:c>
      <x:c r="G832" s="5" t="n">
        <x:v>1</x:v>
      </x:c>
      <x:c r="H832" s="5" t="n">
        <x:v>1</x:v>
      </x:c>
      <x:c r="I832" s="5" t="str">
        <x:v>Patient adherence drop-off; managing seasonal inventory swings across European pharmacy networks.</x:v>
      </x:c>
      <x:c r="J832" s="5" t="str">
        <x:v>SOURCE QUOTE; unvalidated / superseded assessments</x:v>
      </x:c>
      <x:c r="L832" s="31" t="str">
        <x:v>D04, Markdown line 255; http://nas-1.tail55d152.ts.net:4100/static/2S_PHARMACEUTICALS_AND_CHEMICALS_SECTOR_DOSSIER.html</x:v>
      </x:c>
    </x:row>
    <x:row r="833" ht="42" customHeight="1">
      <x:c r="A833" s="5" t="str">
        <x:v>D04</x:v>
      </x:c>
      <x:c r="B833" s="5" t="str">
        <x:v>D04-T03</x:v>
      </x:c>
      <x:c r="C833" s="5" t="str">
        <x:v>5.2 Tier 2: Mid-Cap Specialty Innovators &amp; Commercial Players</x:v>
      </x:c>
      <x:c r="D833" s="5" t="n">
        <x:v>255</x:v>
      </x:c>
      <x:c r="E833" s="5" t="n">
        <x:v>7</x:v>
      </x:c>
      <x:c r="F833" s="5" t="str">
        <x:v>2S Consulting &amp; Numantra Strategic Lever</x:v>
      </x:c>
      <x:c r="G833" s="5" t="n">
        <x:v>1</x:v>
      </x:c>
      <x:c r="H833" s="5" t="n">
        <x:v>1</x:v>
      </x:c>
      <x:c r="I833" s="5" t="str">
        <x:v>Digital Patient Engagement &amp; Adherence Analytics (HCare360); seasonal S&amp;OP demand forecasting.</x:v>
      </x:c>
      <x:c r="J833" s="5" t="str">
        <x:v>SOURCE QUOTE; unvalidated / superseded assessments</x:v>
      </x:c>
      <x:c r="L833" s="31" t="str">
        <x:v>D04, Markdown line 255; http://nas-1.tail55d152.ts.net:4100/static/2S_PHARMACEUTICALS_AND_CHEMICALS_SECTOR_DOSSIER.html</x:v>
      </x:c>
    </x:row>
    <x:row r="834" ht="42" customHeight="1">
      <x:c r="A834" s="5" t="str">
        <x:v>D04</x:v>
      </x:c>
      <x:c r="B834" s="5" t="str">
        <x:v>D04-T03</x:v>
      </x:c>
      <x:c r="C834" s="5" t="str">
        <x:v>5.2 Tier 2: Mid-Cap Specialty Innovators &amp; Commercial Players</x:v>
      </x:c>
      <x:c r="D834" s="5" t="n">
        <x:v>256</x:v>
      </x:c>
      <x:c r="E834" s="5" t="n">
        <x:v>1</x:v>
      </x:c>
      <x:c r="F834" s="5" t="str">
        <x:v>Company</x:v>
      </x:c>
      <x:c r="G834" s="5" t="n">
        <x:v>1</x:v>
      </x:c>
      <x:c r="H834" s="5" t="n">
        <x:v>1</x:v>
      </x:c>
      <x:c r="I834" s="5" t="str">
        <x:v>Egetis Therapeutics AB</x:v>
      </x:c>
      <x:c r="J834" s="5" t="str">
        <x:v>SOURCE QUOTE; unvalidated / superseded assessments</x:v>
      </x:c>
      <x:c r="L834" s="31" t="str">
        <x:v>D04, Markdown line 256; http://nas-1.tail55d152.ts.net:4100/static/2S_PHARMACEUTICALS_AND_CHEMICALS_SECTOR_DOSSIER.html</x:v>
      </x:c>
    </x:row>
    <x:row r="835" ht="42" customHeight="1">
      <x:c r="A835" s="5" t="str">
        <x:v>D04</x:v>
      </x:c>
      <x:c r="B835" s="5" t="str">
        <x:v>D04-T03</x:v>
      </x:c>
      <x:c r="C835" s="5" t="str">
        <x:v>5.2 Tier 2: Mid-Cap Specialty Innovators &amp; Commercial Players</x:v>
      </x:c>
      <x:c r="D835" s="5" t="n">
        <x:v>256</x:v>
      </x:c>
      <x:c r="E835" s="5" t="n">
        <x:v>2</x:v>
      </x:c>
      <x:c r="F835" s="5" t="str">
        <x:v>HQ &amp; Key Sites</x:v>
      </x:c>
      <x:c r="G835" s="5" t="n">
        <x:v>1</x:v>
      </x:c>
      <x:c r="H835" s="5" t="n">
        <x:v>1</x:v>
      </x:c>
      <x:c r="I835" s="5" t="str">
        <x:v>Stockholm, SE</x:v>
      </x:c>
      <x:c r="J835" s="5" t="str">
        <x:v>SOURCE QUOTE; unvalidated / superseded assessments</x:v>
      </x:c>
      <x:c r="L835" s="31" t="str">
        <x:v>D04, Markdown line 256; http://nas-1.tail55d152.ts.net:4100/static/2S_PHARMACEUTICALS_AND_CHEMICALS_SECTOR_DOSSIER.html</x:v>
      </x:c>
    </x:row>
    <x:row r="836" ht="42" customHeight="1">
      <x:c r="A836" s="5" t="str">
        <x:v>D04</x:v>
      </x:c>
      <x:c r="B836" s="5" t="str">
        <x:v>D04-T03</x:v>
      </x:c>
      <x:c r="C836" s="5" t="str">
        <x:v>5.2 Tier 2: Mid-Cap Specialty Innovators &amp; Commercial Players</x:v>
      </x:c>
      <x:c r="D836" s="5" t="n">
        <x:v>256</x:v>
      </x:c>
      <x:c r="E836" s="5" t="n">
        <x:v>3</x:v>
      </x:c>
      <x:c r="F836" s="5" t="str">
        <x:v>Annual Revenue</x:v>
      </x:c>
      <x:c r="G836" s="5" t="n">
        <x:v>1</x:v>
      </x:c>
      <x:c r="H836" s="5" t="n">
        <x:v>1</x:v>
      </x:c>
      <x:c r="I836" s="5" t="str">
        <x:v>SEK 46.1M</x:v>
      </x:c>
      <x:c r="J836" s="5" t="str">
        <x:v>SOURCE QUOTE; unvalidated / superseded assessments</x:v>
      </x:c>
      <x:c r="L836" s="31" t="str">
        <x:v>D04, Markdown line 256; http://nas-1.tail55d152.ts.net:4100/static/2S_PHARMACEUTICALS_AND_CHEMICALS_SECTOR_DOSSIER.html</x:v>
      </x:c>
    </x:row>
    <x:row r="837" ht="42" customHeight="1">
      <x:c r="A837" s="5" t="str">
        <x:v>D04</x:v>
      </x:c>
      <x:c r="B837" s="5" t="str">
        <x:v>D04-T03</x:v>
      </x:c>
      <x:c r="C837" s="5" t="str">
        <x:v>5.2 Tier 2: Mid-Cap Specialty Innovators &amp; Commercial Players</x:v>
      </x:c>
      <x:c r="D837" s="5" t="n">
        <x:v>256</x:v>
      </x:c>
      <x:c r="E837" s="5" t="n">
        <x:v>4</x:v>
      </x:c>
      <x:c r="F837" s="5" t="str">
        <x:v>Annual R&amp;D Spend</x:v>
      </x:c>
      <x:c r="G837" s="5" t="n">
        <x:v>1</x:v>
      </x:c>
      <x:c r="H837" s="5" t="n">
        <x:v>1</x:v>
      </x:c>
      <x:c r="I837" s="5" t="str">
        <x:v>SEK 295.4M</x:v>
      </x:c>
      <x:c r="J837" s="5" t="str">
        <x:v>SOURCE QUOTE; unvalidated / superseded assessments</x:v>
      </x:c>
      <x:c r="L837" s="31" t="str">
        <x:v>D04, Markdown line 256; http://nas-1.tail55d152.ts.net:4100/static/2S_PHARMACEUTICALS_AND_CHEMICALS_SECTOR_DOSSIER.html</x:v>
      </x:c>
    </x:row>
    <x:row r="838" ht="42" customHeight="1">
      <x:c r="A838" s="5" t="str">
        <x:v>D04</x:v>
      </x:c>
      <x:c r="B838" s="5" t="str">
        <x:v>D04-T03</x:v>
      </x:c>
      <x:c r="C838" s="5" t="str">
        <x:v>5.2 Tier 2: Mid-Cap Specialty Innovators &amp; Commercial Players</x:v>
      </x:c>
      <x:c r="D838" s="5" t="n">
        <x:v>256</x:v>
      </x:c>
      <x:c r="E838" s="5" t="n">
        <x:v>5</x:v>
      </x:c>
      <x:c r="F838" s="5" t="str">
        <x:v>Core Modality &amp; Therapeutic Focus</x:v>
      </x:c>
      <x:c r="G838" s="5" t="n">
        <x:v>1</x:v>
      </x:c>
      <x:c r="H838" s="5" t="n">
        <x:v>1</x:v>
      </x:c>
      <x:c r="I838" s="5" t="str">
        <x:v>Small molecule thyroid hormone transporter agonist (Emcitate), rare pediatric MCT8 deficiency.</x:v>
      </x:c>
      <x:c r="J838" s="5" t="str">
        <x:v>SOURCE QUOTE; unvalidated / superseded assessments</x:v>
      </x:c>
      <x:c r="L838" s="31" t="str">
        <x:v>D04, Markdown line 256; http://nas-1.tail55d152.ts.net:4100/static/2S_PHARMACEUTICALS_AND_CHEMICALS_SECTOR_DOSSIER.html</x:v>
      </x:c>
    </x:row>
    <x:row r="839" ht="42" customHeight="1">
      <x:c r="A839" s="5" t="str">
        <x:v>D04</x:v>
      </x:c>
      <x:c r="B839" s="5" t="str">
        <x:v>D04-T03</x:v>
      </x:c>
      <x:c r="C839" s="5" t="str">
        <x:v>5.2 Tier 2: Mid-Cap Specialty Innovators &amp; Commercial Players</x:v>
      </x:c>
      <x:c r="D839" s="5" t="n">
        <x:v>256</x:v>
      </x:c>
      <x:c r="E839" s="5" t="n">
        <x:v>6</x:v>
      </x:c>
      <x:c r="F839" s="5" t="str">
        <x:v>Key Structural Pain Point</x:v>
      </x:c>
      <x:c r="G839" s="5" t="n">
        <x:v>1</x:v>
      </x:c>
      <x:c r="H839" s="5" t="n">
        <x:v>1</x:v>
      </x:c>
      <x:c r="I839" s="5" t="str">
        <x:v>High cash burn approaching FDA/EMA commercialization; establishing initial European market access and named-patient programs.</x:v>
      </x:c>
      <x:c r="J839" s="5" t="str">
        <x:v>SOURCE QUOTE; unvalidated / superseded assessments</x:v>
      </x:c>
      <x:c r="L839" s="31" t="str">
        <x:v>D04, Markdown line 256; http://nas-1.tail55d152.ts.net:4100/static/2S_PHARMACEUTICALS_AND_CHEMICALS_SECTOR_DOSSIER.html</x:v>
      </x:c>
    </x:row>
    <x:row r="840" ht="42" customHeight="1">
      <x:c r="A840" s="5" t="str">
        <x:v>D04</x:v>
      </x:c>
      <x:c r="B840" s="5" t="str">
        <x:v>D04-T03</x:v>
      </x:c>
      <x:c r="C840" s="5" t="str">
        <x:v>5.2 Tier 2: Mid-Cap Specialty Innovators &amp; Commercial Players</x:v>
      </x:c>
      <x:c r="D840" s="5" t="n">
        <x:v>256</x:v>
      </x:c>
      <x:c r="E840" s="5" t="n">
        <x:v>7</x:v>
      </x:c>
      <x:c r="F840" s="5" t="str">
        <x:v>2S Consulting &amp; Numantra Strategic Lever</x:v>
      </x:c>
      <x:c r="G840" s="5" t="n">
        <x:v>1</x:v>
      </x:c>
      <x:c r="H840" s="5" t="n">
        <x:v>1</x:v>
      </x:c>
      <x:c r="I840" s="5" t="str">
        <x:v>Named-Patient Supply Tracking Portal; rapid HTA economic dossier modeling for Nordic TLVs.</x:v>
      </x:c>
      <x:c r="J840" s="5" t="str">
        <x:v>SOURCE QUOTE; unvalidated / superseded assessments</x:v>
      </x:c>
      <x:c r="L840" s="31" t="str">
        <x:v>D04, Markdown line 256; http://nas-1.tail55d152.ts.net:4100/static/2S_PHARMACEUTICALS_AND_CHEMICALS_SECTOR_DOSSIER.html</x:v>
      </x:c>
    </x:row>
    <x:row r="841" ht="42" customHeight="1">
      <x:c r="A841" s="5" t="str">
        <x:v>D04</x:v>
      </x:c>
      <x:c r="B841" s="5" t="str">
        <x:v>D04-T03</x:v>
      </x:c>
      <x:c r="C841" s="5" t="str">
        <x:v>5.2 Tier 2: Mid-Cap Specialty Innovators &amp; Commercial Players</x:v>
      </x:c>
      <x:c r="D841" s="5" t="n">
        <x:v>257</x:v>
      </x:c>
      <x:c r="E841" s="5" t="n">
        <x:v>1</x:v>
      </x:c>
      <x:c r="F841" s="5" t="str">
        <x:v>Company</x:v>
      </x:c>
      <x:c r="G841" s="5" t="n">
        <x:v>1</x:v>
      </x:c>
      <x:c r="H841" s="5" t="n">
        <x:v>1</x:v>
      </x:c>
      <x:c r="I841" s="5" t="str">
        <x:v>EQL Pharma AB</x:v>
      </x:c>
      <x:c r="J841" s="5" t="str">
        <x:v>SOURCE QUOTE; unvalidated / superseded assessments</x:v>
      </x:c>
      <x:c r="L841" s="31" t="str">
        <x:v>D04, Markdown line 257; http://nas-1.tail55d152.ts.net:4100/static/2S_PHARMACEUTICALS_AND_CHEMICALS_SECTOR_DOSSIER.html</x:v>
      </x:c>
    </x:row>
    <x:row r="842" ht="42" customHeight="1">
      <x:c r="A842" s="5" t="str">
        <x:v>D04</x:v>
      </x:c>
      <x:c r="B842" s="5" t="str">
        <x:v>D04-T03</x:v>
      </x:c>
      <x:c r="C842" s="5" t="str">
        <x:v>5.2 Tier 2: Mid-Cap Specialty Innovators &amp; Commercial Players</x:v>
      </x:c>
      <x:c r="D842" s="5" t="n">
        <x:v>257</x:v>
      </x:c>
      <x:c r="E842" s="5" t="n">
        <x:v>2</x:v>
      </x:c>
      <x:c r="F842" s="5" t="str">
        <x:v>HQ &amp; Key Sites</x:v>
      </x:c>
      <x:c r="G842" s="5" t="n">
        <x:v>1</x:v>
      </x:c>
      <x:c r="H842" s="5" t="n">
        <x:v>1</x:v>
      </x:c>
      <x:c r="I842" s="5" t="str">
        <x:v>Lund, SE</x:v>
      </x:c>
      <x:c r="J842" s="5" t="str">
        <x:v>SOURCE QUOTE; unvalidated / superseded assessments</x:v>
      </x:c>
      <x:c r="L842" s="31" t="str">
        <x:v>D04, Markdown line 257; http://nas-1.tail55d152.ts.net:4100/static/2S_PHARMACEUTICALS_AND_CHEMICALS_SECTOR_DOSSIER.html</x:v>
      </x:c>
    </x:row>
    <x:row r="843" ht="42" customHeight="1">
      <x:c r="A843" s="5" t="str">
        <x:v>D04</x:v>
      </x:c>
      <x:c r="B843" s="5" t="str">
        <x:v>D04-T03</x:v>
      </x:c>
      <x:c r="C843" s="5" t="str">
        <x:v>5.2 Tier 2: Mid-Cap Specialty Innovators &amp; Commercial Players</x:v>
      </x:c>
      <x:c r="D843" s="5" t="n">
        <x:v>257</x:v>
      </x:c>
      <x:c r="E843" s="5" t="n">
        <x:v>3</x:v>
      </x:c>
      <x:c r="F843" s="5" t="str">
        <x:v>Annual Revenue</x:v>
      </x:c>
      <x:c r="G843" s="5" t="n">
        <x:v>1</x:v>
      </x:c>
      <x:c r="H843" s="5" t="n">
        <x:v>1</x:v>
      </x:c>
      <x:c r="I843" s="5" t="str">
        <x:v>SEK 373.5M</x:v>
      </x:c>
      <x:c r="J843" s="5" t="str">
        <x:v>SOURCE QUOTE; unvalidated / superseded assessments</x:v>
      </x:c>
      <x:c r="L843" s="31" t="str">
        <x:v>D04, Markdown line 257; http://nas-1.tail55d152.ts.net:4100/static/2S_PHARMACEUTICALS_AND_CHEMICALS_SECTOR_DOSSIER.html</x:v>
      </x:c>
    </x:row>
    <x:row r="844" ht="42" customHeight="1">
      <x:c r="A844" s="5" t="str">
        <x:v>D04</x:v>
      </x:c>
      <x:c r="B844" s="5" t="str">
        <x:v>D04-T03</x:v>
      </x:c>
      <x:c r="C844" s="5" t="str">
        <x:v>5.2 Tier 2: Mid-Cap Specialty Innovators &amp; Commercial Players</x:v>
      </x:c>
      <x:c r="D844" s="5" t="n">
        <x:v>257</x:v>
      </x:c>
      <x:c r="E844" s="5" t="n">
        <x:v>4</x:v>
      </x:c>
      <x:c r="F844" s="5" t="str">
        <x:v>Annual R&amp;D Spend</x:v>
      </x:c>
      <x:c r="G844" s="5" t="n">
        <x:v>1</x:v>
      </x:c>
      <x:c r="H844" s="5" t="n">
        <x:v>1</x:v>
      </x:c>
      <x:c r="I844" s="5" t="str">
        <x:v>SEK 28.6M</x:v>
      </x:c>
      <x:c r="J844" s="5" t="str">
        <x:v>SOURCE QUOTE; unvalidated / superseded assessments</x:v>
      </x:c>
      <x:c r="L844" s="31" t="str">
        <x:v>D04, Markdown line 257; http://nas-1.tail55d152.ts.net:4100/static/2S_PHARMACEUTICALS_AND_CHEMICALS_SECTOR_DOSSIER.html</x:v>
      </x:c>
    </x:row>
    <x:row r="845" ht="42" customHeight="1">
      <x:c r="A845" s="5" t="str">
        <x:v>D04</x:v>
      </x:c>
      <x:c r="B845" s="5" t="str">
        <x:v>D04-T03</x:v>
      </x:c>
      <x:c r="C845" s="5" t="str">
        <x:v>5.2 Tier 2: Mid-Cap Specialty Innovators &amp; Commercial Players</x:v>
      </x:c>
      <x:c r="D845" s="5" t="n">
        <x:v>257</x:v>
      </x:c>
      <x:c r="E845" s="5" t="n">
        <x:v>5</x:v>
      </x:c>
      <x:c r="F845" s="5" t="str">
        <x:v>Core Modality &amp; Therapeutic Focus</x:v>
      </x:c>
      <x:c r="G845" s="5" t="n">
        <x:v>1</x:v>
      </x:c>
      <x:c r="H845" s="5" t="n">
        <x:v>1</x:v>
      </x:c>
      <x:c r="I845" s="5" t="str">
        <x:v>Niche specialty pharmaceuticals and generic hospital injectables/orals.</x:v>
      </x:c>
      <x:c r="J845" s="5" t="str">
        <x:v>SOURCE QUOTE; unvalidated / superseded assessments</x:v>
      </x:c>
      <x:c r="L845" s="31" t="str">
        <x:v>D04, Markdown line 257; http://nas-1.tail55d152.ts.net:4100/static/2S_PHARMACEUTICALS_AND_CHEMICALS_SECTOR_DOSSIER.html</x:v>
      </x:c>
    </x:row>
    <x:row r="846" ht="42" customHeight="1">
      <x:c r="A846" s="5" t="str">
        <x:v>D04</x:v>
      </x:c>
      <x:c r="B846" s="5" t="str">
        <x:v>D04-T03</x:v>
      </x:c>
      <x:c r="C846" s="5" t="str">
        <x:v>5.2 Tier 2: Mid-Cap Specialty Innovators &amp; Commercial Players</x:v>
      </x:c>
      <x:c r="D846" s="5" t="n">
        <x:v>257</x:v>
      </x:c>
      <x:c r="E846" s="5" t="n">
        <x:v>6</x:v>
      </x:c>
      <x:c r="F846" s="5" t="str">
        <x:v>Key Structural Pain Point</x:v>
      </x:c>
      <x:c r="G846" s="5" t="n">
        <x:v>1</x:v>
      </x:c>
      <x:c r="H846" s="5" t="n">
        <x:v>1</x:v>
      </x:c>
      <x:c r="I846" s="5" t="str">
        <x:v>Nordic tender price decay; regional stockout penalties; managing multi-country product licenses.</x:v>
      </x:c>
      <x:c r="J846" s="5" t="str">
        <x:v>SOURCE QUOTE; unvalidated / superseded assessments</x:v>
      </x:c>
      <x:c r="L846" s="31" t="str">
        <x:v>D04, Markdown line 257; http://nas-1.tail55d152.ts.net:4100/static/2S_PHARMACEUTICALS_AND_CHEMICALS_SECTOR_DOSSIER.html</x:v>
      </x:c>
    </x:row>
    <x:row r="847" ht="42" customHeight="1">
      <x:c r="A847" s="5" t="str">
        <x:v>D04</x:v>
      </x:c>
      <x:c r="B847" s="5" t="str">
        <x:v>D04-T03</x:v>
      </x:c>
      <x:c r="C847" s="5" t="str">
        <x:v>5.2 Tier 2: Mid-Cap Specialty Innovators &amp; Commercial Players</x:v>
      </x:c>
      <x:c r="D847" s="5" t="n">
        <x:v>257</x:v>
      </x:c>
      <x:c r="E847" s="5" t="n">
        <x:v>7</x:v>
      </x:c>
      <x:c r="F847" s="5" t="str">
        <x:v>2S Consulting &amp; Numantra Strategic Lever</x:v>
      </x:c>
      <x:c r="G847" s="5" t="n">
        <x:v>1</x:v>
      </x:c>
      <x:c r="H847" s="5" t="n">
        <x:v>1</x:v>
      </x:c>
      <x:c r="I847" s="5" t="str">
        <x:v>Automated Tender Bidding &amp; Penalty Alerting Engine; supply chain safety-stock optimization.</x:v>
      </x:c>
      <x:c r="J847" s="5" t="str">
        <x:v>SOURCE QUOTE; unvalidated / superseded assessments</x:v>
      </x:c>
      <x:c r="L847" s="31" t="str">
        <x:v>D04, Markdown line 257; http://nas-1.tail55d152.ts.net:4100/static/2S_PHARMACEUTICALS_AND_CHEMICALS_SECTOR_DOSSIER.html</x:v>
      </x:c>
    </x:row>
    <x:row r="848" ht="42" customHeight="1">
      <x:c r="A848" s="5" t="str">
        <x:v>D04</x:v>
      </x:c>
      <x:c r="B848" s="5" t="str">
        <x:v>D04-T03</x:v>
      </x:c>
      <x:c r="C848" s="5" t="str">
        <x:v>5.2 Tier 2: Mid-Cap Specialty Innovators &amp; Commercial Players</x:v>
      </x:c>
      <x:c r="D848" s="5" t="n">
        <x:v>258</x:v>
      </x:c>
      <x:c r="E848" s="5" t="n">
        <x:v>1</x:v>
      </x:c>
      <x:c r="F848" s="5" t="str">
        <x:v>Company</x:v>
      </x:c>
      <x:c r="G848" s="5" t="n">
        <x:v>1</x:v>
      </x:c>
      <x:c r="H848" s="5" t="n">
        <x:v>1</x:v>
      </x:c>
      <x:c r="I848" s="5" t="str">
        <x:v>Bluefish Pharmaceuticals</x:v>
      </x:c>
      <x:c r="J848" s="5" t="str">
        <x:v>SOURCE QUOTE; unvalidated / superseded assessments</x:v>
      </x:c>
      <x:c r="L848" s="31" t="str">
        <x:v>D04, Markdown line 258; http://nas-1.tail55d152.ts.net:4100/static/2S_PHARMACEUTICALS_AND_CHEMICALS_SECTOR_DOSSIER.html</x:v>
      </x:c>
    </x:row>
    <x:row r="849" ht="42" customHeight="1">
      <x:c r="A849" s="5" t="str">
        <x:v>D04</x:v>
      </x:c>
      <x:c r="B849" s="5" t="str">
        <x:v>D04-T03</x:v>
      </x:c>
      <x:c r="C849" s="5" t="str">
        <x:v>5.2 Tier 2: Mid-Cap Specialty Innovators &amp; Commercial Players</x:v>
      </x:c>
      <x:c r="D849" s="5" t="n">
        <x:v>258</x:v>
      </x:c>
      <x:c r="E849" s="5" t="n">
        <x:v>2</x:v>
      </x:c>
      <x:c r="F849" s="5" t="str">
        <x:v>HQ &amp; Key Sites</x:v>
      </x:c>
      <x:c r="G849" s="5" t="n">
        <x:v>1</x:v>
      </x:c>
      <x:c r="H849" s="5" t="n">
        <x:v>1</x:v>
      </x:c>
      <x:c r="I849" s="5" t="str">
        <x:v>Stockholm, SE</x:v>
      </x:c>
      <x:c r="J849" s="5" t="str">
        <x:v>SOURCE QUOTE; unvalidated / superseded assessments</x:v>
      </x:c>
      <x:c r="L849" s="31" t="str">
        <x:v>D04, Markdown line 258; http://nas-1.tail55d152.ts.net:4100/static/2S_PHARMACEUTICALS_AND_CHEMICALS_SECTOR_DOSSIER.html</x:v>
      </x:c>
    </x:row>
    <x:row r="850" ht="42" customHeight="1">
      <x:c r="A850" s="5" t="str">
        <x:v>D04</x:v>
      </x:c>
      <x:c r="B850" s="5" t="str">
        <x:v>D04-T03</x:v>
      </x:c>
      <x:c r="C850" s="5" t="str">
        <x:v>5.2 Tier 2: Mid-Cap Specialty Innovators &amp; Commercial Players</x:v>
      </x:c>
      <x:c r="D850" s="5" t="n">
        <x:v>258</x:v>
      </x:c>
      <x:c r="E850" s="5" t="n">
        <x:v>3</x:v>
      </x:c>
      <x:c r="F850" s="5" t="str">
        <x:v>Annual Revenue</x:v>
      </x:c>
      <x:c r="G850" s="5" t="n">
        <x:v>1</x:v>
      </x:c>
      <x:c r="H850" s="5" t="n">
        <x:v>1</x:v>
      </x:c>
      <x:c r="I850" s="5" t="str">
        <x:v>SEK 484.8M</x:v>
      </x:c>
      <x:c r="J850" s="5" t="str">
        <x:v>SOURCE QUOTE; unvalidated / superseded assessments</x:v>
      </x:c>
      <x:c r="L850" s="31" t="str">
        <x:v>D04, Markdown line 258; http://nas-1.tail55d152.ts.net:4100/static/2S_PHARMACEUTICALS_AND_CHEMICALS_SECTOR_DOSSIER.html</x:v>
      </x:c>
    </x:row>
    <x:row r="851" ht="42" customHeight="1">
      <x:c r="A851" s="5" t="str">
        <x:v>D04</x:v>
      </x:c>
      <x:c r="B851" s="5" t="str">
        <x:v>D04-T03</x:v>
      </x:c>
      <x:c r="C851" s="5" t="str">
        <x:v>5.2 Tier 2: Mid-Cap Specialty Innovators &amp; Commercial Players</x:v>
      </x:c>
      <x:c r="D851" s="5" t="n">
        <x:v>258</x:v>
      </x:c>
      <x:c r="E851" s="5" t="n">
        <x:v>4</x:v>
      </x:c>
      <x:c r="F851" s="5" t="str">
        <x:v>Annual R&amp;D Spend</x:v>
      </x:c>
      <x:c r="G851" s="5" t="n">
        <x:v>1</x:v>
      </x:c>
      <x:c r="H851" s="5" t="n">
        <x:v>1</x:v>
      </x:c>
      <x:c r="I851" s="5" t="str">
        <x:v>SEK 38.5M</x:v>
      </x:c>
      <x:c r="J851" s="5" t="str">
        <x:v>SOURCE QUOTE; unvalidated / superseded assessments</x:v>
      </x:c>
      <x:c r="L851" s="31" t="str">
        <x:v>D04, Markdown line 258; http://nas-1.tail55d152.ts.net:4100/static/2S_PHARMACEUTICALS_AND_CHEMICALS_SECTOR_DOSSIER.html</x:v>
      </x:c>
    </x:row>
    <x:row r="852" ht="42" customHeight="1">
      <x:c r="A852" s="5" t="str">
        <x:v>D04</x:v>
      </x:c>
      <x:c r="B852" s="5" t="str">
        <x:v>D04-T03</x:v>
      </x:c>
      <x:c r="C852" s="5" t="str">
        <x:v>5.2 Tier 2: Mid-Cap Specialty Innovators &amp; Commercial Players</x:v>
      </x:c>
      <x:c r="D852" s="5" t="n">
        <x:v>258</x:v>
      </x:c>
      <x:c r="E852" s="5" t="n">
        <x:v>5</x:v>
      </x:c>
      <x:c r="F852" s="5" t="str">
        <x:v>Core Modality &amp; Therapeutic Focus</x:v>
      </x:c>
      <x:c r="G852" s="5" t="n">
        <x:v>1</x:v>
      </x:c>
      <x:c r="H852" s="5" t="n">
        <x:v>1</x:v>
      </x:c>
      <x:c r="I852" s="5" t="str">
        <x:v>Generic pharmaceuticals, solid dose formulations, wide European distribution.</x:v>
      </x:c>
      <x:c r="J852" s="5" t="str">
        <x:v>SOURCE QUOTE; unvalidated / superseded assessments</x:v>
      </x:c>
      <x:c r="L852" s="31" t="str">
        <x:v>D04, Markdown line 258; http://nas-1.tail55d152.ts.net:4100/static/2S_PHARMACEUTICALS_AND_CHEMICALS_SECTOR_DOSSIER.html</x:v>
      </x:c>
    </x:row>
    <x:row r="853" ht="42" customHeight="1">
      <x:c r="A853" s="5" t="str">
        <x:v>D04</x:v>
      </x:c>
      <x:c r="B853" s="5" t="str">
        <x:v>D04-T03</x:v>
      </x:c>
      <x:c r="C853" s="5" t="str">
        <x:v>5.2 Tier 2: Mid-Cap Specialty Innovators &amp; Commercial Players</x:v>
      </x:c>
      <x:c r="D853" s="5" t="n">
        <x:v>258</x:v>
      </x:c>
      <x:c r="E853" s="5" t="n">
        <x:v>6</x:v>
      </x:c>
      <x:c r="F853" s="5" t="str">
        <x:v>Key Structural Pain Point</x:v>
      </x:c>
      <x:c r="G853" s="5" t="n">
        <x:v>1</x:v>
      </x:c>
      <x:c r="H853" s="5" t="n">
        <x:v>1</x:v>
      </x:c>
      <x:c r="I853" s="5" t="str">
        <x:v>Extreme margin compression from Asian generic manufacturers; complex inventory carrying costs across 15+ European markets.</x:v>
      </x:c>
      <x:c r="J853" s="5" t="str">
        <x:v>SOURCE QUOTE; unvalidated / superseded assessments</x:v>
      </x:c>
      <x:c r="L853" s="31" t="str">
        <x:v>D04, Markdown line 258; http://nas-1.tail55d152.ts.net:4100/static/2S_PHARMACEUTICALS_AND_CHEMICALS_SECTOR_DOSSIER.html</x:v>
      </x:c>
    </x:row>
    <x:row r="854" ht="42" customHeight="1">
      <x:c r="A854" s="5" t="str">
        <x:v>D04</x:v>
      </x:c>
      <x:c r="B854" s="5" t="str">
        <x:v>D04-T03</x:v>
      </x:c>
      <x:c r="C854" s="5" t="str">
        <x:v>5.2 Tier 2: Mid-Cap Specialty Innovators &amp; Commercial Players</x:v>
      </x:c>
      <x:c r="D854" s="5" t="n">
        <x:v>258</x:v>
      </x:c>
      <x:c r="E854" s="5" t="n">
        <x:v>7</x:v>
      </x:c>
      <x:c r="F854" s="5" t="str">
        <x:v>2S Consulting &amp; Numantra Strategic Lever</x:v>
      </x:c>
      <x:c r="G854" s="5" t="n">
        <x:v>1</x:v>
      </x:c>
      <x:c r="H854" s="5" t="n">
        <x:v>1</x:v>
      </x:c>
      <x:c r="I854" s="5" t="str">
        <x:v>Product/Customer Mix Rationalization: Eliminating negative-contribution SKUs and distributor rebate leakage.</x:v>
      </x:c>
      <x:c r="J854" s="5" t="str">
        <x:v>SOURCE QUOTE; unvalidated / superseded assessments</x:v>
      </x:c>
      <x:c r="L854" s="31" t="str">
        <x:v>D04, Markdown line 258; http://nas-1.tail55d152.ts.net:4100/static/2S_PHARMACEUTICALS_AND_CHEMICALS_SECTOR_DOSSIER.html</x:v>
      </x:c>
    </x:row>
    <x:row r="855" ht="42" customHeight="1">
      <x:c r="A855" s="5" t="str">
        <x:v>D04</x:v>
      </x:c>
      <x:c r="B855" s="5" t="str">
        <x:v>D04-T03</x:v>
      </x:c>
      <x:c r="C855" s="5" t="str">
        <x:v>5.2 Tier 2: Mid-Cap Specialty Innovators &amp; Commercial Players</x:v>
      </x:c>
      <x:c r="D855" s="5" t="n">
        <x:v>259</x:v>
      </x:c>
      <x:c r="E855" s="5" t="n">
        <x:v>1</x:v>
      </x:c>
      <x:c r="F855" s="5" t="str">
        <x:v>Company</x:v>
      </x:c>
      <x:c r="G855" s="5" t="n">
        <x:v>1</x:v>
      </x:c>
      <x:c r="H855" s="5" t="n">
        <x:v>1</x:v>
      </x:c>
      <x:c r="I855" s="5" t="str">
        <x:v>Avia Pharma AB</x:v>
      </x:c>
      <x:c r="J855" s="5" t="str">
        <x:v>SOURCE QUOTE; unvalidated / superseded assessments</x:v>
      </x:c>
      <x:c r="L855" s="31" t="str">
        <x:v>D04, Markdown line 259; http://nas-1.tail55d152.ts.net:4100/static/2S_PHARMACEUTICALS_AND_CHEMICALS_SECTOR_DOSSIER.html</x:v>
      </x:c>
    </x:row>
    <x:row r="856" ht="42" customHeight="1">
      <x:c r="A856" s="5" t="str">
        <x:v>D04</x:v>
      </x:c>
      <x:c r="B856" s="5" t="str">
        <x:v>D04-T03</x:v>
      </x:c>
      <x:c r="C856" s="5" t="str">
        <x:v>5.2 Tier 2: Mid-Cap Specialty Innovators &amp; Commercial Players</x:v>
      </x:c>
      <x:c r="D856" s="5" t="n">
        <x:v>259</x:v>
      </x:c>
      <x:c r="E856" s="5" t="n">
        <x:v>2</x:v>
      </x:c>
      <x:c r="F856" s="5" t="str">
        <x:v>HQ &amp; Key Sites</x:v>
      </x:c>
      <x:c r="G856" s="5" t="n">
        <x:v>1</x:v>
      </x:c>
      <x:c r="H856" s="5" t="n">
        <x:v>1</x:v>
      </x:c>
      <x:c r="I856" s="5" t="str">
        <x:v>Stockholm, SE</x:v>
      </x:c>
      <x:c r="J856" s="5" t="str">
        <x:v>SOURCE QUOTE; unvalidated / superseded assessments</x:v>
      </x:c>
      <x:c r="L856" s="31" t="str">
        <x:v>D04, Markdown line 259; http://nas-1.tail55d152.ts.net:4100/static/2S_PHARMACEUTICALS_AND_CHEMICALS_SECTOR_DOSSIER.html</x:v>
      </x:c>
    </x:row>
    <x:row r="857" ht="42" customHeight="1">
      <x:c r="A857" s="5" t="str">
        <x:v>D04</x:v>
      </x:c>
      <x:c r="B857" s="5" t="str">
        <x:v>D04-T03</x:v>
      </x:c>
      <x:c r="C857" s="5" t="str">
        <x:v>5.2 Tier 2: Mid-Cap Specialty Innovators &amp; Commercial Players</x:v>
      </x:c>
      <x:c r="D857" s="5" t="n">
        <x:v>259</x:v>
      </x:c>
      <x:c r="E857" s="5" t="n">
        <x:v>3</x:v>
      </x:c>
      <x:c r="F857" s="5" t="str">
        <x:v>Annual Revenue</x:v>
      </x:c>
      <x:c r="G857" s="5" t="n">
        <x:v>1</x:v>
      </x:c>
      <x:c r="H857" s="5" t="n">
        <x:v>1</x:v>
      </x:c>
      <x:c r="I857" s="5" t="str">
        <x:v>SEK 320M est.</x:v>
      </x:c>
      <x:c r="J857" s="5" t="str">
        <x:v>SOURCE QUOTE; unvalidated / superseded assessments</x:v>
      </x:c>
      <x:c r="L857" s="31" t="str">
        <x:v>D04, Markdown line 259; http://nas-1.tail55d152.ts.net:4100/static/2S_PHARMACEUTICALS_AND_CHEMICALS_SECTOR_DOSSIER.html</x:v>
      </x:c>
    </x:row>
    <x:row r="858" ht="42" customHeight="1">
      <x:c r="A858" s="5" t="str">
        <x:v>D04</x:v>
      </x:c>
      <x:c r="B858" s="5" t="str">
        <x:v>D04-T03</x:v>
      </x:c>
      <x:c r="C858" s="5" t="str">
        <x:v>5.2 Tier 2: Mid-Cap Specialty Innovators &amp; Commercial Players</x:v>
      </x:c>
      <x:c r="D858" s="5" t="n">
        <x:v>259</x:v>
      </x:c>
      <x:c r="E858" s="5" t="n">
        <x:v>4</x:v>
      </x:c>
      <x:c r="F858" s="5" t="str">
        <x:v>Annual R&amp;D Spend</x:v>
      </x:c>
      <x:c r="G858" s="5" t="n">
        <x:v>1</x:v>
      </x:c>
      <x:c r="H858" s="5" t="n">
        <x:v>1</x:v>
      </x:c>
      <x:c r="I858" s="5" t="str">
        <x:v>SEK 15M est.</x:v>
      </x:c>
      <x:c r="J858" s="5" t="str">
        <x:v>SOURCE QUOTE; unvalidated / superseded assessments</x:v>
      </x:c>
      <x:c r="L858" s="31" t="str">
        <x:v>D04, Markdown line 259; http://nas-1.tail55d152.ts.net:4100/static/2S_PHARMACEUTICALS_AND_CHEMICALS_SECTOR_DOSSIER.html</x:v>
      </x:c>
    </x:row>
    <x:row r="859" ht="42" customHeight="1">
      <x:c r="A859" s="5" t="str">
        <x:v>D04</x:v>
      </x:c>
      <x:c r="B859" s="5" t="str">
        <x:v>D04-T03</x:v>
      </x:c>
      <x:c r="C859" s="5" t="str">
        <x:v>5.2 Tier 2: Mid-Cap Specialty Innovators &amp; Commercial Players</x:v>
      </x:c>
      <x:c r="D859" s="5" t="n">
        <x:v>259</x:v>
      </x:c>
      <x:c r="E859" s="5" t="n">
        <x:v>5</x:v>
      </x:c>
      <x:c r="F859" s="5" t="str">
        <x:v>Core Modality &amp; Therapeutic Focus</x:v>
      </x:c>
      <x:c r="G859" s="5" t="n">
        <x:v>1</x:v>
      </x:c>
      <x:c r="H859" s="5" t="n">
        <x:v>1</x:v>
      </x:c>
      <x:c r="I859" s="5" t="str">
        <x:v>Commercial distributor of prescription, OTC, and specialty pharmaceuticals in the Nordics.</x:v>
      </x:c>
      <x:c r="J859" s="5" t="str">
        <x:v>SOURCE QUOTE; unvalidated / superseded assessments</x:v>
      </x:c>
      <x:c r="L859" s="31" t="str">
        <x:v>D04, Markdown line 259; http://nas-1.tail55d152.ts.net:4100/static/2S_PHARMACEUTICALS_AND_CHEMICALS_SECTOR_DOSSIER.html</x:v>
      </x:c>
    </x:row>
    <x:row r="860" ht="42" customHeight="1">
      <x:c r="A860" s="5" t="str">
        <x:v>D04</x:v>
      </x:c>
      <x:c r="B860" s="5" t="str">
        <x:v>D04-T03</x:v>
      </x:c>
      <x:c r="C860" s="5" t="str">
        <x:v>5.2 Tier 2: Mid-Cap Specialty Innovators &amp; Commercial Players</x:v>
      </x:c>
      <x:c r="D860" s="5" t="n">
        <x:v>259</x:v>
      </x:c>
      <x:c r="E860" s="5" t="n">
        <x:v>6</x:v>
      </x:c>
      <x:c r="F860" s="5" t="str">
        <x:v>Key Structural Pain Point</x:v>
      </x:c>
      <x:c r="G860" s="5" t="n">
        <x:v>1</x:v>
      </x:c>
      <x:c r="H860" s="5" t="n">
        <x:v>1</x:v>
      </x:c>
      <x:c r="I860" s="5" t="str">
        <x:v>Manual sales aggregation across multiple pharmacy chains; wholesaler credit reconciliation.</x:v>
      </x:c>
      <x:c r="J860" s="5" t="str">
        <x:v>SOURCE QUOTE; unvalidated / superseded assessments</x:v>
      </x:c>
      <x:c r="L860" s="31" t="str">
        <x:v>D04, Markdown line 259; http://nas-1.tail55d152.ts.net:4100/static/2S_PHARMACEUTICALS_AND_CHEMICALS_SECTOR_DOSSIER.html</x:v>
      </x:c>
    </x:row>
    <x:row r="861" ht="42" customHeight="1">
      <x:c r="A861" s="5" t="str">
        <x:v>D04</x:v>
      </x:c>
      <x:c r="B861" s="5" t="str">
        <x:v>D04-T03</x:v>
      </x:c>
      <x:c r="C861" s="5" t="str">
        <x:v>5.2 Tier 2: Mid-Cap Specialty Innovators &amp; Commercial Players</x:v>
      </x:c>
      <x:c r="D861" s="5" t="n">
        <x:v>259</x:v>
      </x:c>
      <x:c r="E861" s="5" t="n">
        <x:v>7</x:v>
      </x:c>
      <x:c r="F861" s="5" t="str">
        <x:v>2S Consulting &amp; Numantra Strategic Lever</x:v>
      </x:c>
      <x:c r="G861" s="5" t="n">
        <x:v>1</x:v>
      </x:c>
      <x:c r="H861" s="5" t="n">
        <x:v>1</x:v>
      </x:c>
      <x:c r="I861" s="5" t="str">
        <x:v>Wholesaler &amp; Pharmacy POS Data Integration Console.</x:v>
      </x:c>
      <x:c r="J861" s="5" t="str">
        <x:v>SOURCE QUOTE; unvalidated / superseded assessments</x:v>
      </x:c>
      <x:c r="L861" s="31" t="str">
        <x:v>D04, Markdown line 259; http://nas-1.tail55d152.ts.net:4100/static/2S_PHARMACEUTICALS_AND_CHEMICALS_SECTOR_DOSSIER.html</x:v>
      </x:c>
    </x:row>
    <x:row r="862" ht="42" customHeight="1">
      <x:c r="A862" s="5" t="str">
        <x:v>D04</x:v>
      </x:c>
      <x:c r="B862" s="5" t="str">
        <x:v>D04-T04</x:v>
      </x:c>
      <x:c r="C862" s="5" t="str">
        <x:v>5.3 Tier 3: Chemical Synthesis, API &amp; CDMO Powerhouses</x:v>
      </x:c>
      <x:c r="D862" s="5" t="n">
        <x:v>265</x:v>
      </x:c>
      <x:c r="E862" s="5" t="n">
        <x:v>1</x:v>
      </x:c>
      <x:c r="F862" s="5" t="str">
        <x:v>Company</x:v>
      </x:c>
      <x:c r="G862" s="5" t="n">
        <x:v>1</x:v>
      </x:c>
      <x:c r="H862" s="5" t="n">
        <x:v>1</x:v>
      </x:c>
      <x:c r="I862" s="5" t="str">
        <x:v>Cambrex Karlskoga AB</x:v>
      </x:c>
      <x:c r="J862" s="5" t="str">
        <x:v>SOURCE QUOTE; unvalidated / superseded assessments</x:v>
      </x:c>
      <x:c r="L862" s="31" t="str">
        <x:v>D04, Markdown line 265; http://nas-1.tail55d152.ts.net:4100/static/2S_PHARMACEUTICALS_AND_CHEMICALS_SECTOR_DOSSIER.html</x:v>
      </x:c>
    </x:row>
    <x:row r="863" ht="42" customHeight="1">
      <x:c r="A863" s="5" t="str">
        <x:v>D04</x:v>
      </x:c>
      <x:c r="B863" s="5" t="str">
        <x:v>D04-T04</x:v>
      </x:c>
      <x:c r="C863" s="5" t="str">
        <x:v>5.3 Tier 3: Chemical Synthesis, API &amp; CDMO Powerhouses</x:v>
      </x:c>
      <x:c r="D863" s="5" t="n">
        <x:v>265</x:v>
      </x:c>
      <x:c r="E863" s="5" t="n">
        <x:v>2</x:v>
      </x:c>
      <x:c r="F863" s="5" t="str">
        <x:v>HQ &amp; Key Sites</x:v>
      </x:c>
      <x:c r="G863" s="5" t="n">
        <x:v>1</x:v>
      </x:c>
      <x:c r="H863" s="5" t="n">
        <x:v>1</x:v>
      </x:c>
      <x:c r="I863" s="5" t="str">
        <x:v>Karlskoga, SE</x:v>
      </x:c>
      <x:c r="J863" s="5" t="str">
        <x:v>SOURCE QUOTE; unvalidated / superseded assessments</x:v>
      </x:c>
      <x:c r="L863" s="31" t="str">
        <x:v>D04, Markdown line 265; http://nas-1.tail55d152.ts.net:4100/static/2S_PHARMACEUTICALS_AND_CHEMICALS_SECTOR_DOSSIER.html</x:v>
      </x:c>
    </x:row>
    <x:row r="864" ht="42" customHeight="1">
      <x:c r="A864" s="5" t="str">
        <x:v>D04</x:v>
      </x:c>
      <x:c r="B864" s="5" t="str">
        <x:v>D04-T04</x:v>
      </x:c>
      <x:c r="C864" s="5" t="str">
        <x:v>5.3 Tier 3: Chemical Synthesis, API &amp; CDMO Powerhouses</x:v>
      </x:c>
      <x:c r="D864" s="5" t="n">
        <x:v>265</x:v>
      </x:c>
      <x:c r="E864" s="5" t="n">
        <x:v>3</x:v>
      </x:c>
      <x:c r="F864" s="5" t="str">
        <x:v>Annual Revenue</x:v>
      </x:c>
      <x:c r="G864" s="5" t="n">
        <x:v>1</x:v>
      </x:c>
      <x:c r="H864" s="5" t="n">
        <x:v>1</x:v>
      </x:c>
      <x:c r="I864" s="5" t="str">
        <x:v>~SEK 1,250M ($700M Global)</x:v>
      </x:c>
      <x:c r="J864" s="5" t="str">
        <x:v>SOURCE QUOTE; unvalidated / superseded assessments</x:v>
      </x:c>
      <x:c r="L864" s="31" t="str">
        <x:v>D04, Markdown line 265; http://nas-1.tail55d152.ts.net:4100/static/2S_PHARMACEUTICALS_AND_CHEMICALS_SECTOR_DOSSIER.html</x:v>
      </x:c>
    </x:row>
    <x:row r="865" ht="42" customHeight="1">
      <x:c r="A865" s="5" t="str">
        <x:v>D04</x:v>
      </x:c>
      <x:c r="B865" s="5" t="str">
        <x:v>D04-T04</x:v>
      </x:c>
      <x:c r="C865" s="5" t="str">
        <x:v>5.3 Tier 3: Chemical Synthesis, API &amp; CDMO Powerhouses</x:v>
      </x:c>
      <x:c r="D865" s="5" t="n">
        <x:v>265</x:v>
      </x:c>
      <x:c r="E865" s="5" t="n">
        <x:v>4</x:v>
      </x:c>
      <x:c r="F865" s="5" t="str">
        <x:v>Annual R&amp;D Spend</x:v>
      </x:c>
      <x:c r="G865" s="5" t="n">
        <x:v>1</x:v>
      </x:c>
      <x:c r="H865" s="5" t="n">
        <x:v>1</x:v>
      </x:c>
      <x:c r="I865" s="5" t="str">
        <x:v>~SEK 65M ($50M Global)</x:v>
      </x:c>
      <x:c r="J865" s="5" t="str">
        <x:v>SOURCE QUOTE; unvalidated / superseded assessments</x:v>
      </x:c>
      <x:c r="L865" s="31" t="str">
        <x:v>D04, Markdown line 265; http://nas-1.tail55d152.ts.net:4100/static/2S_PHARMACEUTICALS_AND_CHEMICALS_SECTOR_DOSSIER.html</x:v>
      </x:c>
    </x:row>
    <x:row r="866" ht="42" customHeight="1">
      <x:c r="A866" s="5" t="str">
        <x:v>D04</x:v>
      </x:c>
      <x:c r="B866" s="5" t="str">
        <x:v>D04-T04</x:v>
      </x:c>
      <x:c r="C866" s="5" t="str">
        <x:v>5.3 Tier 3: Chemical Synthesis, API &amp; CDMO Powerhouses</x:v>
      </x:c>
      <x:c r="D866" s="5" t="n">
        <x:v>265</x:v>
      </x:c>
      <x:c r="E866" s="5" t="n">
        <x:v>5</x:v>
      </x:c>
      <x:c r="F866" s="5" t="str">
        <x:v>Core Modality &amp; Therapeutic Focus</x:v>
      </x:c>
      <x:c r="G866" s="5" t="n">
        <x:v>1</x:v>
      </x:c>
      <x:c r="H866" s="5" t="n">
        <x:v>1</x:v>
      </x:c>
      <x:c r="I866" s="5" t="str">
        <x:v>Small molecule chemical synthesis, energetic chemistry (nitration), HPAPIs, continuous flow.</x:v>
      </x:c>
      <x:c r="J866" s="5" t="str">
        <x:v>SOURCE QUOTE; unvalidated / superseded assessments</x:v>
      </x:c>
      <x:c r="L866" s="31" t="str">
        <x:v>D04, Markdown line 265; http://nas-1.tail55d152.ts.net:4100/static/2S_PHARMACEUTICALS_AND_CHEMICALS_SECTOR_DOSSIER.html</x:v>
      </x:c>
    </x:row>
    <x:row r="867" ht="42" customHeight="1">
      <x:c r="A867" s="5" t="str">
        <x:v>D04</x:v>
      </x:c>
      <x:c r="B867" s="5" t="str">
        <x:v>D04-T04</x:v>
      </x:c>
      <x:c r="C867" s="5" t="str">
        <x:v>5.3 Tier 3: Chemical Synthesis, API &amp; CDMO Powerhouses</x:v>
      </x:c>
      <x:c r="D867" s="5" t="n">
        <x:v>265</x:v>
      </x:c>
      <x:c r="E867" s="5" t="n">
        <x:v>6</x:v>
      </x:c>
      <x:c r="F867" s="5" t="str">
        <x:v>Key Structural Pain Point</x:v>
      </x:c>
      <x:c r="G867" s="5" t="n">
        <x:v>1</x:v>
      </x:c>
      <x:c r="H867" s="5" t="n">
        <x:v>1</x:v>
      </x:c>
      <x:c r="I867" s="5" t="str">
        <x:v>Escalating solvent and energy costs; batch scheduling friction in multi-purpose synthesis reactors; client yield audits.</x:v>
      </x:c>
      <x:c r="J867" s="5" t="str">
        <x:v>SOURCE QUOTE; unvalidated / superseded assessments</x:v>
      </x:c>
      <x:c r="L867" s="31" t="str">
        <x:v>D04, Markdown line 265; http://nas-1.tail55d152.ts.net:4100/static/2S_PHARMACEUTICALS_AND_CHEMICALS_SECTOR_DOSSIER.html</x:v>
      </x:c>
    </x:row>
    <x:row r="868" ht="42" customHeight="1">
      <x:c r="A868" s="5" t="str">
        <x:v>D04</x:v>
      </x:c>
      <x:c r="B868" s="5" t="str">
        <x:v>D04-T04</x:v>
      </x:c>
      <x:c r="C868" s="5" t="str">
        <x:v>5.3 Tier 3: Chemical Synthesis, API &amp; CDMO Powerhouses</x:v>
      </x:c>
      <x:c r="D868" s="5" t="n">
        <x:v>265</x:v>
      </x:c>
      <x:c r="E868" s="5" t="n">
        <x:v>7</x:v>
      </x:c>
      <x:c r="F868" s="5" t="str">
        <x:v>2S Consulting &amp; Numantra Strategic Lever</x:v>
      </x:c>
      <x:c r="G868" s="5" t="n">
        <x:v>1</x:v>
      </x:c>
      <x:c r="H868" s="5" t="n">
        <x:v>1</x:v>
      </x:c>
      <x:c r="I868" s="5" t="str">
        <x:v>API Margin Defense Suite: Synthesis yield optimization; multi-reactor batch leveling; continuous flow economic ROI modeling.</x:v>
      </x:c>
      <x:c r="J868" s="5" t="str">
        <x:v>SOURCE QUOTE; unvalidated / superseded assessments</x:v>
      </x:c>
      <x:c r="L868" s="31" t="str">
        <x:v>D04, Markdown line 265; http://nas-1.tail55d152.ts.net:4100/static/2S_PHARMACEUTICALS_AND_CHEMICALS_SECTOR_DOSSIER.html</x:v>
      </x:c>
    </x:row>
    <x:row r="869" ht="42" customHeight="1">
      <x:c r="A869" s="5" t="str">
        <x:v>D04</x:v>
      </x:c>
      <x:c r="B869" s="5" t="str">
        <x:v>D04-T04</x:v>
      </x:c>
      <x:c r="C869" s="5" t="str">
        <x:v>5.3 Tier 3: Chemical Synthesis, API &amp; CDMO Powerhouses</x:v>
      </x:c>
      <x:c r="D869" s="5" t="n">
        <x:v>266</x:v>
      </x:c>
      <x:c r="E869" s="5" t="n">
        <x:v>1</x:v>
      </x:c>
      <x:c r="F869" s="5" t="str">
        <x:v>Company</x:v>
      </x:c>
      <x:c r="G869" s="5" t="n">
        <x:v>1</x:v>
      </x:c>
      <x:c r="H869" s="5" t="n">
        <x:v>1</x:v>
      </x:c>
      <x:c r="I869" s="5" t="str">
        <x:v>PolyPeptide Group</x:v>
      </x:c>
      <x:c r="J869" s="5" t="str">
        <x:v>SOURCE QUOTE; unvalidated / superseded assessments</x:v>
      </x:c>
      <x:c r="L869" s="31" t="str">
        <x:v>D04, Markdown line 266; http://nas-1.tail55d152.ts.net:4100/static/2S_PHARMACEUTICALS_AND_CHEMICALS_SECTOR_DOSSIER.html</x:v>
      </x:c>
    </x:row>
    <x:row r="870" ht="42" customHeight="1">
      <x:c r="A870" s="5" t="str">
        <x:v>D04</x:v>
      </x:c>
      <x:c r="B870" s="5" t="str">
        <x:v>D04-T04</x:v>
      </x:c>
      <x:c r="C870" s="5" t="str">
        <x:v>5.3 Tier 3: Chemical Synthesis, API &amp; CDMO Powerhouses</x:v>
      </x:c>
      <x:c r="D870" s="5" t="n">
        <x:v>266</x:v>
      </x:c>
      <x:c r="E870" s="5" t="n">
        <x:v>2</x:v>
      </x:c>
      <x:c r="F870" s="5" t="str">
        <x:v>HQ &amp; Key Sites</x:v>
      </x:c>
      <x:c r="G870" s="5" t="n">
        <x:v>1</x:v>
      </x:c>
      <x:c r="H870" s="5" t="n">
        <x:v>1</x:v>
      </x:c>
      <x:c r="I870" s="5" t="str">
        <x:v>Malmö, SE site (HQ Zug, CH)</x:v>
      </x:c>
      <x:c r="J870" s="5" t="str">
        <x:v>SOURCE QUOTE; unvalidated / superseded assessments</x:v>
      </x:c>
      <x:c r="L870" s="31" t="str">
        <x:v>D04, Markdown line 266; http://nas-1.tail55d152.ts.net:4100/static/2S_PHARMACEUTICALS_AND_CHEMICALS_SECTOR_DOSSIER.html</x:v>
      </x:c>
    </x:row>
    <x:row r="871" ht="42" customHeight="1">
      <x:c r="A871" s="5" t="str">
        <x:v>D04</x:v>
      </x:c>
      <x:c r="B871" s="5" t="str">
        <x:v>D04-T04</x:v>
      </x:c>
      <x:c r="C871" s="5" t="str">
        <x:v>5.3 Tier 3: Chemical Synthesis, API &amp; CDMO Powerhouses</x:v>
      </x:c>
      <x:c r="D871" s="5" t="n">
        <x:v>266</x:v>
      </x:c>
      <x:c r="E871" s="5" t="n">
        <x:v>3</x:v>
      </x:c>
      <x:c r="F871" s="5" t="str">
        <x:v>Annual Revenue</x:v>
      </x:c>
      <x:c r="G871" s="5" t="n">
        <x:v>1</x:v>
      </x:c>
      <x:c r="H871" s="5" t="n">
        <x:v>1</x:v>
      </x:c>
      <x:c r="I871" s="5" t="str">
        <x:v>€336.8M (~SEK 3.82B)</x:v>
      </x:c>
      <x:c r="J871" s="5" t="str">
        <x:v>SOURCE QUOTE; unvalidated / superseded assessments</x:v>
      </x:c>
      <x:c r="L871" s="31" t="str">
        <x:v>D04, Markdown line 266; http://nas-1.tail55d152.ts.net:4100/static/2S_PHARMACEUTICALS_AND_CHEMICALS_SECTOR_DOSSIER.html</x:v>
      </x:c>
    </x:row>
    <x:row r="872" ht="42" customHeight="1">
      <x:c r="A872" s="5" t="str">
        <x:v>D04</x:v>
      </x:c>
      <x:c r="B872" s="5" t="str">
        <x:v>D04-T04</x:v>
      </x:c>
      <x:c r="C872" s="5" t="str">
        <x:v>5.3 Tier 3: Chemical Synthesis, API &amp; CDMO Powerhouses</x:v>
      </x:c>
      <x:c r="D872" s="5" t="n">
        <x:v>266</x:v>
      </x:c>
      <x:c r="E872" s="5" t="n">
        <x:v>4</x:v>
      </x:c>
      <x:c r="F872" s="5" t="str">
        <x:v>Annual R&amp;D Spend</x:v>
      </x:c>
      <x:c r="G872" s="5" t="n">
        <x:v>1</x:v>
      </x:c>
      <x:c r="H872" s="5" t="n">
        <x:v>1</x:v>
      </x:c>
      <x:c r="I872" s="5" t="str">
        <x:v>€1.1M expensed (+ major CAPEX)</x:v>
      </x:c>
      <x:c r="J872" s="5" t="str">
        <x:v>SOURCE QUOTE; unvalidated / superseded assessments</x:v>
      </x:c>
      <x:c r="L872" s="31" t="str">
        <x:v>D04, Markdown line 266; http://nas-1.tail55d152.ts.net:4100/static/2S_PHARMACEUTICALS_AND_CHEMICALS_SECTOR_DOSSIER.html</x:v>
      </x:c>
    </x:row>
    <x:row r="873" ht="42" customHeight="1">
      <x:c r="A873" s="5" t="str">
        <x:v>D04</x:v>
      </x:c>
      <x:c r="B873" s="5" t="str">
        <x:v>D04-T04</x:v>
      </x:c>
      <x:c r="C873" s="5" t="str">
        <x:v>5.3 Tier 3: Chemical Synthesis, API &amp; CDMO Powerhouses</x:v>
      </x:c>
      <x:c r="D873" s="5" t="n">
        <x:v>266</x:v>
      </x:c>
      <x:c r="E873" s="5" t="n">
        <x:v>5</x:v>
      </x:c>
      <x:c r="F873" s="5" t="str">
        <x:v>Core Modality &amp; Therapeutic Focus</x:v>
      </x:c>
      <x:c r="G873" s="5" t="n">
        <x:v>1</x:v>
      </x:c>
      <x:c r="H873" s="5" t="n">
        <x:v>1</x:v>
      </x:c>
      <x:c r="I873" s="5" t="str">
        <x:v>Solid-phase &amp; liquid-phase peptide synthesis (SPPS/LPPS), oligonucleotides, GLP-1 peptide backbones.</x:v>
      </x:c>
      <x:c r="J873" s="5" t="str">
        <x:v>SOURCE QUOTE; unvalidated / superseded assessments</x:v>
      </x:c>
      <x:c r="L873" s="31" t="str">
        <x:v>D04, Markdown line 266; http://nas-1.tail55d152.ts.net:4100/static/2S_PHARMACEUTICALS_AND_CHEMICALS_SECTOR_DOSSIER.html</x:v>
      </x:c>
    </x:row>
    <x:row r="874" ht="42" customHeight="1">
      <x:c r="A874" s="5" t="str">
        <x:v>D04</x:v>
      </x:c>
      <x:c r="B874" s="5" t="str">
        <x:v>D04-T04</x:v>
      </x:c>
      <x:c r="C874" s="5" t="str">
        <x:v>5.3 Tier 3: Chemical Synthesis, API &amp; CDMO Powerhouses</x:v>
      </x:c>
      <x:c r="D874" s="5" t="n">
        <x:v>266</x:v>
      </x:c>
      <x:c r="E874" s="5" t="n">
        <x:v>6</x:v>
      </x:c>
      <x:c r="F874" s="5" t="str">
        <x:v>Key Structural Pain Point</x:v>
      </x:c>
      <x:c r="G874" s="5" t="n">
        <x:v>1</x:v>
      </x:c>
      <x:c r="H874" s="5" t="n">
        <x:v>1</x:v>
      </x:c>
      <x:c r="I874" s="5" t="str">
        <x:v>Multi-kilogram peptide batch failure risk; high crude yield variance; amino acid raw material supply chain disruptions.</x:v>
      </x:c>
      <x:c r="J874" s="5" t="str">
        <x:v>SOURCE QUOTE; unvalidated / superseded assessments</x:v>
      </x:c>
      <x:c r="L874" s="31" t="str">
        <x:v>D04, Markdown line 266; http://nas-1.tail55d152.ts.net:4100/static/2S_PHARMACEUTICALS_AND_CHEMICALS_SECTOR_DOSSIER.html</x:v>
      </x:c>
    </x:row>
    <x:row r="875" ht="42" customHeight="1">
      <x:c r="A875" s="5" t="str">
        <x:v>D04</x:v>
      </x:c>
      <x:c r="B875" s="5" t="str">
        <x:v>D04-T04</x:v>
      </x:c>
      <x:c r="C875" s="5" t="str">
        <x:v>5.3 Tier 3: Chemical Synthesis, API &amp; CDMO Powerhouses</x:v>
      </x:c>
      <x:c r="D875" s="5" t="n">
        <x:v>266</x:v>
      </x:c>
      <x:c r="E875" s="5" t="n">
        <x:v>7</x:v>
      </x:c>
      <x:c r="F875" s="5" t="str">
        <x:v>2S Consulting &amp; Numantra Strategic Lever</x:v>
      </x:c>
      <x:c r="G875" s="5" t="n">
        <x:v>1</x:v>
      </x:c>
      <x:c r="H875" s="5" t="n">
        <x:v>1</x:v>
      </x:c>
      <x:c r="I875" s="5" t="str">
        <x:v>Batch Synthesis Failure Predictive Analytics; automated raw material price variance tracking; LIMS quality automation.</x:v>
      </x:c>
      <x:c r="J875" s="5" t="str">
        <x:v>SOURCE QUOTE; unvalidated / superseded assessments</x:v>
      </x:c>
      <x:c r="L875" s="31" t="str">
        <x:v>D04, Markdown line 266; http://nas-1.tail55d152.ts.net:4100/static/2S_PHARMACEUTICALS_AND_CHEMICALS_SECTOR_DOSSIER.html</x:v>
      </x:c>
    </x:row>
    <x:row r="876" ht="42" customHeight="1">
      <x:c r="A876" s="5" t="str">
        <x:v>D04</x:v>
      </x:c>
      <x:c r="B876" s="5" t="str">
        <x:v>D04-T04</x:v>
      </x:c>
      <x:c r="C876" s="5" t="str">
        <x:v>5.3 Tier 3: Chemical Synthesis, API &amp; CDMO Powerhouses</x:v>
      </x:c>
      <x:c r="D876" s="5" t="n">
        <x:v>267</x:v>
      </x:c>
      <x:c r="E876" s="5" t="n">
        <x:v>1</x:v>
      </x:c>
      <x:c r="F876" s="5" t="str">
        <x:v>Company</x:v>
      </x:c>
      <x:c r="G876" s="5" t="n">
        <x:v>1</x:v>
      </x:c>
      <x:c r="H876" s="5" t="n">
        <x:v>1</x:v>
      </x:c>
      <x:c r="I876" s="5" t="str">
        <x:v>Recipharm AB</x:v>
      </x:c>
      <x:c r="J876" s="5" t="str">
        <x:v>SOURCE QUOTE; unvalidated / superseded assessments</x:v>
      </x:c>
      <x:c r="L876" s="31" t="str">
        <x:v>D04, Markdown line 267; http://nas-1.tail55d152.ts.net:4100/static/2S_PHARMACEUTICALS_AND_CHEMICALS_SECTOR_DOSSIER.html</x:v>
      </x:c>
    </x:row>
    <x:row r="877" ht="42" customHeight="1">
      <x:c r="A877" s="5" t="str">
        <x:v>D04</x:v>
      </x:c>
      <x:c r="B877" s="5" t="str">
        <x:v>D04-T04</x:v>
      </x:c>
      <x:c r="C877" s="5" t="str">
        <x:v>5.3 Tier 3: Chemical Synthesis, API &amp; CDMO Powerhouses</x:v>
      </x:c>
      <x:c r="D877" s="5" t="n">
        <x:v>267</x:v>
      </x:c>
      <x:c r="E877" s="5" t="n">
        <x:v>2</x:v>
      </x:c>
      <x:c r="F877" s="5" t="str">
        <x:v>HQ &amp; Key Sites</x:v>
      </x:c>
      <x:c r="G877" s="5" t="n">
        <x:v>1</x:v>
      </x:c>
      <x:c r="H877" s="5" t="n">
        <x:v>1</x:v>
      </x:c>
      <x:c r="I877" s="5" t="str">
        <x:v>Stockholm, Uppsala, Karlskoga, SE</x:v>
      </x:c>
      <x:c r="J877" s="5" t="str">
        <x:v>SOURCE QUOTE; unvalidated / superseded assessments</x:v>
      </x:c>
      <x:c r="L877" s="31" t="str">
        <x:v>D04, Markdown line 267; http://nas-1.tail55d152.ts.net:4100/static/2S_PHARMACEUTICALS_AND_CHEMICALS_SECTOR_DOSSIER.html</x:v>
      </x:c>
    </x:row>
    <x:row r="878" ht="42" customHeight="1">
      <x:c r="A878" s="5" t="str">
        <x:v>D04</x:v>
      </x:c>
      <x:c r="B878" s="5" t="str">
        <x:v>D04-T04</x:v>
      </x:c>
      <x:c r="C878" s="5" t="str">
        <x:v>5.3 Tier 3: Chemical Synthesis, API &amp; CDMO Powerhouses</x:v>
      </x:c>
      <x:c r="D878" s="5" t="n">
        <x:v>267</x:v>
      </x:c>
      <x:c r="E878" s="5" t="n">
        <x:v>3</x:v>
      </x:c>
      <x:c r="F878" s="5" t="str">
        <x:v>Annual Revenue</x:v>
      </x:c>
      <x:c r="G878" s="5" t="n">
        <x:v>1</x:v>
      </x:c>
      <x:c r="H878" s="5" t="n">
        <x:v>1</x:v>
      </x:c>
      <x:c r="I878" s="5" t="str">
        <x:v>~SEK 12,400M (~€1.1B)</x:v>
      </x:c>
      <x:c r="J878" s="5" t="str">
        <x:v>SOURCE QUOTE; unvalidated / superseded assessments</x:v>
      </x:c>
      <x:c r="L878" s="31" t="str">
        <x:v>D04, Markdown line 267; http://nas-1.tail55d152.ts.net:4100/static/2S_PHARMACEUTICALS_AND_CHEMICALS_SECTOR_DOSSIER.html</x:v>
      </x:c>
    </x:row>
    <x:row r="879" ht="42" customHeight="1">
      <x:c r="A879" s="5" t="str">
        <x:v>D04</x:v>
      </x:c>
      <x:c r="B879" s="5" t="str">
        <x:v>D04-T04</x:v>
      </x:c>
      <x:c r="C879" s="5" t="str">
        <x:v>5.3 Tier 3: Chemical Synthesis, API &amp; CDMO Powerhouses</x:v>
      </x:c>
      <x:c r="D879" s="5" t="n">
        <x:v>267</x:v>
      </x:c>
      <x:c r="E879" s="5" t="n">
        <x:v>4</x:v>
      </x:c>
      <x:c r="F879" s="5" t="str">
        <x:v>Annual R&amp;D Spend</x:v>
      </x:c>
      <x:c r="G879" s="5" t="n">
        <x:v>1</x:v>
      </x:c>
      <x:c r="H879" s="5" t="n">
        <x:v>1</x:v>
      </x:c>
      <x:c r="I879" s="5" t="str">
        <x:v>~SEK 380M est.</x:v>
      </x:c>
      <x:c r="J879" s="5" t="str">
        <x:v>SOURCE QUOTE; unvalidated / superseded assessments</x:v>
      </x:c>
      <x:c r="L879" s="31" t="str">
        <x:v>D04, Markdown line 267; http://nas-1.tail55d152.ts.net:4100/static/2S_PHARMACEUTICALS_AND_CHEMICALS_SECTOR_DOSSIER.html</x:v>
      </x:c>
    </x:row>
    <x:row r="880" ht="42" customHeight="1">
      <x:c r="A880" s="5" t="str">
        <x:v>D04</x:v>
      </x:c>
      <x:c r="B880" s="5" t="str">
        <x:v>D04-T04</x:v>
      </x:c>
      <x:c r="C880" s="5" t="str">
        <x:v>5.3 Tier 3: Chemical Synthesis, API &amp; CDMO Powerhouses</x:v>
      </x:c>
      <x:c r="D880" s="5" t="n">
        <x:v>267</x:v>
      </x:c>
      <x:c r="E880" s="5" t="n">
        <x:v>5</x:v>
      </x:c>
      <x:c r="F880" s="5" t="str">
        <x:v>Core Modality &amp; Therapeutic Focus</x:v>
      </x:c>
      <x:c r="G880" s="5" t="n">
        <x:v>1</x:v>
      </x:c>
      <x:c r="H880" s="5" t="n">
        <x:v>1</x:v>
      </x:c>
      <x:c r="I880" s="5" t="str">
        <x:v>Global top-5 CDMO; sterile injectables, lyophilization, solid oral dose, inhalation, Advanced Therapy Medicinal Products (ATMPs).</x:v>
      </x:c>
      <x:c r="J880" s="5" t="str">
        <x:v>SOURCE QUOTE; unvalidated / superseded assessments</x:v>
      </x:c>
      <x:c r="L880" s="31" t="str">
        <x:v>D04, Markdown line 267; http://nas-1.tail55d152.ts.net:4100/static/2S_PHARMACEUTICALS_AND_CHEMICALS_SECTOR_DOSSIER.html</x:v>
      </x:c>
    </x:row>
    <x:row r="881" ht="42" customHeight="1">
      <x:c r="A881" s="5" t="str">
        <x:v>D04</x:v>
      </x:c>
      <x:c r="B881" s="5" t="str">
        <x:v>D04-T04</x:v>
      </x:c>
      <x:c r="C881" s="5" t="str">
        <x:v>5.3 Tier 3: Chemical Synthesis, API &amp; CDMO Powerhouses</x:v>
      </x:c>
      <x:c r="D881" s="5" t="n">
        <x:v>267</x:v>
      </x:c>
      <x:c r="E881" s="5" t="n">
        <x:v>6</x:v>
      </x:c>
      <x:c r="F881" s="5" t="str">
        <x:v>Key Structural Pain Point</x:v>
      </x:c>
      <x:c r="G881" s="5" t="n">
        <x:v>1</x:v>
      </x:c>
      <x:c r="H881" s="5" t="n">
        <x:v>1</x:v>
      </x:c>
      <x:c r="I881" s="5" t="str">
        <x:v>Cleanroom batch changeover downtime (sterilization cycles); low-margin legacy client contracts; plant OEE variability across European sites.</x:v>
      </x:c>
      <x:c r="J881" s="5" t="str">
        <x:v>SOURCE QUOTE; unvalidated / superseded assessments</x:v>
      </x:c>
      <x:c r="L881" s="31" t="str">
        <x:v>D04, Markdown line 267; http://nas-1.tail55d152.ts.net:4100/static/2S_PHARMACEUTICALS_AND_CHEMICALS_SECTOR_DOSSIER.html</x:v>
      </x:c>
    </x:row>
    <x:row r="882" ht="42" customHeight="1">
      <x:c r="A882" s="5" t="str">
        <x:v>D04</x:v>
      </x:c>
      <x:c r="B882" s="5" t="str">
        <x:v>D04-T04</x:v>
      </x:c>
      <x:c r="C882" s="5" t="str">
        <x:v>5.3 Tier 3: Chemical Synthesis, API &amp; CDMO Powerhouses</x:v>
      </x:c>
      <x:c r="D882" s="5" t="n">
        <x:v>267</x:v>
      </x:c>
      <x:c r="E882" s="5" t="n">
        <x:v>7</x:v>
      </x:c>
      <x:c r="F882" s="5" t="str">
        <x:v>2S Consulting &amp; Numantra Strategic Lever</x:v>
      </x:c>
      <x:c r="G882" s="5" t="n">
        <x:v>1</x:v>
      </x:c>
      <x:c r="H882" s="5" t="n">
        <x:v>1</x:v>
      </x:c>
      <x:c r="I882" s="5" t="str">
        <x:v>Plant Batch Cycle Compression: Unimark/Matix chemical plant turnaround playbook; cleanroom sterilization scheduling; contract profitability pruning.</x:v>
      </x:c>
      <x:c r="J882" s="5" t="str">
        <x:v>SOURCE QUOTE; unvalidated / superseded assessments</x:v>
      </x:c>
      <x:c r="L882" s="31" t="str">
        <x:v>D04, Markdown line 267; http://nas-1.tail55d152.ts.net:4100/static/2S_PHARMACEUTICALS_AND_CHEMICALS_SECTOR_DOSSIER.html</x:v>
      </x:c>
    </x:row>
    <x:row r="883" ht="42" customHeight="1">
      <x:c r="A883" s="5" t="str">
        <x:v>D04</x:v>
      </x:c>
      <x:c r="B883" s="5" t="str">
        <x:v>D04-T04</x:v>
      </x:c>
      <x:c r="C883" s="5" t="str">
        <x:v>5.3 Tier 3: Chemical Synthesis, API &amp; CDMO Powerhouses</x:v>
      </x:c>
      <x:c r="D883" s="5" t="n">
        <x:v>268</x:v>
      </x:c>
      <x:c r="E883" s="5" t="n">
        <x:v>1</x:v>
      </x:c>
      <x:c r="F883" s="5" t="str">
        <x:v>Company</x:v>
      </x:c>
      <x:c r="G883" s="5" t="n">
        <x:v>1</x:v>
      </x:c>
      <x:c r="H883" s="5" t="n">
        <x:v>1</x:v>
      </x:c>
      <x:c r="I883" s="5" t="str">
        <x:v>Fresenius Kabi Sweden</x:v>
      </x:c>
      <x:c r="J883" s="5" t="str">
        <x:v>SOURCE QUOTE; unvalidated / superseded assessments</x:v>
      </x:c>
      <x:c r="L883" s="31" t="str">
        <x:v>D04, Markdown line 268; http://nas-1.tail55d152.ts.net:4100/static/2S_PHARMACEUTICALS_AND_CHEMICALS_SECTOR_DOSSIER.html</x:v>
      </x:c>
    </x:row>
    <x:row r="884" ht="42" customHeight="1">
      <x:c r="A884" s="5" t="str">
        <x:v>D04</x:v>
      </x:c>
      <x:c r="B884" s="5" t="str">
        <x:v>D04-T04</x:v>
      </x:c>
      <x:c r="C884" s="5" t="str">
        <x:v>5.3 Tier 3: Chemical Synthesis, API &amp; CDMO Powerhouses</x:v>
      </x:c>
      <x:c r="D884" s="5" t="n">
        <x:v>268</x:v>
      </x:c>
      <x:c r="E884" s="5" t="n">
        <x:v>2</x:v>
      </x:c>
      <x:c r="F884" s="5" t="str">
        <x:v>HQ &amp; Key Sites</x:v>
      </x:c>
      <x:c r="G884" s="5" t="n">
        <x:v>1</x:v>
      </x:c>
      <x:c r="H884" s="5" t="n">
        <x:v>1</x:v>
      </x:c>
      <x:c r="I884" s="5" t="str">
        <x:v>Uppsala &amp; Brunna, SE</x:v>
      </x:c>
      <x:c r="J884" s="5" t="str">
        <x:v>SOURCE QUOTE; unvalidated / superseded assessments</x:v>
      </x:c>
      <x:c r="L884" s="31" t="str">
        <x:v>D04, Markdown line 268; http://nas-1.tail55d152.ts.net:4100/static/2S_PHARMACEUTICALS_AND_CHEMICALS_SECTOR_DOSSIER.html</x:v>
      </x:c>
    </x:row>
    <x:row r="885" ht="42" customHeight="1">
      <x:c r="A885" s="5" t="str">
        <x:v>D04</x:v>
      </x:c>
      <x:c r="B885" s="5" t="str">
        <x:v>D04-T04</x:v>
      </x:c>
      <x:c r="C885" s="5" t="str">
        <x:v>5.3 Tier 3: Chemical Synthesis, API &amp; CDMO Powerhouses</x:v>
      </x:c>
      <x:c r="D885" s="5" t="n">
        <x:v>268</x:v>
      </x:c>
      <x:c r="E885" s="5" t="n">
        <x:v>3</x:v>
      </x:c>
      <x:c r="F885" s="5" t="str">
        <x:v>Annual Revenue</x:v>
      </x:c>
      <x:c r="G885" s="5" t="n">
        <x:v>1</x:v>
      </x:c>
      <x:c r="H885" s="5" t="n">
        <x:v>1</x:v>
      </x:c>
      <x:c r="I885" s="5" t="str">
        <x:v>~SEK 4,500M est. (SE operations)</x:v>
      </x:c>
      <x:c r="J885" s="5" t="str">
        <x:v>SOURCE QUOTE; unvalidated / superseded assessments</x:v>
      </x:c>
      <x:c r="L885" s="31" t="str">
        <x:v>D04, Markdown line 268; http://nas-1.tail55d152.ts.net:4100/static/2S_PHARMACEUTICALS_AND_CHEMICALS_SECTOR_DOSSIER.html</x:v>
      </x:c>
    </x:row>
    <x:row r="886" ht="42" customHeight="1">
      <x:c r="A886" s="5" t="str">
        <x:v>D04</x:v>
      </x:c>
      <x:c r="B886" s="5" t="str">
        <x:v>D04-T04</x:v>
      </x:c>
      <x:c r="C886" s="5" t="str">
        <x:v>5.3 Tier 3: Chemical Synthesis, API &amp; CDMO Powerhouses</x:v>
      </x:c>
      <x:c r="D886" s="5" t="n">
        <x:v>268</x:v>
      </x:c>
      <x:c r="E886" s="5" t="n">
        <x:v>4</x:v>
      </x:c>
      <x:c r="F886" s="5" t="str">
        <x:v>Annual R&amp;D Spend</x:v>
      </x:c>
      <x:c r="G886" s="5" t="n">
        <x:v>1</x:v>
      </x:c>
      <x:c r="H886" s="5" t="n">
        <x:v>1</x:v>
      </x:c>
      <x:c r="I886" s="5" t="str">
        <x:v>~SEK 150M est.</x:v>
      </x:c>
      <x:c r="J886" s="5" t="str">
        <x:v>SOURCE QUOTE; unvalidated / superseded assessments</x:v>
      </x:c>
      <x:c r="L886" s="31" t="str">
        <x:v>D04, Markdown line 268; http://nas-1.tail55d152.ts.net:4100/static/2S_PHARMACEUTICALS_AND_CHEMICALS_SECTOR_DOSSIER.html</x:v>
      </x:c>
    </x:row>
    <x:row r="887" ht="42" customHeight="1">
      <x:c r="A887" s="5" t="str">
        <x:v>D04</x:v>
      </x:c>
      <x:c r="B887" s="5" t="str">
        <x:v>D04-T04</x:v>
      </x:c>
      <x:c r="C887" s="5" t="str">
        <x:v>5.3 Tier 3: Chemical Synthesis, API &amp; CDMO Powerhouses</x:v>
      </x:c>
      <x:c r="D887" s="5" t="n">
        <x:v>268</x:v>
      </x:c>
      <x:c r="E887" s="5" t="n">
        <x:v>5</x:v>
      </x:c>
      <x:c r="F887" s="5" t="str">
        <x:v>Core Modality &amp; Therapeutic Focus</x:v>
      </x:c>
      <x:c r="G887" s="5" t="n">
        <x:v>1</x:v>
      </x:c>
      <x:c r="H887" s="5" t="n">
        <x:v>1</x:v>
      </x:c>
      <x:c r="I887" s="5" t="str">
        <x:v>Intravenous nutrition, lipid emulsions, parenteral nutrition bags, sterile compounding.</x:v>
      </x:c>
      <x:c r="J887" s="5" t="str">
        <x:v>SOURCE QUOTE; unvalidated / superseded assessments</x:v>
      </x:c>
      <x:c r="L887" s="31" t="str">
        <x:v>D04, Markdown line 268; http://nas-1.tail55d152.ts.net:4100/static/2S_PHARMACEUTICALS_AND_CHEMICALS_SECTOR_DOSSIER.html</x:v>
      </x:c>
    </x:row>
    <x:row r="888" ht="42" customHeight="1">
      <x:c r="A888" s="5" t="str">
        <x:v>D04</x:v>
      </x:c>
      <x:c r="B888" s="5" t="str">
        <x:v>D04-T04</x:v>
      </x:c>
      <x:c r="C888" s="5" t="str">
        <x:v>5.3 Tier 3: Chemical Synthesis, API &amp; CDMO Powerhouses</x:v>
      </x:c>
      <x:c r="D888" s="5" t="n">
        <x:v>268</x:v>
      </x:c>
      <x:c r="E888" s="5" t="n">
        <x:v>6</x:v>
      </x:c>
      <x:c r="F888" s="5" t="str">
        <x:v>Key Structural Pain Point</x:v>
      </x:c>
      <x:c r="G888" s="5" t="n">
        <x:v>1</x:v>
      </x:c>
      <x:c r="H888" s="5" t="n">
        <x:v>1</x:v>
      </x:c>
      <x:c r="I888" s="5" t="str">
        <x:v>Complex aseptic cleanroom maintenance; glass vial shortage risks; high energy consumption in thermal sterilization.</x:v>
      </x:c>
      <x:c r="J888" s="5" t="str">
        <x:v>SOURCE QUOTE; unvalidated / superseded assessments</x:v>
      </x:c>
      <x:c r="L888" s="31" t="str">
        <x:v>D04, Markdown line 268; http://nas-1.tail55d152.ts.net:4100/static/2S_PHARMACEUTICALS_AND_CHEMICALS_SECTOR_DOSSIER.html</x:v>
      </x:c>
    </x:row>
    <x:row r="889" ht="42" customHeight="1">
      <x:c r="A889" s="5" t="str">
        <x:v>D04</x:v>
      </x:c>
      <x:c r="B889" s="5" t="str">
        <x:v>D04-T04</x:v>
      </x:c>
      <x:c r="C889" s="5" t="str">
        <x:v>5.3 Tier 3: Chemical Synthesis, API &amp; CDMO Powerhouses</x:v>
      </x:c>
      <x:c r="D889" s="5" t="n">
        <x:v>268</x:v>
      </x:c>
      <x:c r="E889" s="5" t="n">
        <x:v>7</x:v>
      </x:c>
      <x:c r="F889" s="5" t="str">
        <x:v>2S Consulting &amp; Numantra Strategic Lever</x:v>
      </x:c>
      <x:c r="G889" s="5" t="n">
        <x:v>1</x:v>
      </x:c>
      <x:c r="H889" s="5" t="n">
        <x:v>1</x:v>
      </x:c>
      <x:c r="I889" s="5" t="str">
        <x:v>Energy &amp; Consumables Cost Accounting; predictive maintenance scheduling for high-speed filling lines.</x:v>
      </x:c>
      <x:c r="J889" s="5" t="str">
        <x:v>SOURCE QUOTE; unvalidated / superseded assessments</x:v>
      </x:c>
      <x:c r="L889" s="31" t="str">
        <x:v>D04, Markdown line 268; http://nas-1.tail55d152.ts.net:4100/static/2S_PHARMACEUTICALS_AND_CHEMICALS_SECTOR_DOSSIER.html</x:v>
      </x:c>
    </x:row>
    <x:row r="890" ht="42" customHeight="1">
      <x:c r="A890" s="5" t="str">
        <x:v>D04</x:v>
      </x:c>
      <x:c r="B890" s="5" t="str">
        <x:v>D04-T04</x:v>
      </x:c>
      <x:c r="C890" s="5" t="str">
        <x:v>5.3 Tier 3: Chemical Synthesis, API &amp; CDMO Powerhouses</x:v>
      </x:c>
      <x:c r="D890" s="5" t="n">
        <x:v>269</x:v>
      </x:c>
      <x:c r="E890" s="5" t="n">
        <x:v>1</x:v>
      </x:c>
      <x:c r="F890" s="5" t="str">
        <x:v>Company</x:v>
      </x:c>
      <x:c r="G890" s="5" t="n">
        <x:v>1</x:v>
      </x:c>
      <x:c r="H890" s="5" t="n">
        <x:v>1</x:v>
      </x:c>
      <x:c r="I890" s="5" t="str">
        <x:v>Magle Chemoswed AB</x:v>
      </x:c>
      <x:c r="J890" s="5" t="str">
        <x:v>SOURCE QUOTE; unvalidated / superseded assessments</x:v>
      </x:c>
      <x:c r="L890" s="31" t="str">
        <x:v>D04, Markdown line 269; http://nas-1.tail55d152.ts.net:4100/static/2S_PHARMACEUTICALS_AND_CHEMICALS_SECTOR_DOSSIER.html</x:v>
      </x:c>
    </x:row>
    <x:row r="891" ht="42" customHeight="1">
      <x:c r="A891" s="5" t="str">
        <x:v>D04</x:v>
      </x:c>
      <x:c r="B891" s="5" t="str">
        <x:v>D04-T04</x:v>
      </x:c>
      <x:c r="C891" s="5" t="str">
        <x:v>5.3 Tier 3: Chemical Synthesis, API &amp; CDMO Powerhouses</x:v>
      </x:c>
      <x:c r="D891" s="5" t="n">
        <x:v>269</x:v>
      </x:c>
      <x:c r="E891" s="5" t="n">
        <x:v>2</x:v>
      </x:c>
      <x:c r="F891" s="5" t="str">
        <x:v>HQ &amp; Key Sites</x:v>
      </x:c>
      <x:c r="G891" s="5" t="n">
        <x:v>1</x:v>
      </x:c>
      <x:c r="H891" s="5" t="n">
        <x:v>1</x:v>
      </x:c>
      <x:c r="I891" s="5" t="str">
        <x:v>Malmö, SE</x:v>
      </x:c>
      <x:c r="J891" s="5" t="str">
        <x:v>SOURCE QUOTE; unvalidated / superseded assessments</x:v>
      </x:c>
      <x:c r="L891" s="31" t="str">
        <x:v>D04, Markdown line 269; http://nas-1.tail55d152.ts.net:4100/static/2S_PHARMACEUTICALS_AND_CHEMICALS_SECTOR_DOSSIER.html</x:v>
      </x:c>
    </x:row>
    <x:row r="892" ht="42" customHeight="1">
      <x:c r="A892" s="5" t="str">
        <x:v>D04</x:v>
      </x:c>
      <x:c r="B892" s="5" t="str">
        <x:v>D04-T04</x:v>
      </x:c>
      <x:c r="C892" s="5" t="str">
        <x:v>5.3 Tier 3: Chemical Synthesis, API &amp; CDMO Powerhouses</x:v>
      </x:c>
      <x:c r="D892" s="5" t="n">
        <x:v>269</x:v>
      </x:c>
      <x:c r="E892" s="5" t="n">
        <x:v>3</x:v>
      </x:c>
      <x:c r="F892" s="5" t="str">
        <x:v>Annual Revenue</x:v>
      </x:c>
      <x:c r="G892" s="5" t="n">
        <x:v>1</x:v>
      </x:c>
      <x:c r="H892" s="5" t="n">
        <x:v>1</x:v>
      </x:c>
      <x:c r="I892" s="5" t="str">
        <x:v>SEK 21.0M (Chemoswed unit)</x:v>
      </x:c>
      <x:c r="J892" s="5" t="str">
        <x:v>SOURCE QUOTE; unvalidated / superseded assessments</x:v>
      </x:c>
      <x:c r="L892" s="31" t="str">
        <x:v>D04, Markdown line 269; http://nas-1.tail55d152.ts.net:4100/static/2S_PHARMACEUTICALS_AND_CHEMICALS_SECTOR_DOSSIER.html</x:v>
      </x:c>
    </x:row>
    <x:row r="893" ht="42" customHeight="1">
      <x:c r="A893" s="5" t="str">
        <x:v>D04</x:v>
      </x:c>
      <x:c r="B893" s="5" t="str">
        <x:v>D04-T04</x:v>
      </x:c>
      <x:c r="C893" s="5" t="str">
        <x:v>5.3 Tier 3: Chemical Synthesis, API &amp; CDMO Powerhouses</x:v>
      </x:c>
      <x:c r="D893" s="5" t="n">
        <x:v>269</x:v>
      </x:c>
      <x:c r="E893" s="5" t="n">
        <x:v>4</x:v>
      </x:c>
      <x:c r="F893" s="5" t="str">
        <x:v>Annual R&amp;D Spend</x:v>
      </x:c>
      <x:c r="G893" s="5" t="n">
        <x:v>1</x:v>
      </x:c>
      <x:c r="H893" s="5" t="n">
        <x:v>1</x:v>
      </x:c>
      <x:c r="I893" s="5" t="str">
        <x:v>SEK 12.0M</x:v>
      </x:c>
      <x:c r="J893" s="5" t="str">
        <x:v>SOURCE QUOTE; unvalidated / superseded assessments</x:v>
      </x:c>
      <x:c r="L893" s="31" t="str">
        <x:v>D04, Markdown line 269; http://nas-1.tail55d152.ts.net:4100/static/2S_PHARMACEUTICALS_AND_CHEMICALS_SECTOR_DOSSIER.html</x:v>
      </x:c>
    </x:row>
    <x:row r="894" ht="42" customHeight="1">
      <x:c r="A894" s="5" t="str">
        <x:v>D04</x:v>
      </x:c>
      <x:c r="B894" s="5" t="str">
        <x:v>D04-T04</x:v>
      </x:c>
      <x:c r="C894" s="5" t="str">
        <x:v>5.3 Tier 3: Chemical Synthesis, API &amp; CDMO Powerhouses</x:v>
      </x:c>
      <x:c r="D894" s="5" t="n">
        <x:v>269</x:v>
      </x:c>
      <x:c r="E894" s="5" t="n">
        <x:v>5</x:v>
      </x:c>
      <x:c r="F894" s="5" t="str">
        <x:v>Core Modality &amp; Therapeutic Focus</x:v>
      </x:c>
      <x:c r="G894" s="5" t="n">
        <x:v>1</x:v>
      </x:c>
      <x:c r="H894" s="5" t="n">
        <x:v>1</x:v>
      </x:c>
      <x:c r="I894" s="5" t="str">
        <x:v>Custom chemical synthesis, small molecule APIs, degradable starch micro-spheres (DSM).</x:v>
      </x:c>
      <x:c r="J894" s="5" t="str">
        <x:v>SOURCE QUOTE; unvalidated / superseded assessments</x:v>
      </x:c>
      <x:c r="L894" s="31" t="str">
        <x:v>D04, Markdown line 269; http://nas-1.tail55d152.ts.net:4100/static/2S_PHARMACEUTICALS_AND_CHEMICALS_SECTOR_DOSSIER.html</x:v>
      </x:c>
    </x:row>
    <x:row r="895" ht="42" customHeight="1">
      <x:c r="A895" s="5" t="str">
        <x:v>D04</x:v>
      </x:c>
      <x:c r="B895" s="5" t="str">
        <x:v>D04-T04</x:v>
      </x:c>
      <x:c r="C895" s="5" t="str">
        <x:v>5.3 Tier 3: Chemical Synthesis, API &amp; CDMO Powerhouses</x:v>
      </x:c>
      <x:c r="D895" s="5" t="n">
        <x:v>269</x:v>
      </x:c>
      <x:c r="E895" s="5" t="n">
        <x:v>6</x:v>
      </x:c>
      <x:c r="F895" s="5" t="str">
        <x:v>Key Structural Pain Point</x:v>
      </x:c>
      <x:c r="G895" s="5" t="n">
        <x:v>1</x:v>
      </x:c>
      <x:c r="H895" s="5" t="n">
        <x:v>1</x:v>
      </x:c>
      <x:c r="I895" s="5" t="str">
        <x:v>High fixed plant overhead; customer concentration risks; slow analytical method validation for novel chemical entities.</x:v>
      </x:c>
      <x:c r="J895" s="5" t="str">
        <x:v>SOURCE QUOTE; unvalidated / superseded assessments</x:v>
      </x:c>
      <x:c r="L895" s="31" t="str">
        <x:v>D04, Markdown line 269; http://nas-1.tail55d152.ts.net:4100/static/2S_PHARMACEUTICALS_AND_CHEMICALS_SECTOR_DOSSIER.html</x:v>
      </x:c>
    </x:row>
    <x:row r="896" ht="42" customHeight="1">
      <x:c r="A896" s="5" t="str">
        <x:v>D04</x:v>
      </x:c>
      <x:c r="B896" s="5" t="str">
        <x:v>D04-T04</x:v>
      </x:c>
      <x:c r="C896" s="5" t="str">
        <x:v>5.3 Tier 3: Chemical Synthesis, API &amp; CDMO Powerhouses</x:v>
      </x:c>
      <x:c r="D896" s="5" t="n">
        <x:v>269</x:v>
      </x:c>
      <x:c r="E896" s="5" t="n">
        <x:v>7</x:v>
      </x:c>
      <x:c r="F896" s="5" t="str">
        <x:v>2S Consulting &amp; Numantra Strategic Lever</x:v>
      </x:c>
      <x:c r="G896" s="5" t="n">
        <x:v>1</x:v>
      </x:c>
      <x:c r="H896" s="5" t="n">
        <x:v>1</x:v>
      </x:c>
      <x:c r="I896" s="5" t="str">
        <x:v>Fixed Overhead Absorption Modeling; rapid analytical method workflow digitization.</x:v>
      </x:c>
      <x:c r="J896" s="5" t="str">
        <x:v>SOURCE QUOTE; unvalidated / superseded assessments</x:v>
      </x:c>
      <x:c r="L896" s="31" t="str">
        <x:v>D04, Markdown line 269; http://nas-1.tail55d152.ts.net:4100/static/2S_PHARMACEUTICALS_AND_CHEMICALS_SECTOR_DOSSIER.html</x:v>
      </x:c>
    </x:row>
    <x:row r="897" ht="42" customHeight="1">
      <x:c r="A897" s="5" t="str">
        <x:v>D04</x:v>
      </x:c>
      <x:c r="B897" s="5" t="str">
        <x:v>D04-T04</x:v>
      </x:c>
      <x:c r="C897" s="5" t="str">
        <x:v>5.3 Tier 3: Chemical Synthesis, API &amp; CDMO Powerhouses</x:v>
      </x:c>
      <x:c r="D897" s="5" t="n">
        <x:v>270</x:v>
      </x:c>
      <x:c r="E897" s="5" t="n">
        <x:v>1</x:v>
      </x:c>
      <x:c r="F897" s="5" t="str">
        <x:v>Company</x:v>
      </x:c>
      <x:c r="G897" s="5" t="n">
        <x:v>1</x:v>
      </x:c>
      <x:c r="H897" s="5" t="n">
        <x:v>1</x:v>
      </x:c>
      <x:c r="I897" s="5" t="str">
        <x:v>Syntagon AB / Ardena</x:v>
      </x:c>
      <x:c r="J897" s="5" t="str">
        <x:v>SOURCE QUOTE; unvalidated / superseded assessments</x:v>
      </x:c>
      <x:c r="L897" s="31" t="str">
        <x:v>D04, Markdown line 270; http://nas-1.tail55d152.ts.net:4100/static/2S_PHARMACEUTICALS_AND_CHEMICALS_SECTOR_DOSSIER.html</x:v>
      </x:c>
    </x:row>
    <x:row r="898" ht="42" customHeight="1">
      <x:c r="A898" s="5" t="str">
        <x:v>D04</x:v>
      </x:c>
      <x:c r="B898" s="5" t="str">
        <x:v>D04-T04</x:v>
      </x:c>
      <x:c r="C898" s="5" t="str">
        <x:v>5.3 Tier 3: Chemical Synthesis, API &amp; CDMO Powerhouses</x:v>
      </x:c>
      <x:c r="D898" s="5" t="n">
        <x:v>270</x:v>
      </x:c>
      <x:c r="E898" s="5" t="n">
        <x:v>2</x:v>
      </x:c>
      <x:c r="F898" s="5" t="str">
        <x:v>HQ &amp; Key Sites</x:v>
      </x:c>
      <x:c r="G898" s="5" t="n">
        <x:v>1</x:v>
      </x:c>
      <x:c r="H898" s="5" t="n">
        <x:v>1</x:v>
      </x:c>
      <x:c r="I898" s="5" t="str">
        <x:v>Södertälje, SE</x:v>
      </x:c>
      <x:c r="J898" s="5" t="str">
        <x:v>SOURCE QUOTE; unvalidated / superseded assessments</x:v>
      </x:c>
      <x:c r="L898" s="31" t="str">
        <x:v>D04, Markdown line 270; http://nas-1.tail55d152.ts.net:4100/static/2S_PHARMACEUTICALS_AND_CHEMICALS_SECTOR_DOSSIER.html</x:v>
      </x:c>
    </x:row>
    <x:row r="899" ht="42" customHeight="1">
      <x:c r="A899" s="5" t="str">
        <x:v>D04</x:v>
      </x:c>
      <x:c r="B899" s="5" t="str">
        <x:v>D04-T04</x:v>
      </x:c>
      <x:c r="C899" s="5" t="str">
        <x:v>5.3 Tier 3: Chemical Synthesis, API &amp; CDMO Powerhouses</x:v>
      </x:c>
      <x:c r="D899" s="5" t="n">
        <x:v>270</x:v>
      </x:c>
      <x:c r="E899" s="5" t="n">
        <x:v>3</x:v>
      </x:c>
      <x:c r="F899" s="5" t="str">
        <x:v>Annual Revenue</x:v>
      </x:c>
      <x:c r="G899" s="5" t="n">
        <x:v>1</x:v>
      </x:c>
      <x:c r="H899" s="5" t="n">
        <x:v>1</x:v>
      </x:c>
      <x:c r="I899" s="5" t="str">
        <x:v>~SEK 95M est.</x:v>
      </x:c>
      <x:c r="J899" s="5" t="str">
        <x:v>SOURCE QUOTE; unvalidated / superseded assessments</x:v>
      </x:c>
      <x:c r="L899" s="31" t="str">
        <x:v>D04, Markdown line 270; http://nas-1.tail55d152.ts.net:4100/static/2S_PHARMACEUTICALS_AND_CHEMICALS_SECTOR_DOSSIER.html</x:v>
      </x:c>
    </x:row>
    <x:row r="900" ht="42" customHeight="1">
      <x:c r="A900" s="5" t="str">
        <x:v>D04</x:v>
      </x:c>
      <x:c r="B900" s="5" t="str">
        <x:v>D04-T04</x:v>
      </x:c>
      <x:c r="C900" s="5" t="str">
        <x:v>5.3 Tier 3: Chemical Synthesis, API &amp; CDMO Powerhouses</x:v>
      </x:c>
      <x:c r="D900" s="5" t="n">
        <x:v>270</x:v>
      </x:c>
      <x:c r="E900" s="5" t="n">
        <x:v>4</x:v>
      </x:c>
      <x:c r="F900" s="5" t="str">
        <x:v>Annual R&amp;D Spend</x:v>
      </x:c>
      <x:c r="G900" s="5" t="n">
        <x:v>1</x:v>
      </x:c>
      <x:c r="H900" s="5" t="n">
        <x:v>1</x:v>
      </x:c>
      <x:c r="I900" s="5" t="str">
        <x:v>~SEK 8M est.</x:v>
      </x:c>
      <x:c r="J900" s="5" t="str">
        <x:v>SOURCE QUOTE; unvalidated / superseded assessments</x:v>
      </x:c>
      <x:c r="L900" s="31" t="str">
        <x:v>D04, Markdown line 270; http://nas-1.tail55d152.ts.net:4100/static/2S_PHARMACEUTICALS_AND_CHEMICALS_SECTOR_DOSSIER.html</x:v>
      </x:c>
    </x:row>
    <x:row r="901" ht="42" customHeight="1">
      <x:c r="A901" s="5" t="str">
        <x:v>D04</x:v>
      </x:c>
      <x:c r="B901" s="5" t="str">
        <x:v>D04-T04</x:v>
      </x:c>
      <x:c r="C901" s="5" t="str">
        <x:v>5.3 Tier 3: Chemical Synthesis, API &amp; CDMO Powerhouses</x:v>
      </x:c>
      <x:c r="D901" s="5" t="n">
        <x:v>270</x:v>
      </x:c>
      <x:c r="E901" s="5" t="n">
        <x:v>5</x:v>
      </x:c>
      <x:c r="F901" s="5" t="str">
        <x:v>Core Modality &amp; Therapeutic Focus</x:v>
      </x:c>
      <x:c r="G901" s="5" t="n">
        <x:v>1</x:v>
      </x:c>
      <x:c r="H901" s="5" t="n">
        <x:v>1</x:v>
      </x:c>
      <x:c r="I901" s="5" t="str">
        <x:v>Early-phase small molecule synthesis, medicinal chemistry scale-up, radiolabeling.</x:v>
      </x:c>
      <x:c r="J901" s="5" t="str">
        <x:v>SOURCE QUOTE; unvalidated / superseded assessments</x:v>
      </x:c>
      <x:c r="L901" s="31" t="str">
        <x:v>D04, Markdown line 270; http://nas-1.tail55d152.ts.net:4100/static/2S_PHARMACEUTICALS_AND_CHEMICALS_SECTOR_DOSSIER.html</x:v>
      </x:c>
    </x:row>
    <x:row r="902" ht="42" customHeight="1">
      <x:c r="A902" s="5" t="str">
        <x:v>D04</x:v>
      </x:c>
      <x:c r="B902" s="5" t="str">
        <x:v>D04-T04</x:v>
      </x:c>
      <x:c r="C902" s="5" t="str">
        <x:v>5.3 Tier 3: Chemical Synthesis, API &amp; CDMO Powerhouses</x:v>
      </x:c>
      <x:c r="D902" s="5" t="n">
        <x:v>270</x:v>
      </x:c>
      <x:c r="E902" s="5" t="n">
        <x:v>6</x:v>
      </x:c>
      <x:c r="F902" s="5" t="str">
        <x:v>Key Structural Pain Point</x:v>
      </x:c>
      <x:c r="G902" s="5" t="n">
        <x:v>1</x:v>
      </x:c>
      <x:c r="H902" s="5" t="n">
        <x:v>1</x:v>
      </x:c>
      <x:c r="I902" s="5" t="str">
        <x:v>Frequent campaign changeovers for small gram-scale batches; client milestone billing delays.</x:v>
      </x:c>
      <x:c r="J902" s="5" t="str">
        <x:v>SOURCE QUOTE; unvalidated / superseded assessments</x:v>
      </x:c>
      <x:c r="L902" s="31" t="str">
        <x:v>D04, Markdown line 270; http://nas-1.tail55d152.ts.net:4100/static/2S_PHARMACEUTICALS_AND_CHEMICALS_SECTOR_DOSSIER.html</x:v>
      </x:c>
    </x:row>
    <x:row r="903" ht="42" customHeight="1">
      <x:c r="A903" s="5" t="str">
        <x:v>D04</x:v>
      </x:c>
      <x:c r="B903" s="5" t="str">
        <x:v>D04-T04</x:v>
      </x:c>
      <x:c r="C903" s="5" t="str">
        <x:v>5.3 Tier 3: Chemical Synthesis, API &amp; CDMO Powerhouses</x:v>
      </x:c>
      <x:c r="D903" s="5" t="n">
        <x:v>270</x:v>
      </x:c>
      <x:c r="E903" s="5" t="n">
        <x:v>7</x:v>
      </x:c>
      <x:c r="F903" s="5" t="str">
        <x:v>2S Consulting &amp; Numantra Strategic Lever</x:v>
      </x:c>
      <x:c r="G903" s="5" t="n">
        <x:v>1</x:v>
      </x:c>
      <x:c r="H903" s="5" t="n">
        <x:v>1</x:v>
      </x:c>
      <x:c r="I903" s="5" t="str">
        <x:v>Small-Batch Campaign Job Costing &amp; Milestone Billing Automation.</x:v>
      </x:c>
      <x:c r="J903" s="5" t="str">
        <x:v>SOURCE QUOTE; unvalidated / superseded assessments</x:v>
      </x:c>
      <x:c r="L903" s="31" t="str">
        <x:v>D04, Markdown line 270; http://nas-1.tail55d152.ts.net:4100/static/2S_PHARMACEUTICALS_AND_CHEMICALS_SECTOR_DOSSIER.html</x:v>
      </x:c>
    </x:row>
    <x:row r="904" ht="42" customHeight="1">
      <x:c r="A904" s="5" t="str">
        <x:v>D04</x:v>
      </x:c>
      <x:c r="B904" s="5" t="str">
        <x:v>D04-T04</x:v>
      </x:c>
      <x:c r="C904" s="5" t="str">
        <x:v>5.3 Tier 3: Chemical Synthesis, API &amp; CDMO Powerhouses</x:v>
      </x:c>
      <x:c r="D904" s="5" t="n">
        <x:v>271</x:v>
      </x:c>
      <x:c r="E904" s="5" t="n">
        <x:v>1</x:v>
      </x:c>
      <x:c r="F904" s="5" t="str">
        <x:v>Company</x:v>
      </x:c>
      <x:c r="G904" s="5" t="n">
        <x:v>1</x:v>
      </x:c>
      <x:c r="H904" s="5" t="n">
        <x:v>1</x:v>
      </x:c>
      <x:c r="I904" s="5" t="str">
        <x:v>Octapharma AB</x:v>
      </x:c>
      <x:c r="J904" s="5" t="str">
        <x:v>SOURCE QUOTE; unvalidated / superseded assessments</x:v>
      </x:c>
      <x:c r="L904" s="31" t="str">
        <x:v>D04, Markdown line 271; http://nas-1.tail55d152.ts.net:4100/static/2S_PHARMACEUTICALS_AND_CHEMICALS_SECTOR_DOSSIER.html</x:v>
      </x:c>
    </x:row>
    <x:row r="905" ht="42" customHeight="1">
      <x:c r="A905" s="5" t="str">
        <x:v>D04</x:v>
      </x:c>
      <x:c r="B905" s="5" t="str">
        <x:v>D04-T04</x:v>
      </x:c>
      <x:c r="C905" s="5" t="str">
        <x:v>5.3 Tier 3: Chemical Synthesis, API &amp; CDMO Powerhouses</x:v>
      </x:c>
      <x:c r="D905" s="5" t="n">
        <x:v>271</x:v>
      </x:c>
      <x:c r="E905" s="5" t="n">
        <x:v>2</x:v>
      </x:c>
      <x:c r="F905" s="5" t="str">
        <x:v>HQ &amp; Key Sites</x:v>
      </x:c>
      <x:c r="G905" s="5" t="n">
        <x:v>1</x:v>
      </x:c>
      <x:c r="H905" s="5" t="n">
        <x:v>1</x:v>
      </x:c>
      <x:c r="I905" s="5" t="str">
        <x:v>Stockholm, SE</x:v>
      </x:c>
      <x:c r="J905" s="5" t="str">
        <x:v>SOURCE QUOTE; unvalidated / superseded assessments</x:v>
      </x:c>
      <x:c r="L905" s="31" t="str">
        <x:v>D04, Markdown line 271; http://nas-1.tail55d152.ts.net:4100/static/2S_PHARMACEUTICALS_AND_CHEMICALS_SECTOR_DOSSIER.html</x:v>
      </x:c>
    </x:row>
    <x:row r="906" ht="42" customHeight="1">
      <x:c r="A906" s="5" t="str">
        <x:v>D04</x:v>
      </x:c>
      <x:c r="B906" s="5" t="str">
        <x:v>D04-T04</x:v>
      </x:c>
      <x:c r="C906" s="5" t="str">
        <x:v>5.3 Tier 3: Chemical Synthesis, API &amp; CDMO Powerhouses</x:v>
      </x:c>
      <x:c r="D906" s="5" t="n">
        <x:v>271</x:v>
      </x:c>
      <x:c r="E906" s="5" t="n">
        <x:v>3</x:v>
      </x:c>
      <x:c r="F906" s="5" t="str">
        <x:v>Annual Revenue</x:v>
      </x:c>
      <x:c r="G906" s="5" t="n">
        <x:v>1</x:v>
      </x:c>
      <x:c r="H906" s="5" t="n">
        <x:v>1</x:v>
      </x:c>
      <x:c r="I906" s="5" t="str">
        <x:v>~SEK 3,200M est. (SE site)</x:v>
      </x:c>
      <x:c r="J906" s="5" t="str">
        <x:v>SOURCE QUOTE; unvalidated / superseded assessments</x:v>
      </x:c>
      <x:c r="L906" s="31" t="str">
        <x:v>D04, Markdown line 271; http://nas-1.tail55d152.ts.net:4100/static/2S_PHARMACEUTICALS_AND_CHEMICALS_SECTOR_DOSSIER.html</x:v>
      </x:c>
    </x:row>
    <x:row r="907" ht="42" customHeight="1">
      <x:c r="A907" s="5" t="str">
        <x:v>D04</x:v>
      </x:c>
      <x:c r="B907" s="5" t="str">
        <x:v>D04-T04</x:v>
      </x:c>
      <x:c r="C907" s="5" t="str">
        <x:v>5.3 Tier 3: Chemical Synthesis, API &amp; CDMO Powerhouses</x:v>
      </x:c>
      <x:c r="D907" s="5" t="n">
        <x:v>271</x:v>
      </x:c>
      <x:c r="E907" s="5" t="n">
        <x:v>4</x:v>
      </x:c>
      <x:c r="F907" s="5" t="str">
        <x:v>Annual R&amp;D Spend</x:v>
      </x:c>
      <x:c r="G907" s="5" t="n">
        <x:v>1</x:v>
      </x:c>
      <x:c r="H907" s="5" t="n">
        <x:v>1</x:v>
      </x:c>
      <x:c r="I907" s="5" t="str">
        <x:v>~SEK 180M est.</x:v>
      </x:c>
      <x:c r="J907" s="5" t="str">
        <x:v>SOURCE QUOTE; unvalidated / superseded assessments</x:v>
      </x:c>
      <x:c r="L907" s="31" t="str">
        <x:v>D04, Markdown line 271; http://nas-1.tail55d152.ts.net:4100/static/2S_PHARMACEUTICALS_AND_CHEMICALS_SECTOR_DOSSIER.html</x:v>
      </x:c>
    </x:row>
    <x:row r="908" ht="42" customHeight="1">
      <x:c r="A908" s="5" t="str">
        <x:v>D04</x:v>
      </x:c>
      <x:c r="B908" s="5" t="str">
        <x:v>D04-T04</x:v>
      </x:c>
      <x:c r="C908" s="5" t="str">
        <x:v>5.3 Tier 3: Chemical Synthesis, API &amp; CDMO Powerhouses</x:v>
      </x:c>
      <x:c r="D908" s="5" t="n">
        <x:v>271</x:v>
      </x:c>
      <x:c r="E908" s="5" t="n">
        <x:v>5</x:v>
      </x:c>
      <x:c r="F908" s="5" t="str">
        <x:v>Core Modality &amp; Therapeutic Focus</x:v>
      </x:c>
      <x:c r="G908" s="5" t="n">
        <x:v>1</x:v>
      </x:c>
      <x:c r="H908" s="5" t="n">
        <x:v>1</x:v>
      </x:c>
      <x:c r="I908" s="5" t="str">
        <x:v>Human plasma fractionation, immunoglobulins, coagulation factors, human albumin.</x:v>
      </x:c>
      <x:c r="J908" s="5" t="str">
        <x:v>SOURCE QUOTE; unvalidated / superseded assessments</x:v>
      </x:c>
      <x:c r="L908" s="31" t="str">
        <x:v>D04, Markdown line 271; http://nas-1.tail55d152.ts.net:4100/static/2S_PHARMACEUTICALS_AND_CHEMICALS_SECTOR_DOSSIER.html</x:v>
      </x:c>
    </x:row>
    <x:row r="909" ht="42" customHeight="1">
      <x:c r="A909" s="5" t="str">
        <x:v>D04</x:v>
      </x:c>
      <x:c r="B909" s="5" t="str">
        <x:v>D04-T04</x:v>
      </x:c>
      <x:c r="C909" s="5" t="str">
        <x:v>5.3 Tier 3: Chemical Synthesis, API &amp; CDMO Powerhouses</x:v>
      </x:c>
      <x:c r="D909" s="5" t="n">
        <x:v>271</x:v>
      </x:c>
      <x:c r="E909" s="5" t="n">
        <x:v>6</x:v>
      </x:c>
      <x:c r="F909" s="5" t="str">
        <x:v>Key Structural Pain Point</x:v>
      </x:c>
      <x:c r="G909" s="5" t="n">
        <x:v>1</x:v>
      </x:c>
      <x:c r="H909" s="5" t="n">
        <x:v>1</x:v>
      </x:c>
      <x:c r="I909" s="5" t="str">
        <x:v>Plasma donor collection cost volatility; multi-week protein purification and viral inactivation cycles; stringent regulatory lot release.</x:v>
      </x:c>
      <x:c r="J909" s="5" t="str">
        <x:v>SOURCE QUOTE; unvalidated / superseded assessments</x:v>
      </x:c>
      <x:c r="L909" s="31" t="str">
        <x:v>D04, Markdown line 271; http://nas-1.tail55d152.ts.net:4100/static/2S_PHARMACEUTICALS_AND_CHEMICALS_SECTOR_DOSSIER.html</x:v>
      </x:c>
    </x:row>
    <x:row r="910" ht="42" customHeight="1">
      <x:c r="A910" s="5" t="str">
        <x:v>D04</x:v>
      </x:c>
      <x:c r="B910" s="5" t="str">
        <x:v>D04-T04</x:v>
      </x:c>
      <x:c r="C910" s="5" t="str">
        <x:v>5.3 Tier 3: Chemical Synthesis, API &amp; CDMO Powerhouses</x:v>
      </x:c>
      <x:c r="D910" s="5" t="n">
        <x:v>271</x:v>
      </x:c>
      <x:c r="E910" s="5" t="n">
        <x:v>7</x:v>
      </x:c>
      <x:c r="F910" s="5" t="str">
        <x:v>2S Consulting &amp; Numantra Strategic Lever</x:v>
      </x:c>
      <x:c r="G910" s="5" t="n">
        <x:v>1</x:v>
      </x:c>
      <x:c r="H910" s="5" t="n">
        <x:v>1</x:v>
      </x:c>
      <x:c r="I910" s="5" t="str">
        <x:v>Plasma Yield Maximization Analytics; automated lot release documentation (21 CFR Part 11).</x:v>
      </x:c>
      <x:c r="J910" s="5" t="str">
        <x:v>SOURCE QUOTE; unvalidated / superseded assessments</x:v>
      </x:c>
      <x:c r="L910" s="31" t="str">
        <x:v>D04, Markdown line 271; http://nas-1.tail55d152.ts.net:4100/static/2S_PHARMACEUTICALS_AND_CHEMICALS_SECTOR_DOSSIER.html</x:v>
      </x:c>
    </x:row>
    <x:row r="911" ht="42" customHeight="1">
      <x:c r="A911" s="5" t="str">
        <x:v>D04</x:v>
      </x:c>
      <x:c r="B911" s="5" t="str">
        <x:v>D04-T04</x:v>
      </x:c>
      <x:c r="C911" s="5" t="str">
        <x:v>5.3 Tier 3: Chemical Synthesis, API &amp; CDMO Powerhouses</x:v>
      </x:c>
      <x:c r="D911" s="5" t="n">
        <x:v>272</x:v>
      </x:c>
      <x:c r="E911" s="5" t="n">
        <x:v>1</x:v>
      </x:c>
      <x:c r="F911" s="5" t="str">
        <x:v>Company</x:v>
      </x:c>
      <x:c r="G911" s="5" t="n">
        <x:v>1</x:v>
      </x:c>
      <x:c r="H911" s="5" t="n">
        <x:v>1</x:v>
      </x:c>
      <x:c r="I911" s="5" t="str">
        <x:v>APL (Apotek Produktion &amp; Lab)</x:v>
      </x:c>
      <x:c r="J911" s="5" t="str">
        <x:v>SOURCE QUOTE; unvalidated / superseded assessments</x:v>
      </x:c>
      <x:c r="L911" s="31" t="str">
        <x:v>D04, Markdown line 272; http://nas-1.tail55d152.ts.net:4100/static/2S_PHARMACEUTICALS_AND_CHEMICALS_SECTOR_DOSSIER.html</x:v>
      </x:c>
    </x:row>
    <x:row r="912" ht="42" customHeight="1">
      <x:c r="A912" s="5" t="str">
        <x:v>D04</x:v>
      </x:c>
      <x:c r="B912" s="5" t="str">
        <x:v>D04-T04</x:v>
      </x:c>
      <x:c r="C912" s="5" t="str">
        <x:v>5.3 Tier 3: Chemical Synthesis, API &amp; CDMO Powerhouses</x:v>
      </x:c>
      <x:c r="D912" s="5" t="n">
        <x:v>272</x:v>
      </x:c>
      <x:c r="E912" s="5" t="n">
        <x:v>2</x:v>
      </x:c>
      <x:c r="F912" s="5" t="str">
        <x:v>HQ &amp; Key Sites</x:v>
      </x:c>
      <x:c r="G912" s="5" t="n">
        <x:v>1</x:v>
      </x:c>
      <x:c r="H912" s="5" t="n">
        <x:v>1</x:v>
      </x:c>
      <x:c r="I912" s="5" t="str">
        <x:v>Stockholm, Umeå, Malmö, SE</x:v>
      </x:c>
      <x:c r="J912" s="5" t="str">
        <x:v>SOURCE QUOTE; unvalidated / superseded assessments</x:v>
      </x:c>
      <x:c r="L912" s="31" t="str">
        <x:v>D04, Markdown line 272; http://nas-1.tail55d152.ts.net:4100/static/2S_PHARMACEUTICALS_AND_CHEMICALS_SECTOR_DOSSIER.html</x:v>
      </x:c>
    </x:row>
    <x:row r="913" ht="42" customHeight="1">
      <x:c r="A913" s="5" t="str">
        <x:v>D04</x:v>
      </x:c>
      <x:c r="B913" s="5" t="str">
        <x:v>D04-T04</x:v>
      </x:c>
      <x:c r="C913" s="5" t="str">
        <x:v>5.3 Tier 3: Chemical Synthesis, API &amp; CDMO Powerhouses</x:v>
      </x:c>
      <x:c r="D913" s="5" t="n">
        <x:v>272</x:v>
      </x:c>
      <x:c r="E913" s="5" t="n">
        <x:v>3</x:v>
      </x:c>
      <x:c r="F913" s="5" t="str">
        <x:v>Annual Revenue</x:v>
      </x:c>
      <x:c r="G913" s="5" t="n">
        <x:v>1</x:v>
      </x:c>
      <x:c r="H913" s="5" t="n">
        <x:v>1</x:v>
      </x:c>
      <x:c r="I913" s="5" t="str">
        <x:v>SEK 1,480M (~€130M)</x:v>
      </x:c>
      <x:c r="J913" s="5" t="str">
        <x:v>SOURCE QUOTE; unvalidated / superseded assessments</x:v>
      </x:c>
      <x:c r="L913" s="31" t="str">
        <x:v>D04, Markdown line 272; http://nas-1.tail55d152.ts.net:4100/static/2S_PHARMACEUTICALS_AND_CHEMICALS_SECTOR_DOSSIER.html</x:v>
      </x:c>
    </x:row>
    <x:row r="914" ht="42" customHeight="1">
      <x:c r="A914" s="5" t="str">
        <x:v>D04</x:v>
      </x:c>
      <x:c r="B914" s="5" t="str">
        <x:v>D04-T04</x:v>
      </x:c>
      <x:c r="C914" s="5" t="str">
        <x:v>5.3 Tier 3: Chemical Synthesis, API &amp; CDMO Powerhouses</x:v>
      </x:c>
      <x:c r="D914" s="5" t="n">
        <x:v>272</x:v>
      </x:c>
      <x:c r="E914" s="5" t="n">
        <x:v>4</x:v>
      </x:c>
      <x:c r="F914" s="5" t="str">
        <x:v>Annual R&amp;D Spend</x:v>
      </x:c>
      <x:c r="G914" s="5" t="n">
        <x:v>1</x:v>
      </x:c>
      <x:c r="H914" s="5" t="n">
        <x:v>1</x:v>
      </x:c>
      <x:c r="I914" s="5" t="str">
        <x:v>SEK 35M est.</x:v>
      </x:c>
      <x:c r="J914" s="5" t="str">
        <x:v>SOURCE QUOTE; unvalidated / superseded assessments</x:v>
      </x:c>
      <x:c r="L914" s="31" t="str">
        <x:v>D04, Markdown line 272; http://nas-1.tail55d152.ts.net:4100/static/2S_PHARMACEUTICALS_AND_CHEMICALS_SECTOR_DOSSIER.html</x:v>
      </x:c>
    </x:row>
    <x:row r="915" ht="42" customHeight="1">
      <x:c r="A915" s="5" t="str">
        <x:v>D04</x:v>
      </x:c>
      <x:c r="B915" s="5" t="str">
        <x:v>D04-T04</x:v>
      </x:c>
      <x:c r="C915" s="5" t="str">
        <x:v>5.3 Tier 3: Chemical Synthesis, API &amp; CDMO Powerhouses</x:v>
      </x:c>
      <x:c r="D915" s="5" t="n">
        <x:v>272</x:v>
      </x:c>
      <x:c r="E915" s="5" t="n">
        <x:v>5</x:v>
      </x:c>
      <x:c r="F915" s="5" t="str">
        <x:v>Core Modality &amp; Therapeutic Focus</x:v>
      </x:c>
      <x:c r="G915" s="5" t="n">
        <x:v>1</x:v>
      </x:c>
      <x:c r="H915" s="5" t="n">
        <x:v>1</x:v>
      </x:c>
      <x:c r="I915" s="5" t="str">
        <x:v>Extemporaneous medicines, individualized patient dosing, hospital radiopharmaceuticals, CDMO.</x:v>
      </x:c>
      <x:c r="J915" s="5" t="str">
        <x:v>SOURCE QUOTE; unvalidated / superseded assessments</x:v>
      </x:c>
      <x:c r="L915" s="31" t="str">
        <x:v>D04, Markdown line 272; http://nas-1.tail55d152.ts.net:4100/static/2S_PHARMACEUTICALS_AND_CHEMICALS_SECTOR_DOSSIER.html</x:v>
      </x:c>
    </x:row>
    <x:row r="916" ht="42" customHeight="1">
      <x:c r="A916" s="5" t="str">
        <x:v>D04</x:v>
      </x:c>
      <x:c r="B916" s="5" t="str">
        <x:v>D04-T04</x:v>
      </x:c>
      <x:c r="C916" s="5" t="str">
        <x:v>5.3 Tier 3: Chemical Synthesis, API &amp; CDMO Powerhouses</x:v>
      </x:c>
      <x:c r="D916" s="5" t="n">
        <x:v>272</x:v>
      </x:c>
      <x:c r="E916" s="5" t="n">
        <x:v>6</x:v>
      </x:c>
      <x:c r="F916" s="5" t="str">
        <x:v>Key Structural Pain Point</x:v>
      </x:c>
      <x:c r="G916" s="5" t="n">
        <x:v>1</x:v>
      </x:c>
      <x:c r="H916" s="5" t="n">
        <x:v>1</x:v>
      </x:c>
      <x:c r="I916" s="5" t="str">
        <x:v>Highly fragmented small-batch production; manual pharmacy order entry; complex national public health service mandates.</x:v>
      </x:c>
      <x:c r="J916" s="5" t="str">
        <x:v>SOURCE QUOTE; unvalidated / superseded assessments</x:v>
      </x:c>
      <x:c r="L916" s="31" t="str">
        <x:v>D04, Markdown line 272; http://nas-1.tail55d152.ts.net:4100/static/2S_PHARMACEUTICALS_AND_CHEMICALS_SECTOR_DOSSIER.html</x:v>
      </x:c>
    </x:row>
    <x:row r="917" ht="42" customHeight="1">
      <x:c r="A917" s="5" t="str">
        <x:v>D04</x:v>
      </x:c>
      <x:c r="B917" s="5" t="str">
        <x:v>D04-T04</x:v>
      </x:c>
      <x:c r="C917" s="5" t="str">
        <x:v>5.3 Tier 3: Chemical Synthesis, API &amp; CDMO Powerhouses</x:v>
      </x:c>
      <x:c r="D917" s="5" t="n">
        <x:v>272</x:v>
      </x:c>
      <x:c r="E917" s="5" t="n">
        <x:v>7</x:v>
      </x:c>
      <x:c r="F917" s="5" t="str">
        <x:v>2S Consulting &amp; Numantra Strategic Lever</x:v>
      </x:c>
      <x:c r="G917" s="5" t="n">
        <x:v>1</x:v>
      </x:c>
      <x:c r="H917" s="5" t="n">
        <x:v>1</x:v>
      </x:c>
      <x:c r="I917" s="5" t="str">
        <x:v>Order-to-Manufacture Workflow Automation; radiopharmaceutical just-in-time logistics scheduling.</x:v>
      </x:c>
      <x:c r="J917" s="5" t="str">
        <x:v>SOURCE QUOTE; unvalidated / superseded assessments</x:v>
      </x:c>
      <x:c r="L917" s="31" t="str">
        <x:v>D04, Markdown line 272; http://nas-1.tail55d152.ts.net:4100/static/2S_PHARMACEUTICALS_AND_CHEMICALS_SECTOR_DOSSIER.html</x:v>
      </x:c>
    </x:row>
    <x:row r="918" ht="42" customHeight="1">
      <x:c r="A918" s="5" t="str">
        <x:v>D04</x:v>
      </x:c>
      <x:c r="B918" s="5" t="str">
        <x:v>D04-T05</x:v>
      </x:c>
      <x:c r="C918" s="5" t="str">
        <x:v>5.4 Tier 4: Clinical-Stage Biopharma &amp; Innovators</x:v>
      </x:c>
      <x:c r="D918" s="5" t="n">
        <x:v>278</x:v>
      </x:c>
      <x:c r="E918" s="5" t="n">
        <x:v>1</x:v>
      </x:c>
      <x:c r="F918" s="5" t="str">
        <x:v>Company</x:v>
      </x:c>
      <x:c r="G918" s="5" t="n">
        <x:v>1</x:v>
      </x:c>
      <x:c r="H918" s="5" t="n">
        <x:v>1</x:v>
      </x:c>
      <x:c r="I918" s="5" t="str">
        <x:v>BioInvent International AB</x:v>
      </x:c>
      <x:c r="J918" s="5" t="str">
        <x:v>SOURCE QUOTE; unvalidated / superseded assessments</x:v>
      </x:c>
      <x:c r="L918" s="31" t="str">
        <x:v>D04, Markdown line 278; http://nas-1.tail55d152.ts.net:4100/static/2S_PHARMACEUTICALS_AND_CHEMICALS_SECTOR_DOSSIER.html</x:v>
      </x:c>
    </x:row>
    <x:row r="919" ht="42" customHeight="1">
      <x:c r="A919" s="5" t="str">
        <x:v>D04</x:v>
      </x:c>
      <x:c r="B919" s="5" t="str">
        <x:v>D04-T05</x:v>
      </x:c>
      <x:c r="C919" s="5" t="str">
        <x:v>5.4 Tier 4: Clinical-Stage Biopharma &amp; Innovators</x:v>
      </x:c>
      <x:c r="D919" s="5" t="n">
        <x:v>278</x:v>
      </x:c>
      <x:c r="E919" s="5" t="n">
        <x:v>2</x:v>
      </x:c>
      <x:c r="F919" s="5" t="str">
        <x:v>HQ &amp; Key Sites</x:v>
      </x:c>
      <x:c r="G919" s="5" t="n">
        <x:v>1</x:v>
      </x:c>
      <x:c r="H919" s="5" t="n">
        <x:v>1</x:v>
      </x:c>
      <x:c r="I919" s="5" t="str">
        <x:v>Lund, SE</x:v>
      </x:c>
      <x:c r="J919" s="5" t="str">
        <x:v>SOURCE QUOTE; unvalidated / superseded assessments</x:v>
      </x:c>
      <x:c r="L919" s="31" t="str">
        <x:v>D04, Markdown line 278; http://nas-1.tail55d152.ts.net:4100/static/2S_PHARMACEUTICALS_AND_CHEMICALS_SECTOR_DOSSIER.html</x:v>
      </x:c>
    </x:row>
    <x:row r="920" ht="42" customHeight="1">
      <x:c r="A920" s="5" t="str">
        <x:v>D04</x:v>
      </x:c>
      <x:c r="B920" s="5" t="str">
        <x:v>D04-T05</x:v>
      </x:c>
      <x:c r="C920" s="5" t="str">
        <x:v>5.4 Tier 4: Clinical-Stage Biopharma &amp; Innovators</x:v>
      </x:c>
      <x:c r="D920" s="5" t="n">
        <x:v>278</x:v>
      </x:c>
      <x:c r="E920" s="5" t="n">
        <x:v>3</x:v>
      </x:c>
      <x:c r="F920" s="5" t="str">
        <x:v>Annual Revenue</x:v>
      </x:c>
      <x:c r="G920" s="5" t="n">
        <x:v>1</x:v>
      </x:c>
      <x:c r="H920" s="5" t="n">
        <x:v>1</x:v>
      </x:c>
      <x:c r="I920" s="5" t="str">
        <x:v>SEK 148.5M</x:v>
      </x:c>
      <x:c r="J920" s="5" t="str">
        <x:v>SOURCE QUOTE; unvalidated / superseded assessments</x:v>
      </x:c>
      <x:c r="L920" s="31" t="str">
        <x:v>D04, Markdown line 278; http://nas-1.tail55d152.ts.net:4100/static/2S_PHARMACEUTICALS_AND_CHEMICALS_SECTOR_DOSSIER.html</x:v>
      </x:c>
    </x:row>
    <x:row r="921" ht="42" customHeight="1">
      <x:c r="A921" s="5" t="str">
        <x:v>D04</x:v>
      </x:c>
      <x:c r="B921" s="5" t="str">
        <x:v>D04-T05</x:v>
      </x:c>
      <x:c r="C921" s="5" t="str">
        <x:v>5.4 Tier 4: Clinical-Stage Biopharma &amp; Innovators</x:v>
      </x:c>
      <x:c r="D921" s="5" t="n">
        <x:v>278</x:v>
      </x:c>
      <x:c r="E921" s="5" t="n">
        <x:v>4</x:v>
      </x:c>
      <x:c r="F921" s="5" t="str">
        <x:v>Annual R&amp;D Spend</x:v>
      </x:c>
      <x:c r="G921" s="5" t="n">
        <x:v>1</x:v>
      </x:c>
      <x:c r="H921" s="5" t="n">
        <x:v>1</x:v>
      </x:c>
      <x:c r="I921" s="5" t="str">
        <x:v>SEK 342.6M</x:v>
      </x:c>
      <x:c r="J921" s="5" t="str">
        <x:v>SOURCE QUOTE; unvalidated / superseded assessments</x:v>
      </x:c>
      <x:c r="L921" s="31" t="str">
        <x:v>D04, Markdown line 278; http://nas-1.tail55d152.ts.net:4100/static/2S_PHARMACEUTICALS_AND_CHEMICALS_SECTOR_DOSSIER.html</x:v>
      </x:c>
    </x:row>
    <x:row r="922" ht="42" customHeight="1">
      <x:c r="A922" s="5" t="str">
        <x:v>D04</x:v>
      </x:c>
      <x:c r="B922" s="5" t="str">
        <x:v>D04-T05</x:v>
      </x:c>
      <x:c r="C922" s="5" t="str">
        <x:v>5.4 Tier 4: Clinical-Stage Biopharma &amp; Innovators</x:v>
      </x:c>
      <x:c r="D922" s="5" t="n">
        <x:v>278</x:v>
      </x:c>
      <x:c r="E922" s="5" t="n">
        <x:v>5</x:v>
      </x:c>
      <x:c r="F922" s="5" t="str">
        <x:v>Core Modality &amp; Therapeutic Focus</x:v>
      </x:c>
      <x:c r="G922" s="5" t="n">
        <x:v>1</x:v>
      </x:c>
      <x:c r="H922" s="5" t="n">
        <x:v>1</x:v>
      </x:c>
      <x:c r="I922" s="5" t="str">
        <x:v>Novel immuno-oncology antibodies (n-CoDeR® / F.I.R.S.T™ platforms), FcγRIIB-targeting.</x:v>
      </x:c>
      <x:c r="J922" s="5" t="str">
        <x:v>SOURCE QUOTE; unvalidated / superseded assessments</x:v>
      </x:c>
      <x:c r="L922" s="31" t="str">
        <x:v>D04, Markdown line 278; http://nas-1.tail55d152.ts.net:4100/static/2S_PHARMACEUTICALS_AND_CHEMICALS_SECTOR_DOSSIER.html</x:v>
      </x:c>
    </x:row>
    <x:row r="923" ht="42" customHeight="1">
      <x:c r="A923" s="5" t="str">
        <x:v>D04</x:v>
      </x:c>
      <x:c r="B923" s="5" t="str">
        <x:v>D04-T05</x:v>
      </x:c>
      <x:c r="C923" s="5" t="str">
        <x:v>5.4 Tier 4: Clinical-Stage Biopharma &amp; Innovators</x:v>
      </x:c>
      <x:c r="D923" s="5" t="n">
        <x:v>278</x:v>
      </x:c>
      <x:c r="E923" s="5" t="n">
        <x:v>6</x:v>
      </x:c>
      <x:c r="F923" s="5" t="str">
        <x:v>Key Structural Pain Point</x:v>
      </x:c>
      <x:c r="G923" s="5" t="n">
        <x:v>1</x:v>
      </x:c>
      <x:c r="H923" s="5" t="n">
        <x:v>1</x:v>
      </x:c>
      <x:c r="I923" s="5" t="str">
        <x:v>Managing multiple concurrent Phase I/II clinical trials; clinical cash burn vs milestone revenue timing; antibody yield optimization.</x:v>
      </x:c>
      <x:c r="J923" s="5" t="str">
        <x:v>SOURCE QUOTE; unvalidated / superseded assessments</x:v>
      </x:c>
      <x:c r="L923" s="31" t="str">
        <x:v>D04, Markdown line 278; http://nas-1.tail55d152.ts.net:4100/static/2S_PHARMACEUTICALS_AND_CHEMICALS_SECTOR_DOSSIER.html</x:v>
      </x:c>
    </x:row>
    <x:row r="924" ht="42" customHeight="1">
      <x:c r="A924" s="5" t="str">
        <x:v>D04</x:v>
      </x:c>
      <x:c r="B924" s="5" t="str">
        <x:v>D04-T05</x:v>
      </x:c>
      <x:c r="C924" s="5" t="str">
        <x:v>5.4 Tier 4: Clinical-Stage Biopharma &amp; Innovators</x:v>
      </x:c>
      <x:c r="D924" s="5" t="n">
        <x:v>278</x:v>
      </x:c>
      <x:c r="E924" s="5" t="n">
        <x:v>7</x:v>
      </x:c>
      <x:c r="F924" s="5" t="str">
        <x:v>2S Consulting &amp; Numantra Strategic Lever</x:v>
      </x:c>
      <x:c r="G924" s="5" t="n">
        <x:v>1</x:v>
      </x:c>
      <x:c r="H924" s="5" t="n">
        <x:v>1</x:v>
      </x:c>
      <x:c r="I924" s="5" t="str">
        <x:v>Clinical R&amp;D Milestone Governance: Real-time cash burn cockpits; investigator grant tracking; biomanufacturing yield tracking.</x:v>
      </x:c>
      <x:c r="J924" s="5" t="str">
        <x:v>SOURCE QUOTE; unvalidated / superseded assessments</x:v>
      </x:c>
      <x:c r="L924" s="31" t="str">
        <x:v>D04, Markdown line 278; http://nas-1.tail55d152.ts.net:4100/static/2S_PHARMACEUTICALS_AND_CHEMICALS_SECTOR_DOSSIER.html</x:v>
      </x:c>
    </x:row>
    <x:row r="925" ht="42" customHeight="1">
      <x:c r="A925" s="5" t="str">
        <x:v>D04</x:v>
      </x:c>
      <x:c r="B925" s="5" t="str">
        <x:v>D04-T05</x:v>
      </x:c>
      <x:c r="C925" s="5" t="str">
        <x:v>5.4 Tier 4: Clinical-Stage Biopharma &amp; Innovators</x:v>
      </x:c>
      <x:c r="D925" s="5" t="n">
        <x:v>279</x:v>
      </x:c>
      <x:c r="E925" s="5" t="n">
        <x:v>1</x:v>
      </x:c>
      <x:c r="F925" s="5" t="str">
        <x:v>Company</x:v>
      </x:c>
      <x:c r="G925" s="5" t="n">
        <x:v>1</x:v>
      </x:c>
      <x:c r="H925" s="5" t="n">
        <x:v>1</x:v>
      </x:c>
      <x:c r="I925" s="5" t="str">
        <x:v>Alligator Bioscience AB</x:v>
      </x:c>
      <x:c r="J925" s="5" t="str">
        <x:v>SOURCE QUOTE; unvalidated / superseded assessments</x:v>
      </x:c>
      <x:c r="L925" s="31" t="str">
        <x:v>D04, Markdown line 279; http://nas-1.tail55d152.ts.net:4100/static/2S_PHARMACEUTICALS_AND_CHEMICALS_SECTOR_DOSSIER.html</x:v>
      </x:c>
    </x:row>
    <x:row r="926" ht="42" customHeight="1">
      <x:c r="A926" s="5" t="str">
        <x:v>D04</x:v>
      </x:c>
      <x:c r="B926" s="5" t="str">
        <x:v>D04-T05</x:v>
      </x:c>
      <x:c r="C926" s="5" t="str">
        <x:v>5.4 Tier 4: Clinical-Stage Biopharma &amp; Innovators</x:v>
      </x:c>
      <x:c r="D926" s="5" t="n">
        <x:v>279</x:v>
      </x:c>
      <x:c r="E926" s="5" t="n">
        <x:v>2</x:v>
      </x:c>
      <x:c r="F926" s="5" t="str">
        <x:v>HQ &amp; Key Sites</x:v>
      </x:c>
      <x:c r="G926" s="5" t="n">
        <x:v>1</x:v>
      </x:c>
      <x:c r="H926" s="5" t="n">
        <x:v>1</x:v>
      </x:c>
      <x:c r="I926" s="5" t="str">
        <x:v>Lund, SE</x:v>
      </x:c>
      <x:c r="J926" s="5" t="str">
        <x:v>SOURCE QUOTE; unvalidated / superseded assessments</x:v>
      </x:c>
      <x:c r="L926" s="31" t="str">
        <x:v>D04, Markdown line 279; http://nas-1.tail55d152.ts.net:4100/static/2S_PHARMACEUTICALS_AND_CHEMICALS_SECTOR_DOSSIER.html</x:v>
      </x:c>
    </x:row>
    <x:row r="927" ht="42" customHeight="1">
      <x:c r="A927" s="5" t="str">
        <x:v>D04</x:v>
      </x:c>
      <x:c r="B927" s="5" t="str">
        <x:v>D04-T05</x:v>
      </x:c>
      <x:c r="C927" s="5" t="str">
        <x:v>5.4 Tier 4: Clinical-Stage Biopharma &amp; Innovators</x:v>
      </x:c>
      <x:c r="D927" s="5" t="n">
        <x:v>279</x:v>
      </x:c>
      <x:c r="E927" s="5" t="n">
        <x:v>3</x:v>
      </x:c>
      <x:c r="F927" s="5" t="str">
        <x:v>Annual Revenue</x:v>
      </x:c>
      <x:c r="G927" s="5" t="n">
        <x:v>1</x:v>
      </x:c>
      <x:c r="H927" s="5" t="n">
        <x:v>1</x:v>
      </x:c>
      <x:c r="I927" s="5" t="str">
        <x:v>SEK 58.1M</x:v>
      </x:c>
      <x:c r="J927" s="5" t="str">
        <x:v>SOURCE QUOTE; unvalidated / superseded assessments</x:v>
      </x:c>
      <x:c r="L927" s="31" t="str">
        <x:v>D04, Markdown line 279; http://nas-1.tail55d152.ts.net:4100/static/2S_PHARMACEUTICALS_AND_CHEMICALS_SECTOR_DOSSIER.html</x:v>
      </x:c>
    </x:row>
    <x:row r="928" ht="42" customHeight="1">
      <x:c r="A928" s="5" t="str">
        <x:v>D04</x:v>
      </x:c>
      <x:c r="B928" s="5" t="str">
        <x:v>D04-T05</x:v>
      </x:c>
      <x:c r="C928" s="5" t="str">
        <x:v>5.4 Tier 4: Clinical-Stage Biopharma &amp; Innovators</x:v>
      </x:c>
      <x:c r="D928" s="5" t="n">
        <x:v>279</x:v>
      </x:c>
      <x:c r="E928" s="5" t="n">
        <x:v>4</x:v>
      </x:c>
      <x:c r="F928" s="5" t="str">
        <x:v>Annual R&amp;D Spend</x:v>
      </x:c>
      <x:c r="G928" s="5" t="n">
        <x:v>1</x:v>
      </x:c>
      <x:c r="H928" s="5" t="n">
        <x:v>1</x:v>
      </x:c>
      <x:c r="I928" s="5" t="str">
        <x:v>SEK 168.5M</x:v>
      </x:c>
      <x:c r="J928" s="5" t="str">
        <x:v>SOURCE QUOTE; unvalidated / superseded assessments</x:v>
      </x:c>
      <x:c r="L928" s="31" t="str">
        <x:v>D04, Markdown line 279; http://nas-1.tail55d152.ts.net:4100/static/2S_PHARMACEUTICALS_AND_CHEMICALS_SECTOR_DOSSIER.html</x:v>
      </x:c>
    </x:row>
    <x:row r="929" ht="42" customHeight="1">
      <x:c r="A929" s="5" t="str">
        <x:v>D04</x:v>
      </x:c>
      <x:c r="B929" s="5" t="str">
        <x:v>D04-T05</x:v>
      </x:c>
      <x:c r="C929" s="5" t="str">
        <x:v>5.4 Tier 4: Clinical-Stage Biopharma &amp; Innovators</x:v>
      </x:c>
      <x:c r="D929" s="5" t="n">
        <x:v>279</x:v>
      </x:c>
      <x:c r="E929" s="5" t="n">
        <x:v>5</x:v>
      </x:c>
      <x:c r="F929" s="5" t="str">
        <x:v>Core Modality &amp; Therapeutic Focus</x:v>
      </x:c>
      <x:c r="G929" s="5" t="n">
        <x:v>1</x:v>
      </x:c>
      <x:c r="H929" s="5" t="n">
        <x:v>1</x:v>
      </x:c>
      <x:c r="I929" s="5" t="str">
        <x:v>Tumor-directed immuno-oncology antibodies, CD40 agonists (Mitazalimab), 4-1BB bispecifics.</x:v>
      </x:c>
      <x:c r="J929" s="5" t="str">
        <x:v>SOURCE QUOTE; unvalidated / superseded assessments</x:v>
      </x:c>
      <x:c r="L929" s="31" t="str">
        <x:v>D04, Markdown line 279; http://nas-1.tail55d152.ts.net:4100/static/2S_PHARMACEUTICALS_AND_CHEMICALS_SECTOR_DOSSIER.html</x:v>
      </x:c>
    </x:row>
    <x:row r="930" ht="42" customHeight="1">
      <x:c r="A930" s="5" t="str">
        <x:v>D04</x:v>
      </x:c>
      <x:c r="B930" s="5" t="str">
        <x:v>D04-T05</x:v>
      </x:c>
      <x:c r="C930" s="5" t="str">
        <x:v>5.4 Tier 4: Clinical-Stage Biopharma &amp; Innovators</x:v>
      </x:c>
      <x:c r="D930" s="5" t="n">
        <x:v>279</x:v>
      </x:c>
      <x:c r="E930" s="5" t="n">
        <x:v>6</x:v>
      </x:c>
      <x:c r="F930" s="5" t="str">
        <x:v>Key Structural Pain Point</x:v>
      </x:c>
      <x:c r="G930" s="5" t="n">
        <x:v>1</x:v>
      </x:c>
      <x:c r="H930" s="5" t="n">
        <x:v>1</x:v>
      </x:c>
      <x:c r="I930" s="5" t="str">
        <x:v>Urgent cash runway constraints; patient recruitment speed in Phase II pancreatic cancer trials; partner co-development data sharing.</x:v>
      </x:c>
      <x:c r="J930" s="5" t="str">
        <x:v>SOURCE QUOTE; unvalidated / superseded assessments</x:v>
      </x:c>
      <x:c r="L930" s="31" t="str">
        <x:v>D04, Markdown line 279; http://nas-1.tail55d152.ts.net:4100/static/2S_PHARMACEUTICALS_AND_CHEMICALS_SECTOR_DOSSIER.html</x:v>
      </x:c>
    </x:row>
    <x:row r="931" ht="42" customHeight="1">
      <x:c r="A931" s="5" t="str">
        <x:v>D04</x:v>
      </x:c>
      <x:c r="B931" s="5" t="str">
        <x:v>D04-T05</x:v>
      </x:c>
      <x:c r="C931" s="5" t="str">
        <x:v>5.4 Tier 4: Clinical-Stage Biopharma &amp; Innovators</x:v>
      </x:c>
      <x:c r="D931" s="5" t="n">
        <x:v>279</x:v>
      </x:c>
      <x:c r="E931" s="5" t="n">
        <x:v>7</x:v>
      </x:c>
      <x:c r="F931" s="5" t="str">
        <x:v>2S Consulting &amp; Numantra Strategic Lever</x:v>
      </x:c>
      <x:c r="G931" s="5" t="n">
        <x:v>1</x:v>
      </x:c>
      <x:c r="H931" s="5" t="n">
        <x:v>1</x:v>
      </x:c>
      <x:c r="I931" s="5" t="str">
        <x:v>HCare360 NLP Patient Screening: Accelerating clinical site screening; trial burn prediction to secure partnership deals.</x:v>
      </x:c>
      <x:c r="J931" s="5" t="str">
        <x:v>SOURCE QUOTE; unvalidated / superseded assessments</x:v>
      </x:c>
      <x:c r="L931" s="31" t="str">
        <x:v>D04, Markdown line 279; http://nas-1.tail55d152.ts.net:4100/static/2S_PHARMACEUTICALS_AND_CHEMICALS_SECTOR_DOSSIER.html</x:v>
      </x:c>
    </x:row>
    <x:row r="932" ht="42" customHeight="1">
      <x:c r="A932" s="5" t="str">
        <x:v>D04</x:v>
      </x:c>
      <x:c r="B932" s="5" t="str">
        <x:v>D04-T05</x:v>
      </x:c>
      <x:c r="C932" s="5" t="str">
        <x:v>5.4 Tier 4: Clinical-Stage Biopharma &amp; Innovators</x:v>
      </x:c>
      <x:c r="D932" s="5" t="n">
        <x:v>280</x:v>
      </x:c>
      <x:c r="E932" s="5" t="n">
        <x:v>1</x:v>
      </x:c>
      <x:c r="F932" s="5" t="str">
        <x:v>Company</x:v>
      </x:c>
      <x:c r="G932" s="5" t="n">
        <x:v>1</x:v>
      </x:c>
      <x:c r="H932" s="5" t="n">
        <x:v>1</x:v>
      </x:c>
      <x:c r="I932" s="5" t="str">
        <x:v>Active Biotech AB</x:v>
      </x:c>
      <x:c r="J932" s="5" t="str">
        <x:v>SOURCE QUOTE; unvalidated / superseded assessments</x:v>
      </x:c>
      <x:c r="L932" s="31" t="str">
        <x:v>D04, Markdown line 280; http://nas-1.tail55d152.ts.net:4100/static/2S_PHARMACEUTICALS_AND_CHEMICALS_SECTOR_DOSSIER.html</x:v>
      </x:c>
    </x:row>
    <x:row r="933" ht="42" customHeight="1">
      <x:c r="A933" s="5" t="str">
        <x:v>D04</x:v>
      </x:c>
      <x:c r="B933" s="5" t="str">
        <x:v>D04-T05</x:v>
      </x:c>
      <x:c r="C933" s="5" t="str">
        <x:v>5.4 Tier 4: Clinical-Stage Biopharma &amp; Innovators</x:v>
      </x:c>
      <x:c r="D933" s="5" t="n">
        <x:v>280</x:v>
      </x:c>
      <x:c r="E933" s="5" t="n">
        <x:v>2</x:v>
      </x:c>
      <x:c r="F933" s="5" t="str">
        <x:v>HQ &amp; Key Sites</x:v>
      </x:c>
      <x:c r="G933" s="5" t="n">
        <x:v>1</x:v>
      </x:c>
      <x:c r="H933" s="5" t="n">
        <x:v>1</x:v>
      </x:c>
      <x:c r="I933" s="5" t="str">
        <x:v>Lund, SE</x:v>
      </x:c>
      <x:c r="J933" s="5" t="str">
        <x:v>SOURCE QUOTE; unvalidated / superseded assessments</x:v>
      </x:c>
      <x:c r="L933" s="31" t="str">
        <x:v>D04, Markdown line 280; http://nas-1.tail55d152.ts.net:4100/static/2S_PHARMACEUTICALS_AND_CHEMICALS_SECTOR_DOSSIER.html</x:v>
      </x:c>
    </x:row>
    <x:row r="934" ht="42" customHeight="1">
      <x:c r="A934" s="5" t="str">
        <x:v>D04</x:v>
      </x:c>
      <x:c r="B934" s="5" t="str">
        <x:v>D04-T05</x:v>
      </x:c>
      <x:c r="C934" s="5" t="str">
        <x:v>5.4 Tier 4: Clinical-Stage Biopharma &amp; Innovators</x:v>
      </x:c>
      <x:c r="D934" s="5" t="n">
        <x:v>280</x:v>
      </x:c>
      <x:c r="E934" s="5" t="n">
        <x:v>3</x:v>
      </x:c>
      <x:c r="F934" s="5" t="str">
        <x:v>Annual Revenue</x:v>
      </x:c>
      <x:c r="G934" s="5" t="n">
        <x:v>1</x:v>
      </x:c>
      <x:c r="H934" s="5" t="n">
        <x:v>1</x:v>
      </x:c>
      <x:c r="I934" s="5" t="str">
        <x:v>SEK 12.4M</x:v>
      </x:c>
      <x:c r="J934" s="5" t="str">
        <x:v>SOURCE QUOTE; unvalidated / superseded assessments</x:v>
      </x:c>
      <x:c r="L934" s="31" t="str">
        <x:v>D04, Markdown line 280; http://nas-1.tail55d152.ts.net:4100/static/2S_PHARMACEUTICALS_AND_CHEMICALS_SECTOR_DOSSIER.html</x:v>
      </x:c>
    </x:row>
    <x:row r="935" ht="42" customHeight="1">
      <x:c r="A935" s="5" t="str">
        <x:v>D04</x:v>
      </x:c>
      <x:c r="B935" s="5" t="str">
        <x:v>D04-T05</x:v>
      </x:c>
      <x:c r="C935" s="5" t="str">
        <x:v>5.4 Tier 4: Clinical-Stage Biopharma &amp; Innovators</x:v>
      </x:c>
      <x:c r="D935" s="5" t="n">
        <x:v>280</x:v>
      </x:c>
      <x:c r="E935" s="5" t="n">
        <x:v>4</x:v>
      </x:c>
      <x:c r="F935" s="5" t="str">
        <x:v>Annual R&amp;D Spend</x:v>
      </x:c>
      <x:c r="G935" s="5" t="n">
        <x:v>1</x:v>
      </x:c>
      <x:c r="H935" s="5" t="n">
        <x:v>1</x:v>
      </x:c>
      <x:c r="I935" s="5" t="str">
        <x:v>SEK 45.2M</x:v>
      </x:c>
      <x:c r="J935" s="5" t="str">
        <x:v>SOURCE QUOTE; unvalidated / superseded assessments</x:v>
      </x:c>
      <x:c r="L935" s="31" t="str">
        <x:v>D04, Markdown line 280; http://nas-1.tail55d152.ts.net:4100/static/2S_PHARMACEUTICALS_AND_CHEMICALS_SECTOR_DOSSIER.html</x:v>
      </x:c>
    </x:row>
    <x:row r="936" ht="42" customHeight="1">
      <x:c r="A936" s="5" t="str">
        <x:v>D04</x:v>
      </x:c>
      <x:c r="B936" s="5" t="str">
        <x:v>D04-T05</x:v>
      </x:c>
      <x:c r="C936" s="5" t="str">
        <x:v>5.4 Tier 4: Clinical-Stage Biopharma &amp; Innovators</x:v>
      </x:c>
      <x:c r="D936" s="5" t="n">
        <x:v>280</x:v>
      </x:c>
      <x:c r="E936" s="5" t="n">
        <x:v>5</x:v>
      </x:c>
      <x:c r="F936" s="5" t="str">
        <x:v>Core Modality &amp; Therapeutic Focus</x:v>
      </x:c>
      <x:c r="G936" s="5" t="n">
        <x:v>1</x:v>
      </x:c>
      <x:c r="H936" s="5" t="n">
        <x:v>1</x:v>
      </x:c>
      <x:c r="I936" s="5" t="str">
        <x:v>Small molecule immunomodulators, tasquinimod (myelofibrosis), laquinimod (eye diseases).</x:v>
      </x:c>
      <x:c r="J936" s="5" t="str">
        <x:v>SOURCE QUOTE; unvalidated / superseded assessments</x:v>
      </x:c>
      <x:c r="L936" s="31" t="str">
        <x:v>D04, Markdown line 280; http://nas-1.tail55d152.ts.net:4100/static/2S_PHARMACEUTICALS_AND_CHEMICALS_SECTOR_DOSSIER.html</x:v>
      </x:c>
    </x:row>
    <x:row r="937" ht="42" customHeight="1">
      <x:c r="A937" s="5" t="str">
        <x:v>D04</x:v>
      </x:c>
      <x:c r="B937" s="5" t="str">
        <x:v>D04-T05</x:v>
      </x:c>
      <x:c r="C937" s="5" t="str">
        <x:v>5.4 Tier 4: Clinical-Stage Biopharma &amp; Innovators</x:v>
      </x:c>
      <x:c r="D937" s="5" t="n">
        <x:v>280</x:v>
      </x:c>
      <x:c r="E937" s="5" t="n">
        <x:v>6</x:v>
      </x:c>
      <x:c r="F937" s="5" t="str">
        <x:v>Key Structural Pain Point</x:v>
      </x:c>
      <x:c r="G937" s="5" t="n">
        <x:v>1</x:v>
      </x:c>
      <x:c r="H937" s="5" t="n">
        <x:v>1</x:v>
      </x:c>
      <x:c r="I937" s="5" t="str">
        <x:v>Limited internal IT staff; reliance on external CRO data feeds; tight operational budget.</x:v>
      </x:c>
      <x:c r="J937" s="5" t="str">
        <x:v>SOURCE QUOTE; unvalidated / superseded assessments</x:v>
      </x:c>
      <x:c r="L937" s="31" t="str">
        <x:v>D04, Markdown line 280; http://nas-1.tail55d152.ts.net:4100/static/2S_PHARMACEUTICALS_AND_CHEMICALS_SECTOR_DOSSIER.html</x:v>
      </x:c>
    </x:row>
    <x:row r="938" ht="42" customHeight="1">
      <x:c r="A938" s="5" t="str">
        <x:v>D04</x:v>
      </x:c>
      <x:c r="B938" s="5" t="str">
        <x:v>D04-T05</x:v>
      </x:c>
      <x:c r="C938" s="5" t="str">
        <x:v>5.4 Tier 4: Clinical-Stage Biopharma &amp; Innovators</x:v>
      </x:c>
      <x:c r="D938" s="5" t="n">
        <x:v>280</x:v>
      </x:c>
      <x:c r="E938" s="5" t="n">
        <x:v>7</x:v>
      </x:c>
      <x:c r="F938" s="5" t="str">
        <x:v>2S Consulting &amp; Numantra Strategic Lever</x:v>
      </x:c>
      <x:c r="G938" s="5" t="n">
        <x:v>1</x:v>
      </x:c>
      <x:c r="H938" s="5" t="n">
        <x:v>1</x:v>
      </x:c>
      <x:c r="I938" s="5" t="str">
        <x:v>Fixed-Price GxP Trial Governance Sprint; outsourced clinical data pipeline maintenance.</x:v>
      </x:c>
      <x:c r="J938" s="5" t="str">
        <x:v>SOURCE QUOTE; unvalidated / superseded assessments</x:v>
      </x:c>
      <x:c r="L938" s="31" t="str">
        <x:v>D04, Markdown line 280; http://nas-1.tail55d152.ts.net:4100/static/2S_PHARMACEUTICALS_AND_CHEMICALS_SECTOR_DOSSIER.html</x:v>
      </x:c>
    </x:row>
    <x:row r="939" ht="42" customHeight="1">
      <x:c r="A939" s="5" t="str">
        <x:v>D04</x:v>
      </x:c>
      <x:c r="B939" s="5" t="str">
        <x:v>D04-T05</x:v>
      </x:c>
      <x:c r="C939" s="5" t="str">
        <x:v>5.4 Tier 4: Clinical-Stage Biopharma &amp; Innovators</x:v>
      </x:c>
      <x:c r="D939" s="5" t="n">
        <x:v>281</x:v>
      </x:c>
      <x:c r="E939" s="5" t="n">
        <x:v>1</x:v>
      </x:c>
      <x:c r="F939" s="5" t="str">
        <x:v>Company</x:v>
      </x:c>
      <x:c r="G939" s="5" t="n">
        <x:v>1</x:v>
      </x:c>
      <x:c r="H939" s="5" t="n">
        <x:v>1</x:v>
      </x:c>
      <x:c r="I939" s="5" t="str">
        <x:v>AlzeCure Pharma AB</x:v>
      </x:c>
      <x:c r="J939" s="5" t="str">
        <x:v>SOURCE QUOTE; unvalidated / superseded assessments</x:v>
      </x:c>
      <x:c r="L939" s="31" t="str">
        <x:v>D04, Markdown line 281; http://nas-1.tail55d152.ts.net:4100/static/2S_PHARMACEUTICALS_AND_CHEMICALS_SECTOR_DOSSIER.html</x:v>
      </x:c>
    </x:row>
    <x:row r="940" ht="42" customHeight="1">
      <x:c r="A940" s="5" t="str">
        <x:v>D04</x:v>
      </x:c>
      <x:c r="B940" s="5" t="str">
        <x:v>D04-T05</x:v>
      </x:c>
      <x:c r="C940" s="5" t="str">
        <x:v>5.4 Tier 4: Clinical-Stage Biopharma &amp; Innovators</x:v>
      </x:c>
      <x:c r="D940" s="5" t="n">
        <x:v>281</x:v>
      </x:c>
      <x:c r="E940" s="5" t="n">
        <x:v>2</x:v>
      </x:c>
      <x:c r="F940" s="5" t="str">
        <x:v>HQ &amp; Key Sites</x:v>
      </x:c>
      <x:c r="G940" s="5" t="n">
        <x:v>1</x:v>
      </x:c>
      <x:c r="H940" s="5" t="n">
        <x:v>1</x:v>
      </x:c>
      <x:c r="I940" s="5" t="str">
        <x:v>Huddinge / Stockholm, SE</x:v>
      </x:c>
      <x:c r="J940" s="5" t="str">
        <x:v>SOURCE QUOTE; unvalidated / superseded assessments</x:v>
      </x:c>
      <x:c r="L940" s="31" t="str">
        <x:v>D04, Markdown line 281; http://nas-1.tail55d152.ts.net:4100/static/2S_PHARMACEUTICALS_AND_CHEMICALS_SECTOR_DOSSIER.html</x:v>
      </x:c>
    </x:row>
    <x:row r="941" ht="42" customHeight="1">
      <x:c r="A941" s="5" t="str">
        <x:v>D04</x:v>
      </x:c>
      <x:c r="B941" s="5" t="str">
        <x:v>D04-T05</x:v>
      </x:c>
      <x:c r="C941" s="5" t="str">
        <x:v>5.4 Tier 4: Clinical-Stage Biopharma &amp; Innovators</x:v>
      </x:c>
      <x:c r="D941" s="5" t="n">
        <x:v>281</x:v>
      </x:c>
      <x:c r="E941" s="5" t="n">
        <x:v>3</x:v>
      </x:c>
      <x:c r="F941" s="5" t="str">
        <x:v>Annual Revenue</x:v>
      </x:c>
      <x:c r="G941" s="5" t="n">
        <x:v>1</x:v>
      </x:c>
      <x:c r="H941" s="5" t="n">
        <x:v>1</x:v>
      </x:c>
      <x:c r="I941" s="5" t="str">
        <x:v>Pre-revenue (SEK 0M)</x:v>
      </x:c>
      <x:c r="J941" s="5" t="str">
        <x:v>SOURCE QUOTE; unvalidated / superseded assessments</x:v>
      </x:c>
      <x:c r="L941" s="31" t="str">
        <x:v>D04, Markdown line 281; http://nas-1.tail55d152.ts.net:4100/static/2S_PHARMACEUTICALS_AND_CHEMICALS_SECTOR_DOSSIER.html</x:v>
      </x:c>
    </x:row>
    <x:row r="942" ht="42" customHeight="1">
      <x:c r="A942" s="5" t="str">
        <x:v>D04</x:v>
      </x:c>
      <x:c r="B942" s="5" t="str">
        <x:v>D04-T05</x:v>
      </x:c>
      <x:c r="C942" s="5" t="str">
        <x:v>5.4 Tier 4: Clinical-Stage Biopharma &amp; Innovators</x:v>
      </x:c>
      <x:c r="D942" s="5" t="n">
        <x:v>281</x:v>
      </x:c>
      <x:c r="E942" s="5" t="n">
        <x:v>4</x:v>
      </x:c>
      <x:c r="F942" s="5" t="str">
        <x:v>Annual R&amp;D Spend</x:v>
      </x:c>
      <x:c r="G942" s="5" t="n">
        <x:v>1</x:v>
      </x:c>
      <x:c r="H942" s="5" t="n">
        <x:v>1</x:v>
      </x:c>
      <x:c r="I942" s="5" t="str">
        <x:v>SEK 54.3M</x:v>
      </x:c>
      <x:c r="J942" s="5" t="str">
        <x:v>SOURCE QUOTE; unvalidated / superseded assessments</x:v>
      </x:c>
      <x:c r="L942" s="31" t="str">
        <x:v>D04, Markdown line 281; http://nas-1.tail55d152.ts.net:4100/static/2S_PHARMACEUTICALS_AND_CHEMICALS_SECTOR_DOSSIER.html</x:v>
      </x:c>
    </x:row>
    <x:row r="943" ht="42" customHeight="1">
      <x:c r="A943" s="5" t="str">
        <x:v>D04</x:v>
      </x:c>
      <x:c r="B943" s="5" t="str">
        <x:v>D04-T05</x:v>
      </x:c>
      <x:c r="C943" s="5" t="str">
        <x:v>5.4 Tier 4: Clinical-Stage Biopharma &amp; Innovators</x:v>
      </x:c>
      <x:c r="D943" s="5" t="n">
        <x:v>281</x:v>
      </x:c>
      <x:c r="E943" s="5" t="n">
        <x:v>5</x:v>
      </x:c>
      <x:c r="F943" s="5" t="str">
        <x:v>Core Modality &amp; Therapeutic Focus</x:v>
      </x:c>
      <x:c r="G943" s="5" t="n">
        <x:v>1</x:v>
      </x:c>
      <x:c r="H943" s="5" t="n">
        <x:v>1</x:v>
      </x:c>
      <x:c r="I943" s="5" t="str">
        <x:v>Small molecule neuro-therapeutics, Alzheimer's (Alzstatin), neuropathic pain (TrkA/VR1).</x:v>
      </x:c>
      <x:c r="J943" s="5" t="str">
        <x:v>SOURCE QUOTE; unvalidated / superseded assessments</x:v>
      </x:c>
      <x:c r="L943" s="31" t="str">
        <x:v>D04, Markdown line 281; http://nas-1.tail55d152.ts.net:4100/static/2S_PHARMACEUTICALS_AND_CHEMICALS_SECTOR_DOSSIER.html</x:v>
      </x:c>
    </x:row>
    <x:row r="944" ht="42" customHeight="1">
      <x:c r="A944" s="5" t="str">
        <x:v>D04</x:v>
      </x:c>
      <x:c r="B944" s="5" t="str">
        <x:v>D04-T05</x:v>
      </x:c>
      <x:c r="C944" s="5" t="str">
        <x:v>5.4 Tier 4: Clinical-Stage Biopharma &amp; Innovators</x:v>
      </x:c>
      <x:c r="D944" s="5" t="n">
        <x:v>281</x:v>
      </x:c>
      <x:c r="E944" s="5" t="n">
        <x:v>6</x:v>
      </x:c>
      <x:c r="F944" s="5" t="str">
        <x:v>Key Structural Pain Point</x:v>
      </x:c>
      <x:c r="G944" s="5" t="n">
        <x:v>1</x:v>
      </x:c>
      <x:c r="H944" s="5" t="n">
        <x:v>1</x:v>
      </x:c>
      <x:c r="I944" s="5" t="str">
        <x:v>Preclinical-to-clinical transition hurdles; managing multiple CRO partner contracts simultaneously.</x:v>
      </x:c>
      <x:c r="J944" s="5" t="str">
        <x:v>SOURCE QUOTE; unvalidated / superseded assessments</x:v>
      </x:c>
      <x:c r="L944" s="31" t="str">
        <x:v>D04, Markdown line 281; http://nas-1.tail55d152.ts.net:4100/static/2S_PHARMACEUTICALS_AND_CHEMICALS_SECTOR_DOSSIER.html</x:v>
      </x:c>
    </x:row>
    <x:row r="945" ht="42" customHeight="1">
      <x:c r="A945" s="5" t="str">
        <x:v>D04</x:v>
      </x:c>
      <x:c r="B945" s="5" t="str">
        <x:v>D04-T05</x:v>
      </x:c>
      <x:c r="C945" s="5" t="str">
        <x:v>5.4 Tier 4: Clinical-Stage Biopharma &amp; Innovators</x:v>
      </x:c>
      <x:c r="D945" s="5" t="n">
        <x:v>281</x:v>
      </x:c>
      <x:c r="E945" s="5" t="n">
        <x:v>7</x:v>
      </x:c>
      <x:c r="F945" s="5" t="str">
        <x:v>2S Consulting &amp; Numantra Strategic Lever</x:v>
      </x:c>
      <x:c r="G945" s="5" t="n">
        <x:v>1</x:v>
      </x:c>
      <x:c r="H945" s="5" t="n">
        <x:v>1</x:v>
      </x:c>
      <x:c r="I945" s="5" t="str">
        <x:v>CRO Contract Performance &amp; Milestone Verification Dashboard.</x:v>
      </x:c>
      <x:c r="J945" s="5" t="str">
        <x:v>SOURCE QUOTE; unvalidated / superseded assessments</x:v>
      </x:c>
      <x:c r="L945" s="31" t="str">
        <x:v>D04, Markdown line 281; http://nas-1.tail55d152.ts.net:4100/static/2S_PHARMACEUTICALS_AND_CHEMICALS_SECTOR_DOSSIER.html</x:v>
      </x:c>
    </x:row>
    <x:row r="946" ht="42" customHeight="1">
      <x:c r="A946" s="5" t="str">
        <x:v>D04</x:v>
      </x:c>
      <x:c r="B946" s="5" t="str">
        <x:v>D04-T05</x:v>
      </x:c>
      <x:c r="C946" s="5" t="str">
        <x:v>5.4 Tier 4: Clinical-Stage Biopharma &amp; Innovators</x:v>
      </x:c>
      <x:c r="D946" s="5" t="n">
        <x:v>282</x:v>
      </x:c>
      <x:c r="E946" s="5" t="n">
        <x:v>1</x:v>
      </x:c>
      <x:c r="F946" s="5" t="str">
        <x:v>Company</x:v>
      </x:c>
      <x:c r="G946" s="5" t="n">
        <x:v>1</x:v>
      </x:c>
      <x:c r="H946" s="5" t="n">
        <x:v>1</x:v>
      </x:c>
      <x:c r="I946" s="5" t="str">
        <x:v>Alzinova AB</x:v>
      </x:c>
      <x:c r="J946" s="5" t="str">
        <x:v>SOURCE QUOTE; unvalidated / superseded assessments</x:v>
      </x:c>
      <x:c r="L946" s="31" t="str">
        <x:v>D04, Markdown line 282; http://nas-1.tail55d152.ts.net:4100/static/2S_PHARMACEUTICALS_AND_CHEMICALS_SECTOR_DOSSIER.html</x:v>
      </x:c>
    </x:row>
    <x:row r="947" ht="42" customHeight="1">
      <x:c r="A947" s="5" t="str">
        <x:v>D04</x:v>
      </x:c>
      <x:c r="B947" s="5" t="str">
        <x:v>D04-T05</x:v>
      </x:c>
      <x:c r="C947" s="5" t="str">
        <x:v>5.4 Tier 4: Clinical-Stage Biopharma &amp; Innovators</x:v>
      </x:c>
      <x:c r="D947" s="5" t="n">
        <x:v>282</x:v>
      </x:c>
      <x:c r="E947" s="5" t="n">
        <x:v>2</x:v>
      </x:c>
      <x:c r="F947" s="5" t="str">
        <x:v>HQ &amp; Key Sites</x:v>
      </x:c>
      <x:c r="G947" s="5" t="n">
        <x:v>1</x:v>
      </x:c>
      <x:c r="H947" s="5" t="n">
        <x:v>1</x:v>
      </x:c>
      <x:c r="I947" s="5" t="str">
        <x:v>Gothenburg, SE</x:v>
      </x:c>
      <x:c r="J947" s="5" t="str">
        <x:v>SOURCE QUOTE; unvalidated / superseded assessments</x:v>
      </x:c>
      <x:c r="L947" s="31" t="str">
        <x:v>D04, Markdown line 282; http://nas-1.tail55d152.ts.net:4100/static/2S_PHARMACEUTICALS_AND_CHEMICALS_SECTOR_DOSSIER.html</x:v>
      </x:c>
    </x:row>
    <x:row r="948" ht="42" customHeight="1">
      <x:c r="A948" s="5" t="str">
        <x:v>D04</x:v>
      </x:c>
      <x:c r="B948" s="5" t="str">
        <x:v>D04-T05</x:v>
      </x:c>
      <x:c r="C948" s="5" t="str">
        <x:v>5.4 Tier 4: Clinical-Stage Biopharma &amp; Innovators</x:v>
      </x:c>
      <x:c r="D948" s="5" t="n">
        <x:v>282</x:v>
      </x:c>
      <x:c r="E948" s="5" t="n">
        <x:v>3</x:v>
      </x:c>
      <x:c r="F948" s="5" t="str">
        <x:v>Annual Revenue</x:v>
      </x:c>
      <x:c r="G948" s="5" t="n">
        <x:v>1</x:v>
      </x:c>
      <x:c r="H948" s="5" t="n">
        <x:v>1</x:v>
      </x:c>
      <x:c r="I948" s="5" t="str">
        <x:v>Pre-revenue (SEK 0.3M)</x:v>
      </x:c>
      <x:c r="J948" s="5" t="str">
        <x:v>SOURCE QUOTE; unvalidated / superseded assessments</x:v>
      </x:c>
      <x:c r="L948" s="31" t="str">
        <x:v>D04, Markdown line 282; http://nas-1.tail55d152.ts.net:4100/static/2S_PHARMACEUTICALS_AND_CHEMICALS_SECTOR_DOSSIER.html</x:v>
      </x:c>
    </x:row>
    <x:row r="949" ht="42" customHeight="1">
      <x:c r="A949" s="5" t="str">
        <x:v>D04</x:v>
      </x:c>
      <x:c r="B949" s="5" t="str">
        <x:v>D04-T05</x:v>
      </x:c>
      <x:c r="C949" s="5" t="str">
        <x:v>5.4 Tier 4: Clinical-Stage Biopharma &amp; Innovators</x:v>
      </x:c>
      <x:c r="D949" s="5" t="n">
        <x:v>282</x:v>
      </x:c>
      <x:c r="E949" s="5" t="n">
        <x:v>4</x:v>
      </x:c>
      <x:c r="F949" s="5" t="str">
        <x:v>Annual R&amp;D Spend</x:v>
      </x:c>
      <x:c r="G949" s="5" t="n">
        <x:v>1</x:v>
      </x:c>
      <x:c r="H949" s="5" t="n">
        <x:v>1</x:v>
      </x:c>
      <x:c r="I949" s="5" t="str">
        <x:v>SEK 28.5M</x:v>
      </x:c>
      <x:c r="J949" s="5" t="str">
        <x:v>SOURCE QUOTE; unvalidated / superseded assessments</x:v>
      </x:c>
      <x:c r="L949" s="31" t="str">
        <x:v>D04, Markdown line 282; http://nas-1.tail55d152.ts.net:4100/static/2S_PHARMACEUTICALS_AND_CHEMICALS_SECTOR_DOSSIER.html</x:v>
      </x:c>
    </x:row>
    <x:row r="950" ht="42" customHeight="1">
      <x:c r="A950" s="5" t="str">
        <x:v>D04</x:v>
      </x:c>
      <x:c r="B950" s="5" t="str">
        <x:v>D04-T05</x:v>
      </x:c>
      <x:c r="C950" s="5" t="str">
        <x:v>5.4 Tier 4: Clinical-Stage Biopharma &amp; Innovators</x:v>
      </x:c>
      <x:c r="D950" s="5" t="n">
        <x:v>282</x:v>
      </x:c>
      <x:c r="E950" s="5" t="n">
        <x:v>5</x:v>
      </x:c>
      <x:c r="F950" s="5" t="str">
        <x:v>Core Modality &amp; Therapeutic Focus</x:v>
      </x:c>
      <x:c r="G950" s="5" t="n">
        <x:v>1</x:v>
      </x:c>
      <x:c r="H950" s="5" t="n">
        <x:v>1</x:v>
      </x:c>
      <x:c r="I950" s="5" t="str">
        <x:v>Peptide-based oligomer-specific active immunotherapy for Alzheimer's disease (ALZ-101).</x:v>
      </x:c>
      <x:c r="J950" s="5" t="str">
        <x:v>SOURCE QUOTE; unvalidated / superseded assessments</x:v>
      </x:c>
      <x:c r="L950" s="31" t="str">
        <x:v>D04, Markdown line 282; http://nas-1.tail55d152.ts.net:4100/static/2S_PHARMACEUTICALS_AND_CHEMICALS_SECTOR_DOSSIER.html</x:v>
      </x:c>
    </x:row>
    <x:row r="951" ht="42" customHeight="1">
      <x:c r="A951" s="5" t="str">
        <x:v>D04</x:v>
      </x:c>
      <x:c r="B951" s="5" t="str">
        <x:v>D04-T05</x:v>
      </x:c>
      <x:c r="C951" s="5" t="str">
        <x:v>5.4 Tier 4: Clinical-Stage Biopharma &amp; Innovators</x:v>
      </x:c>
      <x:c r="D951" s="5" t="n">
        <x:v>282</x:v>
      </x:c>
      <x:c r="E951" s="5" t="n">
        <x:v>6</x:v>
      </x:c>
      <x:c r="F951" s="5" t="str">
        <x:v>Key Structural Pain Point</x:v>
      </x:c>
      <x:c r="G951" s="5" t="n">
        <x:v>1</x:v>
      </x:c>
      <x:c r="H951" s="5" t="n">
        <x:v>1</x:v>
      </x:c>
      <x:c r="I951" s="5" t="str">
        <x:v>High cost of specialized peptide antigens; Phase II clinical trial preparatory costs.</x:v>
      </x:c>
      <x:c r="J951" s="5" t="str">
        <x:v>SOURCE QUOTE; unvalidated / superseded assessments</x:v>
      </x:c>
      <x:c r="L951" s="31" t="str">
        <x:v>D04, Markdown line 282; http://nas-1.tail55d152.ts.net:4100/static/2S_PHARMACEUTICALS_AND_CHEMICALS_SECTOR_DOSSIER.html</x:v>
      </x:c>
    </x:row>
    <x:row r="952" ht="42" customHeight="1">
      <x:c r="A952" s="5" t="str">
        <x:v>D04</x:v>
      </x:c>
      <x:c r="B952" s="5" t="str">
        <x:v>D04-T05</x:v>
      </x:c>
      <x:c r="C952" s="5" t="str">
        <x:v>5.4 Tier 4: Clinical-Stage Biopharma &amp; Innovators</x:v>
      </x:c>
      <x:c r="D952" s="5" t="n">
        <x:v>282</x:v>
      </x:c>
      <x:c r="E952" s="5" t="n">
        <x:v>7</x:v>
      </x:c>
      <x:c r="F952" s="5" t="str">
        <x:v>2S Consulting &amp; Numantra Strategic Lever</x:v>
      </x:c>
      <x:c r="G952" s="5" t="n">
        <x:v>1</x:v>
      </x:c>
      <x:c r="H952" s="5" t="n">
        <x:v>1</x:v>
      </x:c>
      <x:c r="I952" s="5" t="str">
        <x:v>Peptide Antigen Sourcing Cost Analytics; clinical trial site budget optimization.</x:v>
      </x:c>
      <x:c r="J952" s="5" t="str">
        <x:v>SOURCE QUOTE; unvalidated / superseded assessments</x:v>
      </x:c>
      <x:c r="L952" s="31" t="str">
        <x:v>D04, Markdown line 282; http://nas-1.tail55d152.ts.net:4100/static/2S_PHARMACEUTICALS_AND_CHEMICALS_SECTOR_DOSSIER.html</x:v>
      </x:c>
    </x:row>
    <x:row r="953" ht="42" customHeight="1">
      <x:c r="A953" s="5" t="str">
        <x:v>D04</x:v>
      </x:c>
      <x:c r="B953" s="5" t="str">
        <x:v>D04-T05</x:v>
      </x:c>
      <x:c r="C953" s="5" t="str">
        <x:v>5.4 Tier 4: Clinical-Stage Biopharma &amp; Innovators</x:v>
      </x:c>
      <x:c r="D953" s="5" t="n">
        <x:v>283</x:v>
      </x:c>
      <x:c r="E953" s="5" t="n">
        <x:v>1</x:v>
      </x:c>
      <x:c r="F953" s="5" t="str">
        <x:v>Company</x:v>
      </x:c>
      <x:c r="G953" s="5" t="n">
        <x:v>1</x:v>
      </x:c>
      <x:c r="H953" s="5" t="n">
        <x:v>1</x:v>
      </x:c>
      <x:c r="I953" s="5" t="str">
        <x:v>Ascelia Pharma AB</x:v>
      </x:c>
      <x:c r="J953" s="5" t="str">
        <x:v>SOURCE QUOTE; unvalidated / superseded assessments</x:v>
      </x:c>
      <x:c r="L953" s="31" t="str">
        <x:v>D04, Markdown line 283; http://nas-1.tail55d152.ts.net:4100/static/2S_PHARMACEUTICALS_AND_CHEMICALS_SECTOR_DOSSIER.html</x:v>
      </x:c>
    </x:row>
    <x:row r="954" ht="42" customHeight="1">
      <x:c r="A954" s="5" t="str">
        <x:v>D04</x:v>
      </x:c>
      <x:c r="B954" s="5" t="str">
        <x:v>D04-T05</x:v>
      </x:c>
      <x:c r="C954" s="5" t="str">
        <x:v>5.4 Tier 4: Clinical-Stage Biopharma &amp; Innovators</x:v>
      </x:c>
      <x:c r="D954" s="5" t="n">
        <x:v>283</x:v>
      </x:c>
      <x:c r="E954" s="5" t="n">
        <x:v>2</x:v>
      </x:c>
      <x:c r="F954" s="5" t="str">
        <x:v>HQ &amp; Key Sites</x:v>
      </x:c>
      <x:c r="G954" s="5" t="n">
        <x:v>1</x:v>
      </x:c>
      <x:c r="H954" s="5" t="n">
        <x:v>1</x:v>
      </x:c>
      <x:c r="I954" s="5" t="str">
        <x:v>Malmö, SE</x:v>
      </x:c>
      <x:c r="J954" s="5" t="str">
        <x:v>SOURCE QUOTE; unvalidated / superseded assessments</x:v>
      </x:c>
      <x:c r="L954" s="31" t="str">
        <x:v>D04, Markdown line 283; http://nas-1.tail55d152.ts.net:4100/static/2S_PHARMACEUTICALS_AND_CHEMICALS_SECTOR_DOSSIER.html</x:v>
      </x:c>
    </x:row>
    <x:row r="955" ht="42" customHeight="1">
      <x:c r="A955" s="5" t="str">
        <x:v>D04</x:v>
      </x:c>
      <x:c r="B955" s="5" t="str">
        <x:v>D04-T05</x:v>
      </x:c>
      <x:c r="C955" s="5" t="str">
        <x:v>5.4 Tier 4: Clinical-Stage Biopharma &amp; Innovators</x:v>
      </x:c>
      <x:c r="D955" s="5" t="n">
        <x:v>283</x:v>
      </x:c>
      <x:c r="E955" s="5" t="n">
        <x:v>3</x:v>
      </x:c>
      <x:c r="F955" s="5" t="str">
        <x:v>Annual Revenue</x:v>
      </x:c>
      <x:c r="G955" s="5" t="n">
        <x:v>1</x:v>
      </x:c>
      <x:c r="H955" s="5" t="n">
        <x:v>1</x:v>
      </x:c>
      <x:c r="I955" s="5" t="str">
        <x:v>Pre-revenue (SEK 0M)</x:v>
      </x:c>
      <x:c r="J955" s="5" t="str">
        <x:v>SOURCE QUOTE; unvalidated / superseded assessments</x:v>
      </x:c>
      <x:c r="L955" s="31" t="str">
        <x:v>D04, Markdown line 283; http://nas-1.tail55d152.ts.net:4100/static/2S_PHARMACEUTICALS_AND_CHEMICALS_SECTOR_DOSSIER.html</x:v>
      </x:c>
    </x:row>
    <x:row r="956" ht="42" customHeight="1">
      <x:c r="A956" s="5" t="str">
        <x:v>D04</x:v>
      </x:c>
      <x:c r="B956" s="5" t="str">
        <x:v>D04-T05</x:v>
      </x:c>
      <x:c r="C956" s="5" t="str">
        <x:v>5.4 Tier 4: Clinical-Stage Biopharma &amp; Innovators</x:v>
      </x:c>
      <x:c r="D956" s="5" t="n">
        <x:v>283</x:v>
      </x:c>
      <x:c r="E956" s="5" t="n">
        <x:v>4</x:v>
      </x:c>
      <x:c r="F956" s="5" t="str">
        <x:v>Annual R&amp;D Spend</x:v>
      </x:c>
      <x:c r="G956" s="5" t="n">
        <x:v>1</x:v>
      </x:c>
      <x:c r="H956" s="5" t="n">
        <x:v>1</x:v>
      </x:c>
      <x:c r="I956" s="5" t="str">
        <x:v>SEK 82.1M</x:v>
      </x:c>
      <x:c r="J956" s="5" t="str">
        <x:v>SOURCE QUOTE; unvalidated / superseded assessments</x:v>
      </x:c>
      <x:c r="L956" s="31" t="str">
        <x:v>D04, Markdown line 283; http://nas-1.tail55d152.ts.net:4100/static/2S_PHARMACEUTICALS_AND_CHEMICALS_SECTOR_DOSSIER.html</x:v>
      </x:c>
    </x:row>
    <x:row r="957" ht="42" customHeight="1">
      <x:c r="A957" s="5" t="str">
        <x:v>D04</x:v>
      </x:c>
      <x:c r="B957" s="5" t="str">
        <x:v>D04-T05</x:v>
      </x:c>
      <x:c r="C957" s="5" t="str">
        <x:v>5.4 Tier 4: Clinical-Stage Biopharma &amp; Innovators</x:v>
      </x:c>
      <x:c r="D957" s="5" t="n">
        <x:v>283</x:v>
      </x:c>
      <x:c r="E957" s="5" t="n">
        <x:v>5</x:v>
      </x:c>
      <x:c r="F957" s="5" t="str">
        <x:v>Core Modality &amp; Therapeutic Focus</x:v>
      </x:c>
      <x:c r="G957" s="5" t="n">
        <x:v>1</x:v>
      </x:c>
      <x:c r="H957" s="5" t="n">
        <x:v>1</x:v>
      </x:c>
      <x:c r="I957" s="5" t="str">
        <x:v>Manganese-based liver imaging contrast agent (Mangoral), kidney impairment imaging.</x:v>
      </x:c>
      <x:c r="J957" s="5" t="str">
        <x:v>SOURCE QUOTE; unvalidated / superseded assessments</x:v>
      </x:c>
      <x:c r="L957" s="31" t="str">
        <x:v>D04, Markdown line 283; http://nas-1.tail55d152.ts.net:4100/static/2S_PHARMACEUTICALS_AND_CHEMICALS_SECTOR_DOSSIER.html</x:v>
      </x:c>
    </x:row>
    <x:row r="958" ht="42" customHeight="1">
      <x:c r="A958" s="5" t="str">
        <x:v>D04</x:v>
      </x:c>
      <x:c r="B958" s="5" t="str">
        <x:v>D04-T05</x:v>
      </x:c>
      <x:c r="C958" s="5" t="str">
        <x:v>5.4 Tier 4: Clinical-Stage Biopharma &amp; Innovators</x:v>
      </x:c>
      <x:c r="D958" s="5" t="n">
        <x:v>283</x:v>
      </x:c>
      <x:c r="E958" s="5" t="n">
        <x:v>6</x:v>
      </x:c>
      <x:c r="F958" s="5" t="str">
        <x:v>Key Structural Pain Point</x:v>
      </x:c>
      <x:c r="G958" s="5" t="n">
        <x:v>1</x:v>
      </x:c>
      <x:c r="H958" s="5" t="n">
        <x:v>1</x:v>
      </x:c>
      <x:c r="I958" s="5" t="str">
        <x:v>Re-evaluation of Phase III clinical trial imaging reads; regulatory dossier resubmission burn.</x:v>
      </x:c>
      <x:c r="J958" s="5" t="str">
        <x:v>SOURCE QUOTE; unvalidated / superseded assessments</x:v>
      </x:c>
      <x:c r="L958" s="31" t="str">
        <x:v>D04, Markdown line 283; http://nas-1.tail55d152.ts.net:4100/static/2S_PHARMACEUTICALS_AND_CHEMICALS_SECTOR_DOSSIER.html</x:v>
      </x:c>
    </x:row>
    <x:row r="959" ht="42" customHeight="1">
      <x:c r="A959" s="5" t="str">
        <x:v>D04</x:v>
      </x:c>
      <x:c r="B959" s="5" t="str">
        <x:v>D04-T05</x:v>
      </x:c>
      <x:c r="C959" s="5" t="str">
        <x:v>5.4 Tier 4: Clinical-Stage Biopharma &amp; Innovators</x:v>
      </x:c>
      <x:c r="D959" s="5" t="n">
        <x:v>283</x:v>
      </x:c>
      <x:c r="E959" s="5" t="n">
        <x:v>7</x:v>
      </x:c>
      <x:c r="F959" s="5" t="str">
        <x:v>2S Consulting &amp; Numantra Strategic Lever</x:v>
      </x:c>
      <x:c r="G959" s="5" t="n">
        <x:v>1</x:v>
      </x:c>
      <x:c r="H959" s="5" t="n">
        <x:v>1</x:v>
      </x:c>
      <x:c r="I959" s="5" t="str">
        <x:v>Image Reading Workflow Audit; FDA/EMA regulatory dossier traceability.</x:v>
      </x:c>
      <x:c r="J959" s="5" t="str">
        <x:v>SOURCE QUOTE; unvalidated / superseded assessments</x:v>
      </x:c>
      <x:c r="L959" s="31" t="str">
        <x:v>D04, Markdown line 283; http://nas-1.tail55d152.ts.net:4100/static/2S_PHARMACEUTICALS_AND_CHEMICALS_SECTOR_DOSSIER.html</x:v>
      </x:c>
    </x:row>
    <x:row r="960" ht="42" customHeight="1">
      <x:c r="A960" s="5" t="str">
        <x:v>D04</x:v>
      </x:c>
      <x:c r="B960" s="5" t="str">
        <x:v>D04-T05</x:v>
      </x:c>
      <x:c r="C960" s="5" t="str">
        <x:v>5.4 Tier 4: Clinical-Stage Biopharma &amp; Innovators</x:v>
      </x:c>
      <x:c r="D960" s="5" t="n">
        <x:v>284</x:v>
      </x:c>
      <x:c r="E960" s="5" t="n">
        <x:v>1</x:v>
      </x:c>
      <x:c r="F960" s="5" t="str">
        <x:v>Company</x:v>
      </x:c>
      <x:c r="G960" s="5" t="n">
        <x:v>1</x:v>
      </x:c>
      <x:c r="H960" s="5" t="n">
        <x:v>1</x:v>
      </x:c>
      <x:c r="I960" s="5" t="str">
        <x:v>Cereno Scientific AB</x:v>
      </x:c>
      <x:c r="J960" s="5" t="str">
        <x:v>SOURCE QUOTE; unvalidated / superseded assessments</x:v>
      </x:c>
      <x:c r="L960" s="31" t="str">
        <x:v>D04, Markdown line 284; http://nas-1.tail55d152.ts.net:4100/static/2S_PHARMACEUTICALS_AND_CHEMICALS_SECTOR_DOSSIER.html</x:v>
      </x:c>
    </x:row>
    <x:row r="961" ht="42" customHeight="1">
      <x:c r="A961" s="5" t="str">
        <x:v>D04</x:v>
      </x:c>
      <x:c r="B961" s="5" t="str">
        <x:v>D04-T05</x:v>
      </x:c>
      <x:c r="C961" s="5" t="str">
        <x:v>5.4 Tier 4: Clinical-Stage Biopharma &amp; Innovators</x:v>
      </x:c>
      <x:c r="D961" s="5" t="n">
        <x:v>284</x:v>
      </x:c>
      <x:c r="E961" s="5" t="n">
        <x:v>2</x:v>
      </x:c>
      <x:c r="F961" s="5" t="str">
        <x:v>HQ &amp; Key Sites</x:v>
      </x:c>
      <x:c r="G961" s="5" t="n">
        <x:v>1</x:v>
      </x:c>
      <x:c r="H961" s="5" t="n">
        <x:v>1</x:v>
      </x:c>
      <x:c r="I961" s="5" t="str">
        <x:v>Gothenburg, SE</x:v>
      </x:c>
      <x:c r="J961" s="5" t="str">
        <x:v>SOURCE QUOTE; unvalidated / superseded assessments</x:v>
      </x:c>
      <x:c r="L961" s="31" t="str">
        <x:v>D04, Markdown line 284; http://nas-1.tail55d152.ts.net:4100/static/2S_PHARMACEUTICALS_AND_CHEMICALS_SECTOR_DOSSIER.html</x:v>
      </x:c>
    </x:row>
    <x:row r="962" ht="42" customHeight="1">
      <x:c r="A962" s="5" t="str">
        <x:v>D04</x:v>
      </x:c>
      <x:c r="B962" s="5" t="str">
        <x:v>D04-T05</x:v>
      </x:c>
      <x:c r="C962" s="5" t="str">
        <x:v>5.4 Tier 4: Clinical-Stage Biopharma &amp; Innovators</x:v>
      </x:c>
      <x:c r="D962" s="5" t="n">
        <x:v>284</x:v>
      </x:c>
      <x:c r="E962" s="5" t="n">
        <x:v>3</x:v>
      </x:c>
      <x:c r="F962" s="5" t="str">
        <x:v>Annual Revenue</x:v>
      </x:c>
      <x:c r="G962" s="5" t="n">
        <x:v>1</x:v>
      </x:c>
      <x:c r="H962" s="5" t="n">
        <x:v>1</x:v>
      </x:c>
      <x:c r="I962" s="5" t="str">
        <x:v>Pre-revenue (SEK 0M)</x:v>
      </x:c>
      <x:c r="J962" s="5" t="str">
        <x:v>SOURCE QUOTE; unvalidated / superseded assessments</x:v>
      </x:c>
      <x:c r="L962" s="31" t="str">
        <x:v>D04, Markdown line 284; http://nas-1.tail55d152.ts.net:4100/static/2S_PHARMACEUTICALS_AND_CHEMICALS_SECTOR_DOSSIER.html</x:v>
      </x:c>
    </x:row>
    <x:row r="963" ht="42" customHeight="1">
      <x:c r="A963" s="5" t="str">
        <x:v>D04</x:v>
      </x:c>
      <x:c r="B963" s="5" t="str">
        <x:v>D04-T05</x:v>
      </x:c>
      <x:c r="C963" s="5" t="str">
        <x:v>5.4 Tier 4: Clinical-Stage Biopharma &amp; Innovators</x:v>
      </x:c>
      <x:c r="D963" s="5" t="n">
        <x:v>284</x:v>
      </x:c>
      <x:c r="E963" s="5" t="n">
        <x:v>4</x:v>
      </x:c>
      <x:c r="F963" s="5" t="str">
        <x:v>Annual R&amp;D Spend</x:v>
      </x:c>
      <x:c r="G963" s="5" t="n">
        <x:v>1</x:v>
      </x:c>
      <x:c r="H963" s="5" t="n">
        <x:v>1</x:v>
      </x:c>
      <x:c r="I963" s="5" t="str">
        <x:v>SEK 78.4M</x:v>
      </x:c>
      <x:c r="J963" s="5" t="str">
        <x:v>SOURCE QUOTE; unvalidated / superseded assessments</x:v>
      </x:c>
      <x:c r="L963" s="31" t="str">
        <x:v>D04, Markdown line 284; http://nas-1.tail55d152.ts.net:4100/static/2S_PHARMACEUTICALS_AND_CHEMICALS_SECTOR_DOSSIER.html</x:v>
      </x:c>
    </x:row>
    <x:row r="964" ht="42" customHeight="1">
      <x:c r="A964" s="5" t="str">
        <x:v>D04</x:v>
      </x:c>
      <x:c r="B964" s="5" t="str">
        <x:v>D04-T05</x:v>
      </x:c>
      <x:c r="C964" s="5" t="str">
        <x:v>5.4 Tier 4: Clinical-Stage Biopharma &amp; Innovators</x:v>
      </x:c>
      <x:c r="D964" s="5" t="n">
        <x:v>284</x:v>
      </x:c>
      <x:c r="E964" s="5" t="n">
        <x:v>5</x:v>
      </x:c>
      <x:c r="F964" s="5" t="str">
        <x:v>Core Modality &amp; Therapeutic Focus</x:v>
      </x:c>
      <x:c r="G964" s="5" t="n">
        <x:v>1</x:v>
      </x:c>
      <x:c r="H964" s="5" t="n">
        <x:v>1</x:v>
      </x:c>
      <x:c r="I964" s="5" t="str">
        <x:v>Epigenetic modulation (HDAC inhibitors), pulmonary arterial hypertension (CS1).</x:v>
      </x:c>
      <x:c r="J964" s="5" t="str">
        <x:v>SOURCE QUOTE; unvalidated / superseded assessments</x:v>
      </x:c>
      <x:c r="L964" s="31" t="str">
        <x:v>D04, Markdown line 284; http://nas-1.tail55d152.ts.net:4100/static/2S_PHARMACEUTICALS_AND_CHEMICALS_SECTOR_DOSSIER.html</x:v>
      </x:c>
    </x:row>
    <x:row r="965" ht="42" customHeight="1">
      <x:c r="A965" s="5" t="str">
        <x:v>D04</x:v>
      </x:c>
      <x:c r="B965" s="5" t="str">
        <x:v>D04-T05</x:v>
      </x:c>
      <x:c r="C965" s="5" t="str">
        <x:v>5.4 Tier 4: Clinical-Stage Biopharma &amp; Innovators</x:v>
      </x:c>
      <x:c r="D965" s="5" t="n">
        <x:v>284</x:v>
      </x:c>
      <x:c r="E965" s="5" t="n">
        <x:v>6</x:v>
      </x:c>
      <x:c r="F965" s="5" t="str">
        <x:v>Key Structural Pain Point</x:v>
      </x:c>
      <x:c r="G965" s="5" t="n">
        <x:v>1</x:v>
      </x:c>
      <x:c r="H965" s="5" t="n">
        <x:v>1</x:v>
      </x:c>
      <x:c r="I965" s="5" t="str">
        <x:v>High trial complexity integrating continuous pulmonary pressure monitoring; clinical burn rate.</x:v>
      </x:c>
      <x:c r="J965" s="5" t="str">
        <x:v>SOURCE QUOTE; unvalidated / superseded assessments</x:v>
      </x:c>
      <x:c r="L965" s="31" t="str">
        <x:v>D04, Markdown line 284; http://nas-1.tail55d152.ts.net:4100/static/2S_PHARMACEUTICALS_AND_CHEMICALS_SECTOR_DOSSIER.html</x:v>
      </x:c>
    </x:row>
    <x:row r="966" ht="42" customHeight="1">
      <x:c r="A966" s="5" t="str">
        <x:v>D04</x:v>
      </x:c>
      <x:c r="B966" s="5" t="str">
        <x:v>D04-T05</x:v>
      </x:c>
      <x:c r="C966" s="5" t="str">
        <x:v>5.4 Tier 4: Clinical-Stage Biopharma &amp; Innovators</x:v>
      </x:c>
      <x:c r="D966" s="5" t="n">
        <x:v>284</x:v>
      </x:c>
      <x:c r="E966" s="5" t="n">
        <x:v>7</x:v>
      </x:c>
      <x:c r="F966" s="5" t="str">
        <x:v>2S Consulting &amp; Numantra Strategic Lever</x:v>
      </x:c>
      <x:c r="G966" s="5" t="n">
        <x:v>1</x:v>
      </x:c>
      <x:c r="H966" s="5" t="n">
        <x:v>1</x:v>
      </x:c>
      <x:c r="I966" s="5" t="str">
        <x:v>IoT Clinical Telemetry Integration; patient hemodynamic trend analytics.</x:v>
      </x:c>
      <x:c r="J966" s="5" t="str">
        <x:v>SOURCE QUOTE; unvalidated / superseded assessments</x:v>
      </x:c>
      <x:c r="L966" s="31" t="str">
        <x:v>D04, Markdown line 284; http://nas-1.tail55d152.ts.net:4100/static/2S_PHARMACEUTICALS_AND_CHEMICALS_SECTOR_DOSSIER.html</x:v>
      </x:c>
    </x:row>
    <x:row r="967" ht="42" customHeight="1">
      <x:c r="A967" s="5" t="str">
        <x:v>D04</x:v>
      </x:c>
      <x:c r="B967" s="5" t="str">
        <x:v>D04-T05</x:v>
      </x:c>
      <x:c r="C967" s="5" t="str">
        <x:v>5.4 Tier 4: Clinical-Stage Biopharma &amp; Innovators</x:v>
      </x:c>
      <x:c r="D967" s="5" t="n">
        <x:v>285</x:v>
      </x:c>
      <x:c r="E967" s="5" t="n">
        <x:v>1</x:v>
      </x:c>
      <x:c r="F967" s="5" t="str">
        <x:v>Company</x:v>
      </x:c>
      <x:c r="G967" s="5" t="n">
        <x:v>1</x:v>
      </x:c>
      <x:c r="H967" s="5" t="n">
        <x:v>1</x:v>
      </x:c>
      <x:c r="I967" s="5" t="str">
        <x:v>Cinclus Pharma AB</x:v>
      </x:c>
      <x:c r="J967" s="5" t="str">
        <x:v>SOURCE QUOTE; unvalidated / superseded assessments</x:v>
      </x:c>
      <x:c r="L967" s="31" t="str">
        <x:v>D04, Markdown line 285; http://nas-1.tail55d152.ts.net:4100/static/2S_PHARMACEUTICALS_AND_CHEMICALS_SECTOR_DOSSIER.html</x:v>
      </x:c>
    </x:row>
    <x:row r="968" ht="42" customHeight="1">
      <x:c r="A968" s="5" t="str">
        <x:v>D04</x:v>
      </x:c>
      <x:c r="B968" s="5" t="str">
        <x:v>D04-T05</x:v>
      </x:c>
      <x:c r="C968" s="5" t="str">
        <x:v>5.4 Tier 4: Clinical-Stage Biopharma &amp; Innovators</x:v>
      </x:c>
      <x:c r="D968" s="5" t="n">
        <x:v>285</x:v>
      </x:c>
      <x:c r="E968" s="5" t="n">
        <x:v>2</x:v>
      </x:c>
      <x:c r="F968" s="5" t="str">
        <x:v>HQ &amp; Key Sites</x:v>
      </x:c>
      <x:c r="G968" s="5" t="n">
        <x:v>1</x:v>
      </x:c>
      <x:c r="H968" s="5" t="n">
        <x:v>1</x:v>
      </x:c>
      <x:c r="I968" s="5" t="str">
        <x:v>Stockholm, SE</x:v>
      </x:c>
      <x:c r="J968" s="5" t="str">
        <x:v>SOURCE QUOTE; unvalidated / superseded assessments</x:v>
      </x:c>
      <x:c r="L968" s="31" t="str">
        <x:v>D04, Markdown line 285; http://nas-1.tail55d152.ts.net:4100/static/2S_PHARMACEUTICALS_AND_CHEMICALS_SECTOR_DOSSIER.html</x:v>
      </x:c>
    </x:row>
    <x:row r="969" ht="42" customHeight="1">
      <x:c r="A969" s="5" t="str">
        <x:v>D04</x:v>
      </x:c>
      <x:c r="B969" s="5" t="str">
        <x:v>D04-T05</x:v>
      </x:c>
      <x:c r="C969" s="5" t="str">
        <x:v>5.4 Tier 4: Clinical-Stage Biopharma &amp; Innovators</x:v>
      </x:c>
      <x:c r="D969" s="5" t="n">
        <x:v>285</x:v>
      </x:c>
      <x:c r="E969" s="5" t="n">
        <x:v>3</x:v>
      </x:c>
      <x:c r="F969" s="5" t="str">
        <x:v>Annual Revenue</x:v>
      </x:c>
      <x:c r="G969" s="5" t="n">
        <x:v>1</x:v>
      </x:c>
      <x:c r="H969" s="5" t="n">
        <x:v>1</x:v>
      </x:c>
      <x:c r="I969" s="5" t="str">
        <x:v>Pre-revenue (SEK 6.0M)</x:v>
      </x:c>
      <x:c r="J969" s="5" t="str">
        <x:v>SOURCE QUOTE; unvalidated / superseded assessments</x:v>
      </x:c>
      <x:c r="L969" s="31" t="str">
        <x:v>D04, Markdown line 285; http://nas-1.tail55d152.ts.net:4100/static/2S_PHARMACEUTICALS_AND_CHEMICALS_SECTOR_DOSSIER.html</x:v>
      </x:c>
    </x:row>
    <x:row r="970" ht="42" customHeight="1">
      <x:c r="A970" s="5" t="str">
        <x:v>D04</x:v>
      </x:c>
      <x:c r="B970" s="5" t="str">
        <x:v>D04-T05</x:v>
      </x:c>
      <x:c r="C970" s="5" t="str">
        <x:v>5.4 Tier 4: Clinical-Stage Biopharma &amp; Innovators</x:v>
      </x:c>
      <x:c r="D970" s="5" t="n">
        <x:v>285</x:v>
      </x:c>
      <x:c r="E970" s="5" t="n">
        <x:v>4</x:v>
      </x:c>
      <x:c r="F970" s="5" t="str">
        <x:v>Annual R&amp;D Spend</x:v>
      </x:c>
      <x:c r="G970" s="5" t="n">
        <x:v>1</x:v>
      </x:c>
      <x:c r="H970" s="5" t="n">
        <x:v>1</x:v>
      </x:c>
      <x:c r="I970" s="5" t="str">
        <x:v>SEK 145.2M</x:v>
      </x:c>
      <x:c r="J970" s="5" t="str">
        <x:v>SOURCE QUOTE; unvalidated / superseded assessments</x:v>
      </x:c>
      <x:c r="L970" s="31" t="str">
        <x:v>D04, Markdown line 285; http://nas-1.tail55d152.ts.net:4100/static/2S_PHARMACEUTICALS_AND_CHEMICALS_SECTOR_DOSSIER.html</x:v>
      </x:c>
    </x:row>
    <x:row r="971" ht="42" customHeight="1">
      <x:c r="A971" s="5" t="str">
        <x:v>D04</x:v>
      </x:c>
      <x:c r="B971" s="5" t="str">
        <x:v>D04-T05</x:v>
      </x:c>
      <x:c r="C971" s="5" t="str">
        <x:v>5.4 Tier 4: Clinical-Stage Biopharma &amp; Innovators</x:v>
      </x:c>
      <x:c r="D971" s="5" t="n">
        <x:v>285</x:v>
      </x:c>
      <x:c r="E971" s="5" t="n">
        <x:v>5</x:v>
      </x:c>
      <x:c r="F971" s="5" t="str">
        <x:v>Core Modality &amp; Therapeutic Focus</x:v>
      </x:c>
      <x:c r="G971" s="5" t="n">
        <x:v>1</x:v>
      </x:c>
      <x:c r="H971" s="5" t="n">
        <x:v>1</x:v>
      </x:c>
      <x:c r="I971" s="5" t="str">
        <x:v>Potassium-competitive acid blocker (P-CAB, linaprazan glurate), severe GERD.</x:v>
      </x:c>
      <x:c r="J971" s="5" t="str">
        <x:v>SOURCE QUOTE; unvalidated / superseded assessments</x:v>
      </x:c>
      <x:c r="L971" s="31" t="str">
        <x:v>D04, Markdown line 285; http://nas-1.tail55d152.ts.net:4100/static/2S_PHARMACEUTICALS_AND_CHEMICALS_SECTOR_DOSSIER.html</x:v>
      </x:c>
    </x:row>
    <x:row r="972" ht="42" customHeight="1">
      <x:c r="A972" s="5" t="str">
        <x:v>D04</x:v>
      </x:c>
      <x:c r="B972" s="5" t="str">
        <x:v>D04-T05</x:v>
      </x:c>
      <x:c r="C972" s="5" t="str">
        <x:v>5.4 Tier 4: Clinical-Stage Biopharma &amp; Innovators</x:v>
      </x:c>
      <x:c r="D972" s="5" t="n">
        <x:v>285</x:v>
      </x:c>
      <x:c r="E972" s="5" t="n">
        <x:v>6</x:v>
      </x:c>
      <x:c r="F972" s="5" t="str">
        <x:v>Key Structural Pain Point</x:v>
      </x:c>
      <x:c r="G972" s="5" t="n">
        <x:v>1</x:v>
      </x:c>
      <x:c r="H972" s="5" t="n">
        <x:v>1</x:v>
      </x:c>
      <x:c r="I972" s="5" t="str">
        <x:v>Phase III trial capital expenditure; managing massive global clinical investigator networks.</x:v>
      </x:c>
      <x:c r="J972" s="5" t="str">
        <x:v>SOURCE QUOTE; unvalidated / superseded assessments</x:v>
      </x:c>
      <x:c r="L972" s="31" t="str">
        <x:v>D04, Markdown line 285; http://nas-1.tail55d152.ts.net:4100/static/2S_PHARMACEUTICALS_AND_CHEMICALS_SECTOR_DOSSIER.html</x:v>
      </x:c>
    </x:row>
    <x:row r="973" ht="42" customHeight="1">
      <x:c r="A973" s="5" t="str">
        <x:v>D04</x:v>
      </x:c>
      <x:c r="B973" s="5" t="str">
        <x:v>D04-T05</x:v>
      </x:c>
      <x:c r="C973" s="5" t="str">
        <x:v>5.4 Tier 4: Clinical-Stage Biopharma &amp; Innovators</x:v>
      </x:c>
      <x:c r="D973" s="5" t="n">
        <x:v>285</x:v>
      </x:c>
      <x:c r="E973" s="5" t="n">
        <x:v>7</x:v>
      </x:c>
      <x:c r="F973" s="5" t="str">
        <x:v>2S Consulting &amp; Numantra Strategic Lever</x:v>
      </x:c>
      <x:c r="G973" s="5" t="n">
        <x:v>1</x:v>
      </x:c>
      <x:c r="H973" s="5" t="n">
        <x:v>1</x:v>
      </x:c>
      <x:c r="I973" s="5" t="str">
        <x:v>Investigator Grant Touchless Reconciliation; global site budget monitoring.</x:v>
      </x:c>
      <x:c r="J973" s="5" t="str">
        <x:v>SOURCE QUOTE; unvalidated / superseded assessments</x:v>
      </x:c>
      <x:c r="L973" s="31" t="str">
        <x:v>D04, Markdown line 285; http://nas-1.tail55d152.ts.net:4100/static/2S_PHARMACEUTICALS_AND_CHEMICALS_SECTOR_DOSSIER.html</x:v>
      </x:c>
    </x:row>
    <x:row r="974" ht="42" customHeight="1">
      <x:c r="A974" s="5" t="str">
        <x:v>D04</x:v>
      </x:c>
      <x:c r="B974" s="5" t="str">
        <x:v>D04-T05</x:v>
      </x:c>
      <x:c r="C974" s="5" t="str">
        <x:v>5.4 Tier 4: Clinical-Stage Biopharma &amp; Innovators</x:v>
      </x:c>
      <x:c r="D974" s="5" t="n">
        <x:v>286</x:v>
      </x:c>
      <x:c r="E974" s="5" t="n">
        <x:v>1</x:v>
      </x:c>
      <x:c r="F974" s="5" t="str">
        <x:v>Company</x:v>
      </x:c>
      <x:c r="G974" s="5" t="n">
        <x:v>1</x:v>
      </x:c>
      <x:c r="H974" s="5" t="n">
        <x:v>1</x:v>
      </x:c>
      <x:c r="I974" s="5" t="str">
        <x:v>Oncopeptides AB</x:v>
      </x:c>
      <x:c r="J974" s="5" t="str">
        <x:v>SOURCE QUOTE; unvalidated / superseded assessments</x:v>
      </x:c>
      <x:c r="L974" s="31" t="str">
        <x:v>D04, Markdown line 286; http://nas-1.tail55d152.ts.net:4100/static/2S_PHARMACEUTICALS_AND_CHEMICALS_SECTOR_DOSSIER.html</x:v>
      </x:c>
    </x:row>
    <x:row r="975" ht="42" customHeight="1">
      <x:c r="A975" s="5" t="str">
        <x:v>D04</x:v>
      </x:c>
      <x:c r="B975" s="5" t="str">
        <x:v>D04-T05</x:v>
      </x:c>
      <x:c r="C975" s="5" t="str">
        <x:v>5.4 Tier 4: Clinical-Stage Biopharma &amp; Innovators</x:v>
      </x:c>
      <x:c r="D975" s="5" t="n">
        <x:v>286</x:v>
      </x:c>
      <x:c r="E975" s="5" t="n">
        <x:v>2</x:v>
      </x:c>
      <x:c r="F975" s="5" t="str">
        <x:v>HQ &amp; Key Sites</x:v>
      </x:c>
      <x:c r="G975" s="5" t="n">
        <x:v>1</x:v>
      </x:c>
      <x:c r="H975" s="5" t="n">
        <x:v>1</x:v>
      </x:c>
      <x:c r="I975" s="5" t="str">
        <x:v>Stockholm, SE</x:v>
      </x:c>
      <x:c r="J975" s="5" t="str">
        <x:v>SOURCE QUOTE; unvalidated / superseded assessments</x:v>
      </x:c>
      <x:c r="L975" s="31" t="str">
        <x:v>D04, Markdown line 286; http://nas-1.tail55d152.ts.net:4100/static/2S_PHARMACEUTICALS_AND_CHEMICALS_SECTOR_DOSSIER.html</x:v>
      </x:c>
    </x:row>
    <x:row r="976" ht="42" customHeight="1">
      <x:c r="A976" s="5" t="str">
        <x:v>D04</x:v>
      </x:c>
      <x:c r="B976" s="5" t="str">
        <x:v>D04-T05</x:v>
      </x:c>
      <x:c r="C976" s="5" t="str">
        <x:v>5.4 Tier 4: Clinical-Stage Biopharma &amp; Innovators</x:v>
      </x:c>
      <x:c r="D976" s="5" t="n">
        <x:v>286</x:v>
      </x:c>
      <x:c r="E976" s="5" t="n">
        <x:v>3</x:v>
      </x:c>
      <x:c r="F976" s="5" t="str">
        <x:v>Annual Revenue</x:v>
      </x:c>
      <x:c r="G976" s="5" t="n">
        <x:v>1</x:v>
      </x:c>
      <x:c r="H976" s="5" t="n">
        <x:v>1</x:v>
      </x:c>
      <x:c r="I976" s="5" t="str">
        <x:v>SEK 31.65M</x:v>
      </x:c>
      <x:c r="J976" s="5" t="str">
        <x:v>SOURCE QUOTE; unvalidated / superseded assessments</x:v>
      </x:c>
      <x:c r="L976" s="31" t="str">
        <x:v>D04, Markdown line 286; http://nas-1.tail55d152.ts.net:4100/static/2S_PHARMACEUTICALS_AND_CHEMICALS_SECTOR_DOSSIER.html</x:v>
      </x:c>
    </x:row>
    <x:row r="977" ht="42" customHeight="1">
      <x:c r="A977" s="5" t="str">
        <x:v>D04</x:v>
      </x:c>
      <x:c r="B977" s="5" t="str">
        <x:v>D04-T05</x:v>
      </x:c>
      <x:c r="C977" s="5" t="str">
        <x:v>5.4 Tier 4: Clinical-Stage Biopharma &amp; Innovators</x:v>
      </x:c>
      <x:c r="D977" s="5" t="n">
        <x:v>286</x:v>
      </x:c>
      <x:c r="E977" s="5" t="n">
        <x:v>4</x:v>
      </x:c>
      <x:c r="F977" s="5" t="str">
        <x:v>Annual R&amp;D Spend</x:v>
      </x:c>
      <x:c r="G977" s="5" t="n">
        <x:v>1</x:v>
      </x:c>
      <x:c r="H977" s="5" t="n">
        <x:v>1</x:v>
      </x:c>
      <x:c r="I977" s="5" t="str">
        <x:v>SEK 184.2M</x:v>
      </x:c>
      <x:c r="J977" s="5" t="str">
        <x:v>SOURCE QUOTE; unvalidated / superseded assessments</x:v>
      </x:c>
      <x:c r="L977" s="31" t="str">
        <x:v>D04, Markdown line 286; http://nas-1.tail55d152.ts.net:4100/static/2S_PHARMACEUTICALS_AND_CHEMICALS_SECTOR_DOSSIER.html</x:v>
      </x:c>
    </x:row>
    <x:row r="978" ht="42" customHeight="1">
      <x:c r="A978" s="5" t="str">
        <x:v>D04</x:v>
      </x:c>
      <x:c r="B978" s="5" t="str">
        <x:v>D04-T05</x:v>
      </x:c>
      <x:c r="C978" s="5" t="str">
        <x:v>5.4 Tier 4: Clinical-Stage Biopharma &amp; Innovators</x:v>
      </x:c>
      <x:c r="D978" s="5" t="n">
        <x:v>286</x:v>
      </x:c>
      <x:c r="E978" s="5" t="n">
        <x:v>5</x:v>
      </x:c>
      <x:c r="F978" s="5" t="str">
        <x:v>Core Modality &amp; Therapeutic Focus</x:v>
      </x:c>
      <x:c r="G978" s="5" t="n">
        <x:v>1</x:v>
      </x:c>
      <x:c r="H978" s="5" t="n">
        <x:v>1</x:v>
      </x:c>
      <x:c r="I978" s="5" t="str">
        <x:v>Peptide-drug conjugates (PDC), melflufen (Pepaxti), relapsed multiple myeloma.</x:v>
      </x:c>
      <x:c r="J978" s="5" t="str">
        <x:v>SOURCE QUOTE; unvalidated / superseded assessments</x:v>
      </x:c>
      <x:c r="L978" s="31" t="str">
        <x:v>D04, Markdown line 286; http://nas-1.tail55d152.ts.net:4100/static/2S_PHARMACEUTICALS_AND_CHEMICALS_SECTOR_DOSSIER.html</x:v>
      </x:c>
    </x:row>
    <x:row r="979" ht="42" customHeight="1">
      <x:c r="A979" s="5" t="str">
        <x:v>D04</x:v>
      </x:c>
      <x:c r="B979" s="5" t="str">
        <x:v>D04-T05</x:v>
      </x:c>
      <x:c r="C979" s="5" t="str">
        <x:v>5.4 Tier 4: Clinical-Stage Biopharma &amp; Innovators</x:v>
      </x:c>
      <x:c r="D979" s="5" t="n">
        <x:v>286</x:v>
      </x:c>
      <x:c r="E979" s="5" t="n">
        <x:v>6</x:v>
      </x:c>
      <x:c r="F979" s="5" t="str">
        <x:v>Key Structural Pain Point</x:v>
      </x:c>
      <x:c r="G979" s="5" t="n">
        <x:v>1</x:v>
      </x:c>
      <x:c r="H979" s="5" t="n">
        <x:v>1</x:v>
      </x:c>
      <x:c r="I979" s="5" t="str">
        <x:v>Re-establishing commercial traction across Europe post-US withdrawal; hospital tender access.</x:v>
      </x:c>
      <x:c r="J979" s="5" t="str">
        <x:v>SOURCE QUOTE; unvalidated / superseded assessments</x:v>
      </x:c>
      <x:c r="L979" s="31" t="str">
        <x:v>D04, Markdown line 286; http://nas-1.tail55d152.ts.net:4100/static/2S_PHARMACEUTICALS_AND_CHEMICALS_SECTOR_DOSSIER.html</x:v>
      </x:c>
    </x:row>
    <x:row r="980" ht="42" customHeight="1">
      <x:c r="A980" s="5" t="str">
        <x:v>D04</x:v>
      </x:c>
      <x:c r="B980" s="5" t="str">
        <x:v>D04-T05</x:v>
      </x:c>
      <x:c r="C980" s="5" t="str">
        <x:v>5.4 Tier 4: Clinical-Stage Biopharma &amp; Innovators</x:v>
      </x:c>
      <x:c r="D980" s="5" t="n">
        <x:v>286</x:v>
      </x:c>
      <x:c r="E980" s="5" t="n">
        <x:v>7</x:v>
      </x:c>
      <x:c r="F980" s="5" t="str">
        <x:v>2S Consulting &amp; Numantra Strategic Lever</x:v>
      </x:c>
      <x:c r="G980" s="5" t="n">
        <x:v>1</x:v>
      </x:c>
      <x:c r="H980" s="5" t="n">
        <x:v>1</x:v>
      </x:c>
      <x:c r="I980" s="5" t="str">
        <x:v>European Named-Patient &amp; Commercial Tender Management; hospital budget impact modeling.</x:v>
      </x:c>
      <x:c r="J980" s="5" t="str">
        <x:v>SOURCE QUOTE; unvalidated / superseded assessments</x:v>
      </x:c>
      <x:c r="L980" s="31" t="str">
        <x:v>D04, Markdown line 286; http://nas-1.tail55d152.ts.net:4100/static/2S_PHARMACEUTICALS_AND_CHEMICALS_SECTOR_DOSSIER.html</x:v>
      </x:c>
    </x:row>
    <x:row r="981" ht="42" customHeight="1">
      <x:c r="A981" s="5" t="str">
        <x:v>D04</x:v>
      </x:c>
      <x:c r="B981" s="5" t="str">
        <x:v>D04-T05</x:v>
      </x:c>
      <x:c r="C981" s="5" t="str">
        <x:v>5.4 Tier 4: Clinical-Stage Biopharma &amp; Innovators</x:v>
      </x:c>
      <x:c r="D981" s="5" t="n">
        <x:v>287</x:v>
      </x:c>
      <x:c r="E981" s="5" t="n">
        <x:v>1</x:v>
      </x:c>
      <x:c r="F981" s="5" t="str">
        <x:v>Company</x:v>
      </x:c>
      <x:c r="G981" s="5" t="n">
        <x:v>1</x:v>
      </x:c>
      <x:c r="H981" s="5" t="n">
        <x:v>1</x:v>
      </x:c>
      <x:c r="I981" s="5" t="str">
        <x:v>Xbrane Biopharma AB</x:v>
      </x:c>
      <x:c r="J981" s="5" t="str">
        <x:v>SOURCE QUOTE; unvalidated / superseded assessments</x:v>
      </x:c>
      <x:c r="L981" s="31" t="str">
        <x:v>D04, Markdown line 287; http://nas-1.tail55d152.ts.net:4100/static/2S_PHARMACEUTICALS_AND_CHEMICALS_SECTOR_DOSSIER.html</x:v>
      </x:c>
    </x:row>
    <x:row r="982" ht="42" customHeight="1">
      <x:c r="A982" s="5" t="str">
        <x:v>D04</x:v>
      </x:c>
      <x:c r="B982" s="5" t="str">
        <x:v>D04-T05</x:v>
      </x:c>
      <x:c r="C982" s="5" t="str">
        <x:v>5.4 Tier 4: Clinical-Stage Biopharma &amp; Innovators</x:v>
      </x:c>
      <x:c r="D982" s="5" t="n">
        <x:v>287</x:v>
      </x:c>
      <x:c r="E982" s="5" t="n">
        <x:v>2</x:v>
      </x:c>
      <x:c r="F982" s="5" t="str">
        <x:v>HQ &amp; Key Sites</x:v>
      </x:c>
      <x:c r="G982" s="5" t="n">
        <x:v>1</x:v>
      </x:c>
      <x:c r="H982" s="5" t="n">
        <x:v>1</x:v>
      </x:c>
      <x:c r="I982" s="5" t="str">
        <x:v>Solna, SE</x:v>
      </x:c>
      <x:c r="J982" s="5" t="str">
        <x:v>SOURCE QUOTE; unvalidated / superseded assessments</x:v>
      </x:c>
      <x:c r="L982" s="31" t="str">
        <x:v>D04, Markdown line 287; http://nas-1.tail55d152.ts.net:4100/static/2S_PHARMACEUTICALS_AND_CHEMICALS_SECTOR_DOSSIER.html</x:v>
      </x:c>
    </x:row>
    <x:row r="983" ht="42" customHeight="1">
      <x:c r="A983" s="5" t="str">
        <x:v>D04</x:v>
      </x:c>
      <x:c r="B983" s="5" t="str">
        <x:v>D04-T05</x:v>
      </x:c>
      <x:c r="C983" s="5" t="str">
        <x:v>5.4 Tier 4: Clinical-Stage Biopharma &amp; Innovators</x:v>
      </x:c>
      <x:c r="D983" s="5" t="n">
        <x:v>287</x:v>
      </x:c>
      <x:c r="E983" s="5" t="n">
        <x:v>3</x:v>
      </x:c>
      <x:c r="F983" s="5" t="str">
        <x:v>Annual Revenue</x:v>
      </x:c>
      <x:c r="G983" s="5" t="n">
        <x:v>1</x:v>
      </x:c>
      <x:c r="H983" s="5" t="n">
        <x:v>1</x:v>
      </x:c>
      <x:c r="I983" s="5" t="str">
        <x:v>SEK 245.0M</x:v>
      </x:c>
      <x:c r="J983" s="5" t="str">
        <x:v>SOURCE QUOTE; unvalidated / superseded assessments</x:v>
      </x:c>
      <x:c r="L983" s="31" t="str">
        <x:v>D04, Markdown line 287; http://nas-1.tail55d152.ts.net:4100/static/2S_PHARMACEUTICALS_AND_CHEMICALS_SECTOR_DOSSIER.html</x:v>
      </x:c>
    </x:row>
    <x:row r="984" ht="42" customHeight="1">
      <x:c r="A984" s="5" t="str">
        <x:v>D04</x:v>
      </x:c>
      <x:c r="B984" s="5" t="str">
        <x:v>D04-T05</x:v>
      </x:c>
      <x:c r="C984" s="5" t="str">
        <x:v>5.4 Tier 4: Clinical-Stage Biopharma &amp; Innovators</x:v>
      </x:c>
      <x:c r="D984" s="5" t="n">
        <x:v>287</x:v>
      </x:c>
      <x:c r="E984" s="5" t="n">
        <x:v>4</x:v>
      </x:c>
      <x:c r="F984" s="5" t="str">
        <x:v>Annual R&amp;D Spend</x:v>
      </x:c>
      <x:c r="G984" s="5" t="n">
        <x:v>1</x:v>
      </x:c>
      <x:c r="H984" s="5" t="n">
        <x:v>1</x:v>
      </x:c>
      <x:c r="I984" s="5" t="str">
        <x:v>SEK 195.0M</x:v>
      </x:c>
      <x:c r="J984" s="5" t="str">
        <x:v>SOURCE QUOTE; unvalidated / superseded assessments</x:v>
      </x:c>
      <x:c r="L984" s="31" t="str">
        <x:v>D04, Markdown line 287; http://nas-1.tail55d152.ts.net:4100/static/2S_PHARMACEUTICALS_AND_CHEMICALS_SECTOR_DOSSIER.html</x:v>
      </x:c>
    </x:row>
    <x:row r="985" ht="42" customHeight="1">
      <x:c r="A985" s="5" t="str">
        <x:v>D04</x:v>
      </x:c>
      <x:c r="B985" s="5" t="str">
        <x:v>D04-T05</x:v>
      </x:c>
      <x:c r="C985" s="5" t="str">
        <x:v>5.4 Tier 4: Clinical-Stage Biopharma &amp; Innovators</x:v>
      </x:c>
      <x:c r="D985" s="5" t="n">
        <x:v>287</x:v>
      </x:c>
      <x:c r="E985" s="5" t="n">
        <x:v>5</x:v>
      </x:c>
      <x:c r="F985" s="5" t="str">
        <x:v>Core Modality &amp; Therapeutic Focus</x:v>
      </x:c>
      <x:c r="G985" s="5" t="n">
        <x:v>1</x:v>
      </x:c>
      <x:c r="H985" s="5" t="n">
        <x:v>1</x:v>
      </x:c>
      <x:c r="I985" s="5" t="str">
        <x:v>Biosimilars, high-yield protein expression platforms, ranibizumab (Xlucane).</x:v>
      </x:c>
      <x:c r="J985" s="5" t="str">
        <x:v>SOURCE QUOTE; unvalidated / superseded assessments</x:v>
      </x:c>
      <x:c r="L985" s="31" t="str">
        <x:v>D04, Markdown line 287; http://nas-1.tail55d152.ts.net:4100/static/2S_PHARMACEUTICALS_AND_CHEMICALS_SECTOR_DOSSIER.html</x:v>
      </x:c>
    </x:row>
    <x:row r="986" ht="42" customHeight="1">
      <x:c r="A986" s="5" t="str">
        <x:v>D04</x:v>
      </x:c>
      <x:c r="B986" s="5" t="str">
        <x:v>D04-T05</x:v>
      </x:c>
      <x:c r="C986" s="5" t="str">
        <x:v>5.4 Tier 4: Clinical-Stage Biopharma &amp; Innovators</x:v>
      </x:c>
      <x:c r="D986" s="5" t="n">
        <x:v>287</x:v>
      </x:c>
      <x:c r="E986" s="5" t="n">
        <x:v>6</x:v>
      </x:c>
      <x:c r="F986" s="5" t="str">
        <x:v>Key Structural Pain Point</x:v>
      </x:c>
      <x:c r="G986" s="5" t="n">
        <x:v>1</x:v>
      </x:c>
      <x:c r="H986" s="5" t="n">
        <x:v>1</x:v>
      </x:c>
      <x:c r="I986" s="5" t="str">
        <x:v>Extreme manufacturing cost sensitivity in biosimilars; patent litigation monitoring; commercial partner supply coordination.</x:v>
      </x:c>
      <x:c r="J986" s="5" t="str">
        <x:v>SOURCE QUOTE; unvalidated / superseded assessments</x:v>
      </x:c>
      <x:c r="L986" s="31" t="str">
        <x:v>D04, Markdown line 287; http://nas-1.tail55d152.ts.net:4100/static/2S_PHARMACEUTICALS_AND_CHEMICALS_SECTOR_DOSSIER.html</x:v>
      </x:c>
    </x:row>
    <x:row r="987" ht="42" customHeight="1">
      <x:c r="A987" s="5" t="str">
        <x:v>D04</x:v>
      </x:c>
      <x:c r="B987" s="5" t="str">
        <x:v>D04-T05</x:v>
      </x:c>
      <x:c r="C987" s="5" t="str">
        <x:v>5.4 Tier 4: Clinical-Stage Biopharma &amp; Innovators</x:v>
      </x:c>
      <x:c r="D987" s="5" t="n">
        <x:v>287</x:v>
      </x:c>
      <x:c r="E987" s="5" t="n">
        <x:v>7</x:v>
      </x:c>
      <x:c r="F987" s="5" t="str">
        <x:v>2S Consulting &amp; Numantra Strategic Lever</x:v>
      </x:c>
      <x:c r="G987" s="5" t="n">
        <x:v>1</x:v>
      </x:c>
      <x:c r="H987" s="5" t="n">
        <x:v>1</x:v>
      </x:c>
      <x:c r="I987" s="5" t="str">
        <x:v>Biosimilar Cost-of-Goods-Sold (COGS) Simulation; manufacturing batch yield optimization.</x:v>
      </x:c>
      <x:c r="J987" s="5" t="str">
        <x:v>SOURCE QUOTE; unvalidated / superseded assessments</x:v>
      </x:c>
      <x:c r="L987" s="31" t="str">
        <x:v>D04, Markdown line 287; http://nas-1.tail55d152.ts.net:4100/static/2S_PHARMACEUTICALS_AND_CHEMICALS_SECTOR_DOSSIER.html</x:v>
      </x:c>
    </x:row>
    <x:row r="988" ht="42" customHeight="1">
      <x:c r="A988" s="5" t="str">
        <x:v>D04</x:v>
      </x:c>
      <x:c r="B988" s="5" t="str">
        <x:v>D04-T05</x:v>
      </x:c>
      <x:c r="C988" s="5" t="str">
        <x:v>5.4 Tier 4: Clinical-Stage Biopharma &amp; Innovators</x:v>
      </x:c>
      <x:c r="D988" s="5" t="n">
        <x:v>288</x:v>
      </x:c>
      <x:c r="E988" s="5" t="n">
        <x:v>1</x:v>
      </x:c>
      <x:c r="F988" s="5" t="str">
        <x:v>Company</x:v>
      </x:c>
      <x:c r="G988" s="5" t="n">
        <x:v>1</x:v>
      </x:c>
      <x:c r="H988" s="5" t="n">
        <x:v>1</x:v>
      </x:c>
      <x:c r="I988" s="5" t="str">
        <x:v>Hansa Biopharma AB</x:v>
      </x:c>
      <x:c r="J988" s="5" t="str">
        <x:v>SOURCE QUOTE; unvalidated / superseded assessments</x:v>
      </x:c>
      <x:c r="L988" s="31" t="str">
        <x:v>D04, Markdown line 288; http://nas-1.tail55d152.ts.net:4100/static/2S_PHARMACEUTICALS_AND_CHEMICALS_SECTOR_DOSSIER.html</x:v>
      </x:c>
    </x:row>
    <x:row r="989" ht="42" customHeight="1">
      <x:c r="A989" s="5" t="str">
        <x:v>D04</x:v>
      </x:c>
      <x:c r="B989" s="5" t="str">
        <x:v>D04-T05</x:v>
      </x:c>
      <x:c r="C989" s="5" t="str">
        <x:v>5.4 Tier 4: Clinical-Stage Biopharma &amp; Innovators</x:v>
      </x:c>
      <x:c r="D989" s="5" t="n">
        <x:v>288</x:v>
      </x:c>
      <x:c r="E989" s="5" t="n">
        <x:v>2</x:v>
      </x:c>
      <x:c r="F989" s="5" t="str">
        <x:v>HQ &amp; Key Sites</x:v>
      </x:c>
      <x:c r="G989" s="5" t="n">
        <x:v>1</x:v>
      </x:c>
      <x:c r="H989" s="5" t="n">
        <x:v>1</x:v>
      </x:c>
      <x:c r="I989" s="5" t="str">
        <x:v>Lund, SE</x:v>
      </x:c>
      <x:c r="J989" s="5" t="str">
        <x:v>SOURCE QUOTE; unvalidated / superseded assessments</x:v>
      </x:c>
      <x:c r="L989" s="31" t="str">
        <x:v>D04, Markdown line 288; http://nas-1.tail55d152.ts.net:4100/static/2S_PHARMACEUTICALS_AND_CHEMICALS_SECTOR_DOSSIER.html</x:v>
      </x:c>
    </x:row>
    <x:row r="990" ht="42" customHeight="1">
      <x:c r="A990" s="5" t="str">
        <x:v>D04</x:v>
      </x:c>
      <x:c r="B990" s="5" t="str">
        <x:v>D04-T05</x:v>
      </x:c>
      <x:c r="C990" s="5" t="str">
        <x:v>5.4 Tier 4: Clinical-Stage Biopharma &amp; Innovators</x:v>
      </x:c>
      <x:c r="D990" s="5" t="n">
        <x:v>288</x:v>
      </x:c>
      <x:c r="E990" s="5" t="n">
        <x:v>3</x:v>
      </x:c>
      <x:c r="F990" s="5" t="str">
        <x:v>Annual Revenue</x:v>
      </x:c>
      <x:c r="G990" s="5" t="n">
        <x:v>1</x:v>
      </x:c>
      <x:c r="H990" s="5" t="n">
        <x:v>1</x:v>
      </x:c>
      <x:c r="I990" s="5" t="str">
        <x:v>SEK 171.3M</x:v>
      </x:c>
      <x:c r="J990" s="5" t="str">
        <x:v>SOURCE QUOTE; unvalidated / superseded assessments</x:v>
      </x:c>
      <x:c r="L990" s="31" t="str">
        <x:v>D04, Markdown line 288; http://nas-1.tail55d152.ts.net:4100/static/2S_PHARMACEUTICALS_AND_CHEMICALS_SECTOR_DOSSIER.html</x:v>
      </x:c>
    </x:row>
    <x:row r="991" ht="42" customHeight="1">
      <x:c r="A991" s="5" t="str">
        <x:v>D04</x:v>
      </x:c>
      <x:c r="B991" s="5" t="str">
        <x:v>D04-T05</x:v>
      </x:c>
      <x:c r="C991" s="5" t="str">
        <x:v>5.4 Tier 4: Clinical-Stage Biopharma &amp; Innovators</x:v>
      </x:c>
      <x:c r="D991" s="5" t="n">
        <x:v>288</x:v>
      </x:c>
      <x:c r="E991" s="5" t="n">
        <x:v>4</x:v>
      </x:c>
      <x:c r="F991" s="5" t="str">
        <x:v>Annual R&amp;D Spend</x:v>
      </x:c>
      <x:c r="G991" s="5" t="n">
        <x:v>1</x:v>
      </x:c>
      <x:c r="H991" s="5" t="n">
        <x:v>1</x:v>
      </x:c>
      <x:c r="I991" s="5" t="str">
        <x:v>SEK 398.5M</x:v>
      </x:c>
      <x:c r="J991" s="5" t="str">
        <x:v>SOURCE QUOTE; unvalidated / superseded assessments</x:v>
      </x:c>
      <x:c r="L991" s="31" t="str">
        <x:v>D04, Markdown line 288; http://nas-1.tail55d152.ts.net:4100/static/2S_PHARMACEUTICALS_AND_CHEMICALS_SECTOR_DOSSIER.html</x:v>
      </x:c>
    </x:row>
    <x:row r="992" ht="42" customHeight="1">
      <x:c r="A992" s="5" t="str">
        <x:v>D04</x:v>
      </x:c>
      <x:c r="B992" s="5" t="str">
        <x:v>D04-T05</x:v>
      </x:c>
      <x:c r="C992" s="5" t="str">
        <x:v>5.4 Tier 4: Clinical-Stage Biopharma &amp; Innovators</x:v>
      </x:c>
      <x:c r="D992" s="5" t="n">
        <x:v>288</x:v>
      </x:c>
      <x:c r="E992" s="5" t="n">
        <x:v>5</x:v>
      </x:c>
      <x:c r="F992" s="5" t="str">
        <x:v>Core Modality &amp; Therapeutic Focus</x:v>
      </x:c>
      <x:c r="G992" s="5" t="n">
        <x:v>1</x:v>
      </x:c>
      <x:c r="H992" s="5" t="n">
        <x:v>1</x:v>
      </x:c>
      <x:c r="I992" s="5" t="str">
        <x:v>Immunomodulatory enzyme technology, imlifidase (Idefirix), kidney transplantation desensitization.</x:v>
      </x:c>
      <x:c r="J992" s="5" t="str">
        <x:v>SOURCE QUOTE; unvalidated / superseded assessments</x:v>
      </x:c>
      <x:c r="L992" s="31" t="str">
        <x:v>D04, Markdown line 288; http://nas-1.tail55d152.ts.net:4100/static/2S_PHARMACEUTICALS_AND_CHEMICALS_SECTOR_DOSSIER.html</x:v>
      </x:c>
    </x:row>
    <x:row r="993" ht="42" customHeight="1">
      <x:c r="A993" s="5" t="str">
        <x:v>D04</x:v>
      </x:c>
      <x:c r="B993" s="5" t="str">
        <x:v>D04-T05</x:v>
      </x:c>
      <x:c r="C993" s="5" t="str">
        <x:v>5.4 Tier 4: Clinical-Stage Biopharma &amp; Innovators</x:v>
      </x:c>
      <x:c r="D993" s="5" t="n">
        <x:v>288</x:v>
      </x:c>
      <x:c r="E993" s="5" t="n">
        <x:v>6</x:v>
      </x:c>
      <x:c r="F993" s="5" t="str">
        <x:v>Key Structural Pain Point</x:v>
      </x:c>
      <x:c r="G993" s="5" t="n">
        <x:v>1</x:v>
      </x:c>
      <x:c r="H993" s="5" t="n">
        <x:v>1</x:v>
      </x:c>
      <x:c r="I993" s="5" t="str">
        <x:v>Rare disease patient identification; complex hospital reimbursement negotiations across individual European transplant centers.</x:v>
      </x:c>
      <x:c r="J993" s="5" t="str">
        <x:v>SOURCE QUOTE; unvalidated / superseded assessments</x:v>
      </x:c>
      <x:c r="L993" s="31" t="str">
        <x:v>D04, Markdown line 288; http://nas-1.tail55d152.ts.net:4100/static/2S_PHARMACEUTICALS_AND_CHEMICALS_SECTOR_DOSSIER.html</x:v>
      </x:c>
    </x:row>
    <x:row r="994" ht="42" customHeight="1">
      <x:c r="A994" s="5" t="str">
        <x:v>D04</x:v>
      </x:c>
      <x:c r="B994" s="5" t="str">
        <x:v>D04-T05</x:v>
      </x:c>
      <x:c r="C994" s="5" t="str">
        <x:v>5.4 Tier 4: Clinical-Stage Biopharma &amp; Innovators</x:v>
      </x:c>
      <x:c r="D994" s="5" t="n">
        <x:v>288</x:v>
      </x:c>
      <x:c r="E994" s="5" t="n">
        <x:v>7</x:v>
      </x:c>
      <x:c r="F994" s="5" t="str">
        <x:v>2S Consulting &amp; Numantra Strategic Lever</x:v>
      </x:c>
      <x:c r="G994" s="5" t="n">
        <x:v>1</x:v>
      </x:c>
      <x:c r="H994" s="5" t="n">
        <x:v>1</x:v>
      </x:c>
      <x:c r="I994" s="5" t="str">
        <x:v>HCare360 NLP Patient Screening in Transplant Centers; Hospital CFO Reimbursement Calculators.</x:v>
      </x:c>
      <x:c r="J994" s="5" t="str">
        <x:v>SOURCE QUOTE; unvalidated / superseded assessments</x:v>
      </x:c>
      <x:c r="L994" s="31" t="str">
        <x:v>D04, Markdown line 288; http://nas-1.tail55d152.ts.net:4100/static/2S_PHARMACEUTICALS_AND_CHEMICALS_SECTOR_DOSSIER.html</x:v>
      </x:c>
    </x:row>
    <x:row r="995" ht="42" customHeight="1">
      <x:c r="A995" s="5" t="str">
        <x:v>D04</x:v>
      </x:c>
      <x:c r="B995" s="5" t="str">
        <x:v>D04-T06</x:v>
      </x:c>
      <x:c r="C995" s="5" t="str">
        <x:v>5.5 Tier 5: Synthesis Enablers, Life Science Tools &amp; Reagents</x:v>
      </x:c>
      <x:c r="D995" s="5" t="n">
        <x:v>294</x:v>
      </x:c>
      <x:c r="E995" s="5" t="n">
        <x:v>1</x:v>
      </x:c>
      <x:c r="F995" s="5" t="str">
        <x:v>Company</x:v>
      </x:c>
      <x:c r="G995" s="5" t="n">
        <x:v>1</x:v>
      </x:c>
      <x:c r="H995" s="5" t="n">
        <x:v>1</x:v>
      </x:c>
      <x:c r="I995" s="5" t="str">
        <x:v>Biotage AB</x:v>
      </x:c>
      <x:c r="J995" s="5" t="str">
        <x:v>SOURCE QUOTE; unvalidated / superseded assessments</x:v>
      </x:c>
      <x:c r="L995" s="31" t="str">
        <x:v>D04, Markdown line 294; http://nas-1.tail55d152.ts.net:4100/static/2S_PHARMACEUTICALS_AND_CHEMICALS_SECTOR_DOSSIER.html</x:v>
      </x:c>
    </x:row>
    <x:row r="996" ht="42" customHeight="1">
      <x:c r="A996" s="5" t="str">
        <x:v>D04</x:v>
      </x:c>
      <x:c r="B996" s="5" t="str">
        <x:v>D04-T06</x:v>
      </x:c>
      <x:c r="C996" s="5" t="str">
        <x:v>5.5 Tier 5: Synthesis Enablers, Life Science Tools &amp; Reagents</x:v>
      </x:c>
      <x:c r="D996" s="5" t="n">
        <x:v>294</x:v>
      </x:c>
      <x:c r="E996" s="5" t="n">
        <x:v>2</x:v>
      </x:c>
      <x:c r="F996" s="5" t="str">
        <x:v>HQ &amp; Key Sites</x:v>
      </x:c>
      <x:c r="G996" s="5" t="n">
        <x:v>1</x:v>
      </x:c>
      <x:c r="H996" s="5" t="n">
        <x:v>1</x:v>
      </x:c>
      <x:c r="I996" s="5" t="str">
        <x:v>Uppsala, SE</x:v>
      </x:c>
      <x:c r="J996" s="5" t="str">
        <x:v>SOURCE QUOTE; unvalidated / superseded assessments</x:v>
      </x:c>
      <x:c r="L996" s="31" t="str">
        <x:v>D04, Markdown line 294; http://nas-1.tail55d152.ts.net:4100/static/2S_PHARMACEUTICALS_AND_CHEMICALS_SECTOR_DOSSIER.html</x:v>
      </x:c>
    </x:row>
    <x:row r="997" ht="42" customHeight="1">
      <x:c r="A997" s="5" t="str">
        <x:v>D04</x:v>
      </x:c>
      <x:c r="B997" s="5" t="str">
        <x:v>D04-T06</x:v>
      </x:c>
      <x:c r="C997" s="5" t="str">
        <x:v>5.5 Tier 5: Synthesis Enablers, Life Science Tools &amp; Reagents</x:v>
      </x:c>
      <x:c r="D997" s="5" t="n">
        <x:v>294</x:v>
      </x:c>
      <x:c r="E997" s="5" t="n">
        <x:v>3</x:v>
      </x:c>
      <x:c r="F997" s="5" t="str">
        <x:v>Annual Revenue</x:v>
      </x:c>
      <x:c r="G997" s="5" t="n">
        <x:v>1</x:v>
      </x:c>
      <x:c r="H997" s="5" t="n">
        <x:v>1</x:v>
      </x:c>
      <x:c r="I997" s="5" t="str">
        <x:v>SEK 2,056M (~€180M)</x:v>
      </x:c>
      <x:c r="J997" s="5" t="str">
        <x:v>SOURCE QUOTE; unvalidated / superseded assessments</x:v>
      </x:c>
      <x:c r="L997" s="31" t="str">
        <x:v>D04, Markdown line 294; http://nas-1.tail55d152.ts.net:4100/static/2S_PHARMACEUTICALS_AND_CHEMICALS_SECTOR_DOSSIER.html</x:v>
      </x:c>
    </x:row>
    <x:row r="998" ht="42" customHeight="1">
      <x:c r="A998" s="5" t="str">
        <x:v>D04</x:v>
      </x:c>
      <x:c r="B998" s="5" t="str">
        <x:v>D04-T06</x:v>
      </x:c>
      <x:c r="C998" s="5" t="str">
        <x:v>5.5 Tier 5: Synthesis Enablers, Life Science Tools &amp; Reagents</x:v>
      </x:c>
      <x:c r="D998" s="5" t="n">
        <x:v>294</x:v>
      </x:c>
      <x:c r="E998" s="5" t="n">
        <x:v>4</x:v>
      </x:c>
      <x:c r="F998" s="5" t="str">
        <x:v>Annual R&amp;D Spend</x:v>
      </x:c>
      <x:c r="G998" s="5" t="n">
        <x:v>1</x:v>
      </x:c>
      <x:c r="H998" s="5" t="n">
        <x:v>1</x:v>
      </x:c>
      <x:c r="I998" s="5" t="str">
        <x:v>SEK 180M (~€16M)</x:v>
      </x:c>
      <x:c r="J998" s="5" t="str">
        <x:v>SOURCE QUOTE; unvalidated / superseded assessments</x:v>
      </x:c>
      <x:c r="L998" s="31" t="str">
        <x:v>D04, Markdown line 294; http://nas-1.tail55d152.ts.net:4100/static/2S_PHARMACEUTICALS_AND_CHEMICALS_SECTOR_DOSSIER.html</x:v>
      </x:c>
    </x:row>
    <x:row r="999" ht="42" customHeight="1">
      <x:c r="A999" s="5" t="str">
        <x:v>D04</x:v>
      </x:c>
      <x:c r="B999" s="5" t="str">
        <x:v>D04-T06</x:v>
      </x:c>
      <x:c r="C999" s="5" t="str">
        <x:v>5.5 Tier 5: Synthesis Enablers, Life Science Tools &amp; Reagents</x:v>
      </x:c>
      <x:c r="D999" s="5" t="n">
        <x:v>294</x:v>
      </x:c>
      <x:c r="E999" s="5" t="n">
        <x:v>5</x:v>
      </x:c>
      <x:c r="F999" s="5" t="str">
        <x:v>Core Modality &amp; Therapeutic Focus</x:v>
      </x:c>
      <x:c r="G999" s="5" t="n">
        <x:v>1</x:v>
      </x:c>
      <x:c r="H999" s="5" t="n">
        <x:v>1</x:v>
      </x:c>
      <x:c r="I999" s="5" t="str">
        <x:v>Automated chemical synthesis, flash chromatography, peptide synthesizers, sample prep.</x:v>
      </x:c>
      <x:c r="J999" s="5" t="str">
        <x:v>SOURCE QUOTE; unvalidated / superseded assessments</x:v>
      </x:c>
      <x:c r="L999" s="31" t="str">
        <x:v>D04, Markdown line 294; http://nas-1.tail55d152.ts.net:4100/static/2S_PHARMACEUTICALS_AND_CHEMICALS_SECTOR_DOSSIER.html</x:v>
      </x:c>
    </x:row>
    <x:row r="1000" ht="42" customHeight="1">
      <x:c r="A1000" s="5" t="str">
        <x:v>D04</x:v>
      </x:c>
      <x:c r="B1000" s="5" t="str">
        <x:v>D04-T06</x:v>
      </x:c>
      <x:c r="C1000" s="5" t="str">
        <x:v>5.5 Tier 5: Synthesis Enablers, Life Science Tools &amp; Reagents</x:v>
      </x:c>
      <x:c r="D1000" s="5" t="n">
        <x:v>294</x:v>
      </x:c>
      <x:c r="E1000" s="5" t="n">
        <x:v>6</x:v>
      </x:c>
      <x:c r="F1000" s="5" t="str">
        <x:v>Key Structural Pain Point</x:v>
      </x:c>
      <x:c r="G1000" s="5" t="n">
        <x:v>1</x:v>
      </x:c>
      <x:c r="H1000" s="5" t="n">
        <x:v>1</x:v>
      </x:c>
      <x:c r="I1000" s="5" t="str">
        <x:v>Transitioning hardware sales to recurring consumables; global customer service dispatch; software integration with customer LIMS.</x:v>
      </x:c>
      <x:c r="J1000" s="5" t="str">
        <x:v>SOURCE QUOTE; unvalidated / superseded assessments</x:v>
      </x:c>
      <x:c r="L1000" s="31" t="str">
        <x:v>D04, Markdown line 294; http://nas-1.tail55d152.ts.net:4100/static/2S_PHARMACEUTICALS_AND_CHEMICALS_SECTOR_DOSSIER.html</x:v>
      </x:c>
    </x:row>
    <x:row r="1001" ht="42" customHeight="1">
      <x:c r="A1001" s="5" t="str">
        <x:v>D04</x:v>
      </x:c>
      <x:c r="B1001" s="5" t="str">
        <x:v>D04-T06</x:v>
      </x:c>
      <x:c r="C1001" s="5" t="str">
        <x:v>5.5 Tier 5: Synthesis Enablers, Life Science Tools &amp; Reagents</x:v>
      </x:c>
      <x:c r="D1001" s="5" t="n">
        <x:v>294</x:v>
      </x:c>
      <x:c r="E1001" s="5" t="n">
        <x:v>7</x:v>
      </x:c>
      <x:c r="F1001" s="5" t="str">
        <x:v>2S Consulting &amp; Numantra Strategic Lever</x:v>
      </x:c>
      <x:c r="G1001" s="5" t="n">
        <x:v>1</x:v>
      </x:c>
      <x:c r="H1001" s="5" t="n">
        <x:v>1</x:v>
      </x:c>
      <x:c r="I1001" s="5" t="str">
        <x:v>Device-as-a-Service (DaaS) Consumables Telemetry; LIMS connectivity architecture; service contract profitability modeling.</x:v>
      </x:c>
      <x:c r="J1001" s="5" t="str">
        <x:v>SOURCE QUOTE; unvalidated / superseded assessments</x:v>
      </x:c>
      <x:c r="L1001" s="31" t="str">
        <x:v>D04, Markdown line 294; http://nas-1.tail55d152.ts.net:4100/static/2S_PHARMACEUTICALS_AND_CHEMICALS_SECTOR_DOSSIER.html</x:v>
      </x:c>
    </x:row>
    <x:row r="1002" ht="42" customHeight="1">
      <x:c r="A1002" s="5" t="str">
        <x:v>D04</x:v>
      </x:c>
      <x:c r="B1002" s="5" t="str">
        <x:v>D04-T06</x:v>
      </x:c>
      <x:c r="C1002" s="5" t="str">
        <x:v>5.5 Tier 5: Synthesis Enablers, Life Science Tools &amp; Reagents</x:v>
      </x:c>
      <x:c r="D1002" s="5" t="n">
        <x:v>295</x:v>
      </x:c>
      <x:c r="E1002" s="5" t="n">
        <x:v>1</x:v>
      </x:c>
      <x:c r="F1002" s="5" t="str">
        <x:v>Company</x:v>
      </x:c>
      <x:c r="G1002" s="5" t="n">
        <x:v>1</x:v>
      </x:c>
      <x:c r="H1002" s="5" t="n">
        <x:v>1</x:v>
      </x:c>
      <x:c r="I1002" s="5" t="str">
        <x:v>Bio-Works Technologies AB</x:v>
      </x:c>
      <x:c r="J1002" s="5" t="str">
        <x:v>SOURCE QUOTE; unvalidated / superseded assessments</x:v>
      </x:c>
      <x:c r="L1002" s="31" t="str">
        <x:v>D04, Markdown line 295; http://nas-1.tail55d152.ts.net:4100/static/2S_PHARMACEUTICALS_AND_CHEMICALS_SECTOR_DOSSIER.html</x:v>
      </x:c>
    </x:row>
    <x:row r="1003" ht="42" customHeight="1">
      <x:c r="A1003" s="5" t="str">
        <x:v>D04</x:v>
      </x:c>
      <x:c r="B1003" s="5" t="str">
        <x:v>D04-T06</x:v>
      </x:c>
      <x:c r="C1003" s="5" t="str">
        <x:v>5.5 Tier 5: Synthesis Enablers, Life Science Tools &amp; Reagents</x:v>
      </x:c>
      <x:c r="D1003" s="5" t="n">
        <x:v>295</x:v>
      </x:c>
      <x:c r="E1003" s="5" t="n">
        <x:v>2</x:v>
      </x:c>
      <x:c r="F1003" s="5" t="str">
        <x:v>HQ &amp; Key Sites</x:v>
      </x:c>
      <x:c r="G1003" s="5" t="n">
        <x:v>1</x:v>
      </x:c>
      <x:c r="H1003" s="5" t="n">
        <x:v>1</x:v>
      </x:c>
      <x:c r="I1003" s="5" t="str">
        <x:v>Uppsala, SE</x:v>
      </x:c>
      <x:c r="J1003" s="5" t="str">
        <x:v>SOURCE QUOTE; unvalidated / superseded assessments</x:v>
      </x:c>
      <x:c r="L1003" s="31" t="str">
        <x:v>D04, Markdown line 295; http://nas-1.tail55d152.ts.net:4100/static/2S_PHARMACEUTICALS_AND_CHEMICALS_SECTOR_DOSSIER.html</x:v>
      </x:c>
    </x:row>
    <x:row r="1004" ht="42" customHeight="1">
      <x:c r="A1004" s="5" t="str">
        <x:v>D04</x:v>
      </x:c>
      <x:c r="B1004" s="5" t="str">
        <x:v>D04-T06</x:v>
      </x:c>
      <x:c r="C1004" s="5" t="str">
        <x:v>5.5 Tier 5: Synthesis Enablers, Life Science Tools &amp; Reagents</x:v>
      </x:c>
      <x:c r="D1004" s="5" t="n">
        <x:v>295</x:v>
      </x:c>
      <x:c r="E1004" s="5" t="n">
        <x:v>3</x:v>
      </x:c>
      <x:c r="F1004" s="5" t="str">
        <x:v>Annual Revenue</x:v>
      </x:c>
      <x:c r="G1004" s="5" t="n">
        <x:v>1</x:v>
      </x:c>
      <x:c r="H1004" s="5" t="n">
        <x:v>1</x:v>
      </x:c>
      <x:c r="I1004" s="5" t="str">
        <x:v>SEK 35.2M</x:v>
      </x:c>
      <x:c r="J1004" s="5" t="str">
        <x:v>SOURCE QUOTE; unvalidated / superseded assessments</x:v>
      </x:c>
      <x:c r="L1004" s="31" t="str">
        <x:v>D04, Markdown line 295; http://nas-1.tail55d152.ts.net:4100/static/2S_PHARMACEUTICALS_AND_CHEMICALS_SECTOR_DOSSIER.html</x:v>
      </x:c>
    </x:row>
    <x:row r="1005" ht="42" customHeight="1">
      <x:c r="A1005" s="5" t="str">
        <x:v>D04</x:v>
      </x:c>
      <x:c r="B1005" s="5" t="str">
        <x:v>D04-T06</x:v>
      </x:c>
      <x:c r="C1005" s="5" t="str">
        <x:v>5.5 Tier 5: Synthesis Enablers, Life Science Tools &amp; Reagents</x:v>
      </x:c>
      <x:c r="D1005" s="5" t="n">
        <x:v>295</x:v>
      </x:c>
      <x:c r="E1005" s="5" t="n">
        <x:v>4</x:v>
      </x:c>
      <x:c r="F1005" s="5" t="str">
        <x:v>Annual R&amp;D Spend</x:v>
      </x:c>
      <x:c r="G1005" s="5" t="n">
        <x:v>1</x:v>
      </x:c>
      <x:c r="H1005" s="5" t="n">
        <x:v>1</x:v>
      </x:c>
      <x:c r="I1005" s="5" t="str">
        <x:v>SEK 18.5M</x:v>
      </x:c>
      <x:c r="J1005" s="5" t="str">
        <x:v>SOURCE QUOTE; unvalidated / superseded assessments</x:v>
      </x:c>
      <x:c r="L1005" s="31" t="str">
        <x:v>D04, Markdown line 295; http://nas-1.tail55d152.ts.net:4100/static/2S_PHARMACEUTICALS_AND_CHEMICALS_SECTOR_DOSSIER.html</x:v>
      </x:c>
    </x:row>
    <x:row r="1006" ht="42" customHeight="1">
      <x:c r="A1006" s="5" t="str">
        <x:v>D04</x:v>
      </x:c>
      <x:c r="B1006" s="5" t="str">
        <x:v>D04-T06</x:v>
      </x:c>
      <x:c r="C1006" s="5" t="str">
        <x:v>5.5 Tier 5: Synthesis Enablers, Life Science Tools &amp; Reagents</x:v>
      </x:c>
      <x:c r="D1006" s="5" t="n">
        <x:v>295</x:v>
      </x:c>
      <x:c r="E1006" s="5" t="n">
        <x:v>5</x:v>
      </x:c>
      <x:c r="F1006" s="5" t="str">
        <x:v>Core Modality &amp; Therapeutic Focus</x:v>
      </x:c>
      <x:c r="G1006" s="5" t="n">
        <x:v>1</x:v>
      </x:c>
      <x:c r="H1006" s="5" t="n">
        <x:v>1</x:v>
      </x:c>
      <x:c r="I1006" s="5" t="str">
        <x:v>Agarose-based chromatography purification resins (WorkBeads) for biologics and peptides.</x:v>
      </x:c>
      <x:c r="J1006" s="5" t="str">
        <x:v>SOURCE QUOTE; unvalidated / superseded assessments</x:v>
      </x:c>
      <x:c r="L1006" s="31" t="str">
        <x:v>D04, Markdown line 295; http://nas-1.tail55d152.ts.net:4100/static/2S_PHARMACEUTICALS_AND_CHEMICALS_SECTOR_DOSSIER.html</x:v>
      </x:c>
    </x:row>
    <x:row r="1007" ht="42" customHeight="1">
      <x:c r="A1007" s="5" t="str">
        <x:v>D04</x:v>
      </x:c>
      <x:c r="B1007" s="5" t="str">
        <x:v>D04-T06</x:v>
      </x:c>
      <x:c r="C1007" s="5" t="str">
        <x:v>5.5 Tier 5: Synthesis Enablers, Life Science Tools &amp; Reagents</x:v>
      </x:c>
      <x:c r="D1007" s="5" t="n">
        <x:v>295</x:v>
      </x:c>
      <x:c r="E1007" s="5" t="n">
        <x:v>6</x:v>
      </x:c>
      <x:c r="F1007" s="5" t="str">
        <x:v>Key Structural Pain Point</x:v>
      </x:c>
      <x:c r="G1007" s="5" t="n">
        <x:v>1</x:v>
      </x:c>
      <x:c r="H1007" s="5" t="n">
        <x:v>1</x:v>
      </x:c>
      <x:c r="I1007" s="5" t="str">
        <x:v>Competing against Cytiva (Danaher); scaling manufacturing capacity; customer evaluation lead times.</x:v>
      </x:c>
      <x:c r="J1007" s="5" t="str">
        <x:v>SOURCE QUOTE; unvalidated / superseded assessments</x:v>
      </x:c>
      <x:c r="L1007" s="31" t="str">
        <x:v>D04, Markdown line 295; http://nas-1.tail55d152.ts.net:4100/static/2S_PHARMACEUTICALS_AND_CHEMICALS_SECTOR_DOSSIER.html</x:v>
      </x:c>
    </x:row>
    <x:row r="1008" ht="42" customHeight="1">
      <x:c r="A1008" s="5" t="str">
        <x:v>D04</x:v>
      </x:c>
      <x:c r="B1008" s="5" t="str">
        <x:v>D04-T06</x:v>
      </x:c>
      <x:c r="C1008" s="5" t="str">
        <x:v>5.5 Tier 5: Synthesis Enablers, Life Science Tools &amp; Reagents</x:v>
      </x:c>
      <x:c r="D1008" s="5" t="n">
        <x:v>295</x:v>
      </x:c>
      <x:c r="E1008" s="5" t="n">
        <x:v>7</x:v>
      </x:c>
      <x:c r="F1008" s="5" t="str">
        <x:v>2S Consulting &amp; Numantra Strategic Lever</x:v>
      </x:c>
      <x:c r="G1008" s="5" t="n">
        <x:v>1</x:v>
      </x:c>
      <x:c r="H1008" s="5" t="n">
        <x:v>1</x:v>
      </x:c>
      <x:c r="I1008" s="5" t="str">
        <x:v>Resin Performance Cost-Benefit Calculators; sales pipeline conversion tracking.</x:v>
      </x:c>
      <x:c r="J1008" s="5" t="str">
        <x:v>SOURCE QUOTE; unvalidated / superseded assessments</x:v>
      </x:c>
      <x:c r="L1008" s="31" t="str">
        <x:v>D04, Markdown line 295; http://nas-1.tail55d152.ts.net:4100/static/2S_PHARMACEUTICALS_AND_CHEMICALS_SECTOR_DOSSIER.html</x:v>
      </x:c>
    </x:row>
    <x:row r="1009" ht="42" customHeight="1">
      <x:c r="A1009" s="5" t="str">
        <x:v>D04</x:v>
      </x:c>
      <x:c r="B1009" s="5" t="str">
        <x:v>D04-T06</x:v>
      </x:c>
      <x:c r="C1009" s="5" t="str">
        <x:v>5.5 Tier 5: Synthesis Enablers, Life Science Tools &amp; Reagents</x:v>
      </x:c>
      <x:c r="D1009" s="5" t="n">
        <x:v>296</x:v>
      </x:c>
      <x:c r="E1009" s="5" t="n">
        <x:v>1</x:v>
      </x:c>
      <x:c r="F1009" s="5" t="str">
        <x:v>Company</x:v>
      </x:c>
      <x:c r="G1009" s="5" t="n">
        <x:v>1</x:v>
      </x:c>
      <x:c r="H1009" s="5" t="n">
        <x:v>1</x:v>
      </x:c>
      <x:c r="I1009" s="5" t="str">
        <x:v>BioLamina AB</x:v>
      </x:c>
      <x:c r="J1009" s="5" t="str">
        <x:v>SOURCE QUOTE; unvalidated / superseded assessments</x:v>
      </x:c>
      <x:c r="L1009" s="31" t="str">
        <x:v>D04, Markdown line 296; http://nas-1.tail55d152.ts.net:4100/static/2S_PHARMACEUTICALS_AND_CHEMICALS_SECTOR_DOSSIER.html</x:v>
      </x:c>
    </x:row>
    <x:row r="1010" ht="42" customHeight="1">
      <x:c r="A1010" s="5" t="str">
        <x:v>D04</x:v>
      </x:c>
      <x:c r="B1010" s="5" t="str">
        <x:v>D04-T06</x:v>
      </x:c>
      <x:c r="C1010" s="5" t="str">
        <x:v>5.5 Tier 5: Synthesis Enablers, Life Science Tools &amp; Reagents</x:v>
      </x:c>
      <x:c r="D1010" s="5" t="n">
        <x:v>296</x:v>
      </x:c>
      <x:c r="E1010" s="5" t="n">
        <x:v>2</x:v>
      </x:c>
      <x:c r="F1010" s="5" t="str">
        <x:v>HQ &amp; Key Sites</x:v>
      </x:c>
      <x:c r="G1010" s="5" t="n">
        <x:v>1</x:v>
      </x:c>
      <x:c r="H1010" s="5" t="n">
        <x:v>1</x:v>
      </x:c>
      <x:c r="I1010" s="5" t="str">
        <x:v>Sundbyberg, SE</x:v>
      </x:c>
      <x:c r="J1010" s="5" t="str">
        <x:v>SOURCE QUOTE; unvalidated / superseded assessments</x:v>
      </x:c>
      <x:c r="L1010" s="31" t="str">
        <x:v>D04, Markdown line 296; http://nas-1.tail55d152.ts.net:4100/static/2S_PHARMACEUTICALS_AND_CHEMICALS_SECTOR_DOSSIER.html</x:v>
      </x:c>
    </x:row>
    <x:row r="1011" ht="42" customHeight="1">
      <x:c r="A1011" s="5" t="str">
        <x:v>D04</x:v>
      </x:c>
      <x:c r="B1011" s="5" t="str">
        <x:v>D04-T06</x:v>
      </x:c>
      <x:c r="C1011" s="5" t="str">
        <x:v>5.5 Tier 5: Synthesis Enablers, Life Science Tools &amp; Reagents</x:v>
      </x:c>
      <x:c r="D1011" s="5" t="n">
        <x:v>296</x:v>
      </x:c>
      <x:c r="E1011" s="5" t="n">
        <x:v>3</x:v>
      </x:c>
      <x:c r="F1011" s="5" t="str">
        <x:v>Annual Revenue</x:v>
      </x:c>
      <x:c r="G1011" s="5" t="n">
        <x:v>1</x:v>
      </x:c>
      <x:c r="H1011" s="5" t="n">
        <x:v>1</x:v>
      </x:c>
      <x:c r="I1011" s="5" t="str">
        <x:v>SEK 95.0M est.</x:v>
      </x:c>
      <x:c r="J1011" s="5" t="str">
        <x:v>SOURCE QUOTE; unvalidated / superseded assessments</x:v>
      </x:c>
      <x:c r="L1011" s="31" t="str">
        <x:v>D04, Markdown line 296; http://nas-1.tail55d152.ts.net:4100/static/2S_PHARMACEUTICALS_AND_CHEMICALS_SECTOR_DOSSIER.html</x:v>
      </x:c>
    </x:row>
    <x:row r="1012" ht="42" customHeight="1">
      <x:c r="A1012" s="5" t="str">
        <x:v>D04</x:v>
      </x:c>
      <x:c r="B1012" s="5" t="str">
        <x:v>D04-T06</x:v>
      </x:c>
      <x:c r="C1012" s="5" t="str">
        <x:v>5.5 Tier 5: Synthesis Enablers, Life Science Tools &amp; Reagents</x:v>
      </x:c>
      <x:c r="D1012" s="5" t="n">
        <x:v>296</x:v>
      </x:c>
      <x:c r="E1012" s="5" t="n">
        <x:v>4</x:v>
      </x:c>
      <x:c r="F1012" s="5" t="str">
        <x:v>Annual R&amp;D Spend</x:v>
      </x:c>
      <x:c r="G1012" s="5" t="n">
        <x:v>1</x:v>
      </x:c>
      <x:c r="H1012" s="5" t="n">
        <x:v>1</x:v>
      </x:c>
      <x:c r="I1012" s="5" t="str">
        <x:v>SEK 15.0M est.</x:v>
      </x:c>
      <x:c r="J1012" s="5" t="str">
        <x:v>SOURCE QUOTE; unvalidated / superseded assessments</x:v>
      </x:c>
      <x:c r="L1012" s="31" t="str">
        <x:v>D04, Markdown line 296; http://nas-1.tail55d152.ts.net:4100/static/2S_PHARMACEUTICALS_AND_CHEMICALS_SECTOR_DOSSIER.html</x:v>
      </x:c>
    </x:row>
    <x:row r="1013" ht="42" customHeight="1">
      <x:c r="A1013" s="5" t="str">
        <x:v>D04</x:v>
      </x:c>
      <x:c r="B1013" s="5" t="str">
        <x:v>D04-T06</x:v>
      </x:c>
      <x:c r="C1013" s="5" t="str">
        <x:v>5.5 Tier 5: Synthesis Enablers, Life Science Tools &amp; Reagents</x:v>
      </x:c>
      <x:c r="D1013" s="5" t="n">
        <x:v>296</x:v>
      </x:c>
      <x:c r="E1013" s="5" t="n">
        <x:v>5</x:v>
      </x:c>
      <x:c r="F1013" s="5" t="str">
        <x:v>Core Modality &amp; Therapeutic Focus</x:v>
      </x:c>
      <x:c r="G1013" s="5" t="n">
        <x:v>1</x:v>
      </x:c>
      <x:c r="H1013" s="5" t="n">
        <x:v>1</x:v>
      </x:c>
      <x:c r="I1013" s="5" t="str">
        <x:v>Recombinant human laminins for stem cell culture, cell therapy, and regenerative medicine.</x:v>
      </x:c>
      <x:c r="J1013" s="5" t="str">
        <x:v>SOURCE QUOTE; unvalidated / superseded assessments</x:v>
      </x:c>
      <x:c r="L1013" s="31" t="str">
        <x:v>D04, Markdown line 296; http://nas-1.tail55d152.ts.net:4100/static/2S_PHARMACEUTICALS_AND_CHEMICALS_SECTOR_DOSSIER.html</x:v>
      </x:c>
    </x:row>
    <x:row r="1014" ht="42" customHeight="1">
      <x:c r="A1014" s="5" t="str">
        <x:v>D04</x:v>
      </x:c>
      <x:c r="B1014" s="5" t="str">
        <x:v>D04-T06</x:v>
      </x:c>
      <x:c r="C1014" s="5" t="str">
        <x:v>5.5 Tier 5: Synthesis Enablers, Life Science Tools &amp; Reagents</x:v>
      </x:c>
      <x:c r="D1014" s="5" t="n">
        <x:v>296</x:v>
      </x:c>
      <x:c r="E1014" s="5" t="n">
        <x:v>6</x:v>
      </x:c>
      <x:c r="F1014" s="5" t="str">
        <x:v>Key Structural Pain Point</x:v>
      </x:c>
      <x:c r="G1014" s="5" t="n">
        <x:v>1</x:v>
      </x:c>
      <x:c r="H1014" s="5" t="n">
        <x:v>1</x:v>
      </x:c>
      <x:c r="I1014" s="5" t="str">
        <x:v>High bioproduction cleanroom costs; cold-chain distribution logistics; global distributor margin tracking.</x:v>
      </x:c>
      <x:c r="J1014" s="5" t="str">
        <x:v>SOURCE QUOTE; unvalidated / superseded assessments</x:v>
      </x:c>
      <x:c r="L1014" s="31" t="str">
        <x:v>D04, Markdown line 296; http://nas-1.tail55d152.ts.net:4100/static/2S_PHARMACEUTICALS_AND_CHEMICALS_SECTOR_DOSSIER.html</x:v>
      </x:c>
    </x:row>
    <x:row r="1015" ht="42" customHeight="1">
      <x:c r="A1015" s="5" t="str">
        <x:v>D04</x:v>
      </x:c>
      <x:c r="B1015" s="5" t="str">
        <x:v>D04-T06</x:v>
      </x:c>
      <x:c r="C1015" s="5" t="str">
        <x:v>5.5 Tier 5: Synthesis Enablers, Life Science Tools &amp; Reagents</x:v>
      </x:c>
      <x:c r="D1015" s="5" t="n">
        <x:v>296</x:v>
      </x:c>
      <x:c r="E1015" s="5" t="n">
        <x:v>7</x:v>
      </x:c>
      <x:c r="F1015" s="5" t="str">
        <x:v>2S Consulting &amp; Numantra Strategic Lever</x:v>
      </x:c>
      <x:c r="G1015" s="5" t="n">
        <x:v>1</x:v>
      </x:c>
      <x:c r="H1015" s="5" t="n">
        <x:v>1</x:v>
      </x:c>
      <x:c r="I1015" s="5" t="str">
        <x:v>Global Wholesaler &amp; Distributor Margin Tracking; cleanroom batch yield modeling.</x:v>
      </x:c>
      <x:c r="J1015" s="5" t="str">
        <x:v>SOURCE QUOTE; unvalidated / superseded assessments</x:v>
      </x:c>
      <x:c r="L1015" s="31" t="str">
        <x:v>D04, Markdown line 296; http://nas-1.tail55d152.ts.net:4100/static/2S_PHARMACEUTICALS_AND_CHEMICALS_SECTOR_DOSSIER.html</x:v>
      </x:c>
    </x:row>
    <x:row r="1016" ht="42" customHeight="1">
      <x:c r="A1016" s="5" t="str">
        <x:v>D04</x:v>
      </x:c>
      <x:c r="B1016" s="5" t="str">
        <x:v>D04-T06</x:v>
      </x:c>
      <x:c r="C1016" s="5" t="str">
        <x:v>5.5 Tier 5: Synthesis Enablers, Life Science Tools &amp; Reagents</x:v>
      </x:c>
      <x:c r="D1016" s="5" t="n">
        <x:v>297</x:v>
      </x:c>
      <x:c r="E1016" s="5" t="n">
        <x:v>1</x:v>
      </x:c>
      <x:c r="F1016" s="5" t="str">
        <x:v>Company</x:v>
      </x:c>
      <x:c r="G1016" s="5" t="n">
        <x:v>1</x:v>
      </x:c>
      <x:c r="H1016" s="5" t="n">
        <x:v>1</x:v>
      </x:c>
      <x:c r="I1016" s="5" t="str">
        <x:v>ANYO Labs AB</x:v>
      </x:c>
      <x:c r="J1016" s="5" t="str">
        <x:v>SOURCE QUOTE; unvalidated / superseded assessments</x:v>
      </x:c>
      <x:c r="L1016" s="31" t="str">
        <x:v>D04, Markdown line 297; http://nas-1.tail55d152.ts.net:4100/static/2S_PHARMACEUTICALS_AND_CHEMICALS_SECTOR_DOSSIER.html</x:v>
      </x:c>
    </x:row>
    <x:row r="1017" ht="42" customHeight="1">
      <x:c r="A1017" s="5" t="str">
        <x:v>D04</x:v>
      </x:c>
      <x:c r="B1017" s="5" t="str">
        <x:v>D04-T06</x:v>
      </x:c>
      <x:c r="C1017" s="5" t="str">
        <x:v>5.5 Tier 5: Synthesis Enablers, Life Science Tools &amp; Reagents</x:v>
      </x:c>
      <x:c r="D1017" s="5" t="n">
        <x:v>297</x:v>
      </x:c>
      <x:c r="E1017" s="5" t="n">
        <x:v>2</x:v>
      </x:c>
      <x:c r="F1017" s="5" t="str">
        <x:v>HQ &amp; Key Sites</x:v>
      </x:c>
      <x:c r="G1017" s="5" t="n">
        <x:v>1</x:v>
      </x:c>
      <x:c r="H1017" s="5" t="n">
        <x:v>1</x:v>
      </x:c>
      <x:c r="I1017" s="5" t="str">
        <x:v>Gothenburg, SE</x:v>
      </x:c>
      <x:c r="J1017" s="5" t="str">
        <x:v>SOURCE QUOTE; unvalidated / superseded assessments</x:v>
      </x:c>
      <x:c r="L1017" s="31" t="str">
        <x:v>D04, Markdown line 297; http://nas-1.tail55d152.ts.net:4100/static/2S_PHARMACEUTICALS_AND_CHEMICALS_SECTOR_DOSSIER.html</x:v>
      </x:c>
    </x:row>
    <x:row r="1018" ht="42" customHeight="1">
      <x:c r="A1018" s="5" t="str">
        <x:v>D04</x:v>
      </x:c>
      <x:c r="B1018" s="5" t="str">
        <x:v>D04-T06</x:v>
      </x:c>
      <x:c r="C1018" s="5" t="str">
        <x:v>5.5 Tier 5: Synthesis Enablers, Life Science Tools &amp; Reagents</x:v>
      </x:c>
      <x:c r="D1018" s="5" t="n">
        <x:v>297</x:v>
      </x:c>
      <x:c r="E1018" s="5" t="n">
        <x:v>3</x:v>
      </x:c>
      <x:c r="F1018" s="5" t="str">
        <x:v>Annual Revenue</x:v>
      </x:c>
      <x:c r="G1018" s="5" t="n">
        <x:v>1</x:v>
      </x:c>
      <x:c r="H1018" s="5" t="n">
        <x:v>1</x:v>
      </x:c>
      <x:c r="I1018" s="5" t="str">
        <x:v>Early stage</x:v>
      </x:c>
      <x:c r="J1018" s="5" t="str">
        <x:v>SOURCE QUOTE; unvalidated / superseded assessments</x:v>
      </x:c>
      <x:c r="L1018" s="31" t="str">
        <x:v>D04, Markdown line 297; http://nas-1.tail55d152.ts.net:4100/static/2S_PHARMACEUTICALS_AND_CHEMICALS_SECTOR_DOSSIER.html</x:v>
      </x:c>
    </x:row>
    <x:row r="1019" ht="42" customHeight="1">
      <x:c r="A1019" s="5" t="str">
        <x:v>D04</x:v>
      </x:c>
      <x:c r="B1019" s="5" t="str">
        <x:v>D04-T06</x:v>
      </x:c>
      <x:c r="C1019" s="5" t="str">
        <x:v>5.5 Tier 5: Synthesis Enablers, Life Science Tools &amp; Reagents</x:v>
      </x:c>
      <x:c r="D1019" s="5" t="n">
        <x:v>297</x:v>
      </x:c>
      <x:c r="E1019" s="5" t="n">
        <x:v>4</x:v>
      </x:c>
      <x:c r="F1019" s="5" t="str">
        <x:v>Annual R&amp;D Spend</x:v>
      </x:c>
      <x:c r="G1019" s="5" t="n">
        <x:v>1</x:v>
      </x:c>
      <x:c r="H1019" s="5" t="n">
        <x:v>1</x:v>
      </x:c>
      <x:c r="I1019" s="5" t="str">
        <x:v>Proprietary R&amp;D</x:v>
      </x:c>
      <x:c r="J1019" s="5" t="str">
        <x:v>SOURCE QUOTE; unvalidated / superseded assessments</x:v>
      </x:c>
      <x:c r="L1019" s="31" t="str">
        <x:v>D04, Markdown line 297; http://nas-1.tail55d152.ts.net:4100/static/2S_PHARMACEUTICALS_AND_CHEMICALS_SECTOR_DOSSIER.html</x:v>
      </x:c>
    </x:row>
    <x:row r="1020" ht="42" customHeight="1">
      <x:c r="A1020" s="5" t="str">
        <x:v>D04</x:v>
      </x:c>
      <x:c r="B1020" s="5" t="str">
        <x:v>D04-T06</x:v>
      </x:c>
      <x:c r="C1020" s="5" t="str">
        <x:v>5.5 Tier 5: Synthesis Enablers, Life Science Tools &amp; Reagents</x:v>
      </x:c>
      <x:c r="D1020" s="5" t="n">
        <x:v>297</x:v>
      </x:c>
      <x:c r="E1020" s="5" t="n">
        <x:v>5</x:v>
      </x:c>
      <x:c r="F1020" s="5" t="str">
        <x:v>Core Modality &amp; Therapeutic Focus</x:v>
      </x:c>
      <x:c r="G1020" s="5" t="n">
        <x:v>1</x:v>
      </x:c>
      <x:c r="H1020" s="5" t="n">
        <x:v>1</x:v>
      </x:c>
      <x:c r="I1020" s="5" t="str">
        <x:v>AI-driven computational drug discovery, quantum mechanical docking, generative chemistry.</x:v>
      </x:c>
      <x:c r="J1020" s="5" t="str">
        <x:v>SOURCE QUOTE; unvalidated / superseded assessments</x:v>
      </x:c>
      <x:c r="L1020" s="31" t="str">
        <x:v>D04, Markdown line 297; http://nas-1.tail55d152.ts.net:4100/static/2S_PHARMACEUTICALS_AND_CHEMICALS_SECTOR_DOSSIER.html</x:v>
      </x:c>
    </x:row>
    <x:row r="1021" ht="42" customHeight="1">
      <x:c r="A1021" s="5" t="str">
        <x:v>D04</x:v>
      </x:c>
      <x:c r="B1021" s="5" t="str">
        <x:v>D04-T06</x:v>
      </x:c>
      <x:c r="C1021" s="5" t="str">
        <x:v>5.5 Tier 5: Synthesis Enablers, Life Science Tools &amp; Reagents</x:v>
      </x:c>
      <x:c r="D1021" s="5" t="n">
        <x:v>297</x:v>
      </x:c>
      <x:c r="E1021" s="5" t="n">
        <x:v>6</x:v>
      </x:c>
      <x:c r="F1021" s="5" t="str">
        <x:v>Key Structural Pain Point</x:v>
      </x:c>
      <x:c r="G1021" s="5" t="n">
        <x:v>1</x:v>
      </x:c>
      <x:c r="H1021" s="5" t="n">
        <x:v>1</x:v>
      </x:c>
      <x:c r="I1021" s="5" t="str">
        <x:v>Proving model generalizability to pharmaceutical partners; ensuring European data sovereignty and IP protection.</x:v>
      </x:c>
      <x:c r="J1021" s="5" t="str">
        <x:v>SOURCE QUOTE; unvalidated / superseded assessments</x:v>
      </x:c>
      <x:c r="L1021" s="31" t="str">
        <x:v>D04, Markdown line 297; http://nas-1.tail55d152.ts.net:4100/static/2S_PHARMACEUTICALS_AND_CHEMICALS_SECTOR_DOSSIER.html</x:v>
      </x:c>
    </x:row>
    <x:row r="1022" ht="42" customHeight="1">
      <x:c r="A1022" s="5" t="str">
        <x:v>D04</x:v>
      </x:c>
      <x:c r="B1022" s="5" t="str">
        <x:v>D04-T06</x:v>
      </x:c>
      <x:c r="C1022" s="5" t="str">
        <x:v>5.5 Tier 5: Synthesis Enablers, Life Science Tools &amp; Reagents</x:v>
      </x:c>
      <x:c r="D1022" s="5" t="n">
        <x:v>297</x:v>
      </x:c>
      <x:c r="E1022" s="5" t="n">
        <x:v>7</x:v>
      </x:c>
      <x:c r="F1022" s="5" t="str">
        <x:v>2S Consulting &amp; Numantra Strategic Lever</x:v>
      </x:c>
      <x:c r="G1022" s="5" t="n">
        <x:v>1</x:v>
      </x:c>
      <x:c r="H1022" s="5" t="n">
        <x:v>1</x:v>
      </x:c>
      <x:c r="I1022" s="5" t="str">
        <x:v>Sovereign Cloud Deployment (Numantra Finland ISO Cloud); EU AI Act Conformity Documentation.</x:v>
      </x:c>
      <x:c r="J1022" s="5" t="str">
        <x:v>SOURCE QUOTE; unvalidated / superseded assessments</x:v>
      </x:c>
      <x:c r="L1022" s="31" t="str">
        <x:v>D04, Markdown line 297; http://nas-1.tail55d152.ts.net:4100/static/2S_PHARMACEUTICALS_AND_CHEMICALS_SECTOR_DOSSIER.html</x:v>
      </x:c>
    </x:row>
    <x:row r="1023" ht="42" customHeight="1">
      <x:c r="A1023" s="5" t="str">
        <x:v>D04</x:v>
      </x:c>
      <x:c r="B1023" s="5" t="str">
        <x:v>D04-T06</x:v>
      </x:c>
      <x:c r="C1023" s="5" t="str">
        <x:v>5.5 Tier 5: Synthesis Enablers, Life Science Tools &amp; Reagents</x:v>
      </x:c>
      <x:c r="D1023" s="5" t="n">
        <x:v>298</x:v>
      </x:c>
      <x:c r="E1023" s="5" t="n">
        <x:v>1</x:v>
      </x:c>
      <x:c r="F1023" s="5" t="str">
        <x:v>Company</x:v>
      </x:c>
      <x:c r="G1023" s="5" t="n">
        <x:v>1</x:v>
      </x:c>
      <x:c r="H1023" s="5" t="n">
        <x:v>1</x:v>
      </x:c>
      <x:c r="I1023" s="5" t="str">
        <x:v>Agrisera AB</x:v>
      </x:c>
      <x:c r="J1023" s="5" t="str">
        <x:v>SOURCE QUOTE; unvalidated / superseded assessments</x:v>
      </x:c>
      <x:c r="L1023" s="31" t="str">
        <x:v>D04, Markdown line 298; http://nas-1.tail55d152.ts.net:4100/static/2S_PHARMACEUTICALS_AND_CHEMICALS_SECTOR_DOSSIER.html</x:v>
      </x:c>
    </x:row>
    <x:row r="1024" ht="42" customHeight="1">
      <x:c r="A1024" s="5" t="str">
        <x:v>D04</x:v>
      </x:c>
      <x:c r="B1024" s="5" t="str">
        <x:v>D04-T06</x:v>
      </x:c>
      <x:c r="C1024" s="5" t="str">
        <x:v>5.5 Tier 5: Synthesis Enablers, Life Science Tools &amp; Reagents</x:v>
      </x:c>
      <x:c r="D1024" s="5" t="n">
        <x:v>298</x:v>
      </x:c>
      <x:c r="E1024" s="5" t="n">
        <x:v>2</x:v>
      </x:c>
      <x:c r="F1024" s="5" t="str">
        <x:v>HQ &amp; Key Sites</x:v>
      </x:c>
      <x:c r="G1024" s="5" t="n">
        <x:v>1</x:v>
      </x:c>
      <x:c r="H1024" s="5" t="n">
        <x:v>1</x:v>
      </x:c>
      <x:c r="I1024" s="5" t="str">
        <x:v>Vännäs / Umeå, SE</x:v>
      </x:c>
      <x:c r="J1024" s="5" t="str">
        <x:v>SOURCE QUOTE; unvalidated / superseded assessments</x:v>
      </x:c>
      <x:c r="L1024" s="31" t="str">
        <x:v>D04, Markdown line 298; http://nas-1.tail55d152.ts.net:4100/static/2S_PHARMACEUTICALS_AND_CHEMICALS_SECTOR_DOSSIER.html</x:v>
      </x:c>
    </x:row>
    <x:row r="1025" ht="42" customHeight="1">
      <x:c r="A1025" s="5" t="str">
        <x:v>D04</x:v>
      </x:c>
      <x:c r="B1025" s="5" t="str">
        <x:v>D04-T06</x:v>
      </x:c>
      <x:c r="C1025" s="5" t="str">
        <x:v>5.5 Tier 5: Synthesis Enablers, Life Science Tools &amp; Reagents</x:v>
      </x:c>
      <x:c r="D1025" s="5" t="n">
        <x:v>298</x:v>
      </x:c>
      <x:c r="E1025" s="5" t="n">
        <x:v>3</x:v>
      </x:c>
      <x:c r="F1025" s="5" t="str">
        <x:v>Annual Revenue</x:v>
      </x:c>
      <x:c r="G1025" s="5" t="n">
        <x:v>1</x:v>
      </x:c>
      <x:c r="H1025" s="5" t="n">
        <x:v>1</x:v>
      </x:c>
      <x:c r="I1025" s="5" t="str">
        <x:v>SEK 48.0M est.</x:v>
      </x:c>
      <x:c r="J1025" s="5" t="str">
        <x:v>SOURCE QUOTE; unvalidated / superseded assessments</x:v>
      </x:c>
      <x:c r="L1025" s="31" t="str">
        <x:v>D04, Markdown line 298; http://nas-1.tail55d152.ts.net:4100/static/2S_PHARMACEUTICALS_AND_CHEMICALS_SECTOR_DOSSIER.html</x:v>
      </x:c>
    </x:row>
    <x:row r="1026" ht="42" customHeight="1">
      <x:c r="A1026" s="5" t="str">
        <x:v>D04</x:v>
      </x:c>
      <x:c r="B1026" s="5" t="str">
        <x:v>D04-T06</x:v>
      </x:c>
      <x:c r="C1026" s="5" t="str">
        <x:v>5.5 Tier 5: Synthesis Enablers, Life Science Tools &amp; Reagents</x:v>
      </x:c>
      <x:c r="D1026" s="5" t="n">
        <x:v>298</x:v>
      </x:c>
      <x:c r="E1026" s="5" t="n">
        <x:v>4</x:v>
      </x:c>
      <x:c r="F1026" s="5" t="str">
        <x:v>Annual R&amp;D Spend</x:v>
      </x:c>
      <x:c r="G1026" s="5" t="n">
        <x:v>1</x:v>
      </x:c>
      <x:c r="H1026" s="5" t="n">
        <x:v>1</x:v>
      </x:c>
      <x:c r="I1026" s="5" t="str">
        <x:v>SEK 5.0M est.</x:v>
      </x:c>
      <x:c r="J1026" s="5" t="str">
        <x:v>SOURCE QUOTE; unvalidated / superseded assessments</x:v>
      </x:c>
      <x:c r="L1026" s="31" t="str">
        <x:v>D04, Markdown line 298; http://nas-1.tail55d152.ts.net:4100/static/2S_PHARMACEUTICALS_AND_CHEMICALS_SECTOR_DOSSIER.html</x:v>
      </x:c>
    </x:row>
    <x:row r="1027" ht="42" customHeight="1">
      <x:c r="A1027" s="5" t="str">
        <x:v>D04</x:v>
      </x:c>
      <x:c r="B1027" s="5" t="str">
        <x:v>D04-T06</x:v>
      </x:c>
      <x:c r="C1027" s="5" t="str">
        <x:v>5.5 Tier 5: Synthesis Enablers, Life Science Tools &amp; Reagents</x:v>
      </x:c>
      <x:c r="D1027" s="5" t="n">
        <x:v>298</x:v>
      </x:c>
      <x:c r="E1027" s="5" t="n">
        <x:v>5</x:v>
      </x:c>
      <x:c r="F1027" s="5" t="str">
        <x:v>Core Modality &amp; Therapeutic Focus</x:v>
      </x:c>
      <x:c r="G1027" s="5" t="n">
        <x:v>1</x:v>
      </x:c>
      <x:c r="H1027" s="5" t="n">
        <x:v>1</x:v>
      </x:c>
      <x:c r="I1027" s="5" t="str">
        <x:v>Polyclonal and monoclonal antibody production, plant science, molecular biology reagents.</x:v>
      </x:c>
      <x:c r="J1027" s="5" t="str">
        <x:v>SOURCE QUOTE; unvalidated / superseded assessments</x:v>
      </x:c>
      <x:c r="L1027" s="31" t="str">
        <x:v>D04, Markdown line 298; http://nas-1.tail55d152.ts.net:4100/static/2S_PHARMACEUTICALS_AND_CHEMICALS_SECTOR_DOSSIER.html</x:v>
      </x:c>
    </x:row>
    <x:row r="1028" ht="42" customHeight="1">
      <x:c r="A1028" s="5" t="str">
        <x:v>D04</x:v>
      </x:c>
      <x:c r="B1028" s="5" t="str">
        <x:v>D04-T06</x:v>
      </x:c>
      <x:c r="C1028" s="5" t="str">
        <x:v>5.5 Tier 5: Synthesis Enablers, Life Science Tools &amp; Reagents</x:v>
      </x:c>
      <x:c r="D1028" s="5" t="n">
        <x:v>298</x:v>
      </x:c>
      <x:c r="E1028" s="5" t="n">
        <x:v>6</x:v>
      </x:c>
      <x:c r="F1028" s="5" t="str">
        <x:v>Key Structural Pain Point</x:v>
      </x:c>
      <x:c r="G1028" s="5" t="n">
        <x:v>1</x:v>
      </x:c>
      <x:c r="H1028" s="5" t="n">
        <x:v>1</x:v>
      </x:c>
      <x:c r="I1028" s="5" t="str">
        <x:v>High SKU count with low individual volume; catalog inventory holding costs; e-commerce ERP integration.</x:v>
      </x:c>
      <x:c r="J1028" s="5" t="str">
        <x:v>SOURCE QUOTE; unvalidated / superseded assessments</x:v>
      </x:c>
      <x:c r="L1028" s="31" t="str">
        <x:v>D04, Markdown line 298; http://nas-1.tail55d152.ts.net:4100/static/2S_PHARMACEUTICALS_AND_CHEMICALS_SECTOR_DOSSIER.html</x:v>
      </x:c>
    </x:row>
    <x:row r="1029" ht="42" customHeight="1">
      <x:c r="A1029" s="5" t="str">
        <x:v>D04</x:v>
      </x:c>
      <x:c r="B1029" s="5" t="str">
        <x:v>D04-T06</x:v>
      </x:c>
      <x:c r="C1029" s="5" t="str">
        <x:v>5.5 Tier 5: Synthesis Enablers, Life Science Tools &amp; Reagents</x:v>
      </x:c>
      <x:c r="D1029" s="5" t="n">
        <x:v>298</x:v>
      </x:c>
      <x:c r="E1029" s="5" t="n">
        <x:v>7</x:v>
      </x:c>
      <x:c r="F1029" s="5" t="str">
        <x:v>2S Consulting &amp; Numantra Strategic Lever</x:v>
      </x:c>
      <x:c r="G1029" s="5" t="n">
        <x:v>1</x:v>
      </x:c>
      <x:c r="H1029" s="5" t="n">
        <x:v>1</x:v>
      </x:c>
      <x:c r="I1029" s="5" t="str">
        <x:v>SKU Assortment &amp; Inventory Yield Optimization (Ready-to-go Retail / Distribution Engine).</x:v>
      </x:c>
      <x:c r="J1029" s="5" t="str">
        <x:v>SOURCE QUOTE; unvalidated / superseded assessments</x:v>
      </x:c>
      <x:c r="L1029" s="31" t="str">
        <x:v>D04, Markdown line 298; http://nas-1.tail55d152.ts.net:4100/static/2S_PHARMACEUTICALS_AND_CHEMICALS_SECTOR_DOSSIER.html</x:v>
      </x:c>
    </x:row>
    <x:row r="1030" ht="42" customHeight="1">
      <x:c r="A1030" s="5" t="str">
        <x:v>D04</x:v>
      </x:c>
      <x:c r="B1030" s="5" t="str">
        <x:v>D04-T07</x:v>
      </x:c>
      <x:c r="C1030" s="5" t="str">
        <x:v>8.1 ACH Diagnostic Disconfirmation Matrix</x:v>
      </x:c>
      <x:c r="D1030" s="5" t="n">
        <x:v>477</x:v>
      </x:c>
      <x:c r="E1030" s="5" t="n">
        <x:v>1</x:v>
      </x:c>
      <x:c r="F1030" s="5" t="str">
        <x:v>Diagnostic Evidence &amp; Market Realities</x:v>
      </x:c>
      <x:c r="G1030" s="5" t="n">
        <x:v>1</x:v>
      </x:c>
      <x:c r="H1030" s="5" t="n">
        <x:v>1</x:v>
      </x:c>
      <x:c r="I1030" s="5" t="str">
        <x:v>$E_1$: Entrenched Enterprise Software Stacks (Nordic pharma runs heavily on SAP, Veeva, and Oracle; CIOs reject unintegrated point solutions).</x:v>
      </x:c>
      <x:c r="J1030" s="5" t="str">
        <x:v>SOURCE QUOTE; unvalidated / superseded assessments</x:v>
      </x:c>
      <x:c r="L1030" s="31" t="str">
        <x:v>D04, Markdown line 477; http://nas-1.tail55d152.ts.net:4100/static/2S_PHARMACEUTICALS_AND_CHEMICALS_SECTOR_DOSSIER.html</x:v>
      </x:c>
    </x:row>
    <x:row r="1031" ht="42" customHeight="1">
      <x:c r="A1031" s="5" t="str">
        <x:v>D04</x:v>
      </x:c>
      <x:c r="B1031" s="5" t="str">
        <x:v>D04-T07</x:v>
      </x:c>
      <x:c r="C1031" s="5" t="str">
        <x:v>8.1 ACH Diagnostic Disconfirmation Matrix</x:v>
      </x:c>
      <x:c r="D1031" s="5" t="n">
        <x:v>477</x:v>
      </x:c>
      <x:c r="E1031" s="5" t="n">
        <x:v>2</x:v>
      </x:c>
      <x:c r="F1031" s="5" t="str">
        <x:v>Weight</x:v>
      </x:c>
      <x:c r="G1031" s="5" t="n">
        <x:v>1</x:v>
      </x:c>
      <x:c r="H1031" s="5" t="n">
        <x:v>1</x:v>
      </x:c>
      <x:c r="I1031" s="5" t="str">
        <x:v>1.5</x:v>
      </x:c>
      <x:c r="J1031" s="5" t="str">
        <x:v>SOURCE QUOTE; unvalidated / superseded assessments</x:v>
      </x:c>
      <x:c r="L1031" s="31" t="str">
        <x:v>D04, Markdown line 477; http://nas-1.tail55d152.ts.net:4100/static/2S_PHARMACEUTICALS_AND_CHEMICALS_SECTOR_DOSSIER.html</x:v>
      </x:c>
    </x:row>
    <x:row r="1032" ht="42" customHeight="1">
      <x:c r="A1032" s="5" t="str">
        <x:v>D04</x:v>
      </x:c>
      <x:c r="B1032" s="5" t="str">
        <x:v>D04-T07</x:v>
      </x:c>
      <x:c r="C1032" s="5" t="str">
        <x:v>8.1 ACH Diagnostic Disconfirmation Matrix</x:v>
      </x:c>
      <x:c r="D1032" s="5" t="n">
        <x:v>477</x:v>
      </x:c>
      <x:c r="E1032" s="5" t="n">
        <x:v>3</x:v>
      </x:c>
      <x:c r="F1032" s="5" t="str">
        <x:v>$H_1$ (Enterprise Software)</x:v>
      </x:c>
      <x:c r="G1032" s="5" t="n">
        <x:v>1</x:v>
      </x:c>
      <x:c r="H1032" s="5" t="n">
        <x:v>1</x:v>
      </x:c>
      <x:c r="I1032" s="5" t="str">
        <x:v>Inconsistent (-1.5); High buyer resistance; 12+ month procurement cycles.</x:v>
      </x:c>
      <x:c r="J1032" s="5" t="str">
        <x:v>SOURCE QUOTE; unvalidated / superseded assessments</x:v>
      </x:c>
      <x:c r="L1032" s="31" t="str">
        <x:v>D04, Markdown line 477; http://nas-1.tail55d152.ts.net:4100/static/2S_PHARMACEUTICALS_AND_CHEMICALS_SECTOR_DOSSIER.html</x:v>
      </x:c>
    </x:row>
    <x:row r="1033" ht="42" customHeight="1">
      <x:c r="A1033" s="5" t="str">
        <x:v>D04</x:v>
      </x:c>
      <x:c r="B1033" s="5" t="str">
        <x:v>D04-T07</x:v>
      </x:c>
      <x:c r="C1033" s="5" t="str">
        <x:v>8.1 ACH Diagnostic Disconfirmation Matrix</x:v>
      </x:c>
      <x:c r="D1033" s="5" t="n">
        <x:v>477</x:v>
      </x:c>
      <x:c r="E1033" s="5" t="n">
        <x:v>4</x:v>
      </x:c>
      <x:c r="F1033" s="5" t="str">
        <x:v>$H_2$ (Hourly Advisory)</x:v>
      </x:c>
      <x:c r="G1033" s="5" t="n">
        <x:v>1</x:v>
      </x:c>
      <x:c r="H1033" s="5" t="n">
        <x:v>1</x:v>
      </x:c>
      <x:c r="I1033" s="5" t="str">
        <x:v>Neutral (0.0); Consultants work on top of existing software stacks.</x:v>
      </x:c>
      <x:c r="J1033" s="5" t="str">
        <x:v>SOURCE QUOTE; unvalidated / superseded assessments</x:v>
      </x:c>
      <x:c r="L1033" s="31" t="str">
        <x:v>D04, Markdown line 477; http://nas-1.tail55d152.ts.net:4100/static/2S_PHARMACEUTICALS_AND_CHEMICALS_SECTOR_DOSSIER.html</x:v>
      </x:c>
    </x:row>
    <x:row r="1034" ht="42" customHeight="1">
      <x:c r="A1034" s="5" t="str">
        <x:v>D04</x:v>
      </x:c>
      <x:c r="B1034" s="5" t="str">
        <x:v>D04-T07</x:v>
      </x:c>
      <x:c r="C1034" s="5" t="str">
        <x:v>8.1 ACH Diagnostic Disconfirmation Matrix</x:v>
      </x:c>
      <x:c r="D1034" s="5" t="n">
        <x:v>477</x:v>
      </x:c>
      <x:c r="E1034" s="5" t="n">
        <x:v>5</x:v>
      </x:c>
      <x:c r="F1034" s="5" t="str">
        <x:v>$H_3$ (Asymmetric Hybrid Enabler)</x:v>
      </x:c>
      <x:c r="G1034" s="5" t="n">
        <x:v>1</x:v>
      </x:c>
      <x:c r="H1034" s="5" t="n">
        <x:v>1</x:v>
      </x:c>
      <x:c r="I1034" s="5" t="str">
        <x:v>Very Consistent (0.0); Builds on existing ERP/LIMS without requiring software replacement.</x:v>
      </x:c>
      <x:c r="J1034" s="5" t="str">
        <x:v>SOURCE QUOTE; unvalidated / superseded assessments</x:v>
      </x:c>
      <x:c r="L1034" s="31" t="str">
        <x:v>D04, Markdown line 477; http://nas-1.tail55d152.ts.net:4100/static/2S_PHARMACEUTICALS_AND_CHEMICALS_SECTOR_DOSSIER.html</x:v>
      </x:c>
    </x:row>
    <x:row r="1035" ht="42" customHeight="1">
      <x:c r="A1035" s="5" t="str">
        <x:v>D04</x:v>
      </x:c>
      <x:c r="B1035" s="5" t="str">
        <x:v>D04-T07</x:v>
      </x:c>
      <x:c r="C1035" s="5" t="str">
        <x:v>8.1 ACH Diagnostic Disconfirmation Matrix</x:v>
      </x:c>
      <x:c r="D1035" s="5" t="n">
        <x:v>478</x:v>
      </x:c>
      <x:c r="E1035" s="5" t="n">
        <x:v>1</x:v>
      </x:c>
      <x:c r="F1035" s="5" t="str">
        <x:v>Diagnostic Evidence &amp; Market Realities</x:v>
      </x:c>
      <x:c r="G1035" s="5" t="n">
        <x:v>1</x:v>
      </x:c>
      <x:c r="H1035" s="5" t="n">
        <x:v>1</x:v>
      </x:c>
      <x:c r="I1035" s="5" t="str">
        <x:v>$E_2$: Executive Discretionary Budget Caps (VP-level spend &lt;€40k bypasses formal board and procurement tenders).</x:v>
      </x:c>
      <x:c r="J1035" s="5" t="str">
        <x:v>SOURCE QUOTE; unvalidated / superseded assessments</x:v>
      </x:c>
      <x:c r="L1035" s="31" t="str">
        <x:v>D04, Markdown line 478; http://nas-1.tail55d152.ts.net:4100/static/2S_PHARMACEUTICALS_AND_CHEMICALS_SECTOR_DOSSIER.html</x:v>
      </x:c>
    </x:row>
    <x:row r="1036" ht="42" customHeight="1">
      <x:c r="A1036" s="5" t="str">
        <x:v>D04</x:v>
      </x:c>
      <x:c r="B1036" s="5" t="str">
        <x:v>D04-T07</x:v>
      </x:c>
      <x:c r="C1036" s="5" t="str">
        <x:v>8.1 ACH Diagnostic Disconfirmation Matrix</x:v>
      </x:c>
      <x:c r="D1036" s="5" t="n">
        <x:v>478</x:v>
      </x:c>
      <x:c r="E1036" s="5" t="n">
        <x:v>2</x:v>
      </x:c>
      <x:c r="F1036" s="5" t="str">
        <x:v>Weight</x:v>
      </x:c>
      <x:c r="G1036" s="5" t="n">
        <x:v>1</x:v>
      </x:c>
      <x:c r="H1036" s="5" t="n">
        <x:v>1</x:v>
      </x:c>
      <x:c r="I1036" s="5" t="str">
        <x:v>1.2</x:v>
      </x:c>
      <x:c r="J1036" s="5" t="str">
        <x:v>SOURCE QUOTE; unvalidated / superseded assessments</x:v>
      </x:c>
      <x:c r="L1036" s="31" t="str">
        <x:v>D04, Markdown line 478; http://nas-1.tail55d152.ts.net:4100/static/2S_PHARMACEUTICALS_AND_CHEMICALS_SECTOR_DOSSIER.html</x:v>
      </x:c>
    </x:row>
    <x:row r="1037" ht="42" customHeight="1">
      <x:c r="A1037" s="5" t="str">
        <x:v>D04</x:v>
      </x:c>
      <x:c r="B1037" s="5" t="str">
        <x:v>D04-T07</x:v>
      </x:c>
      <x:c r="C1037" s="5" t="str">
        <x:v>8.1 ACH Diagnostic Disconfirmation Matrix</x:v>
      </x:c>
      <x:c r="D1037" s="5" t="n">
        <x:v>478</x:v>
      </x:c>
      <x:c r="E1037" s="5" t="n">
        <x:v>3</x:v>
      </x:c>
      <x:c r="F1037" s="5" t="str">
        <x:v>$H_1$ (Enterprise Software)</x:v>
      </x:c>
      <x:c r="G1037" s="5" t="n">
        <x:v>1</x:v>
      </x:c>
      <x:c r="H1037" s="5" t="n">
        <x:v>1</x:v>
      </x:c>
      <x:c r="I1037" s="5" t="str">
        <x:v>Inconsistent (-1.2); Enterprise software licenses exceed €150k annually.</x:v>
      </x:c>
      <x:c r="J1037" s="5" t="str">
        <x:v>SOURCE QUOTE; unvalidated / superseded assessments</x:v>
      </x:c>
      <x:c r="L1037" s="31" t="str">
        <x:v>D04, Markdown line 478; http://nas-1.tail55d152.ts.net:4100/static/2S_PHARMACEUTICALS_AND_CHEMICALS_SECTOR_DOSSIER.html</x:v>
      </x:c>
    </x:row>
    <x:row r="1038" ht="42" customHeight="1">
      <x:c r="A1038" s="5" t="str">
        <x:v>D04</x:v>
      </x:c>
      <x:c r="B1038" s="5" t="str">
        <x:v>D04-T07</x:v>
      </x:c>
      <x:c r="C1038" s="5" t="str">
        <x:v>8.1 ACH Diagnostic Disconfirmation Matrix</x:v>
      </x:c>
      <x:c r="D1038" s="5" t="n">
        <x:v>478</x:v>
      </x:c>
      <x:c r="E1038" s="5" t="n">
        <x:v>4</x:v>
      </x:c>
      <x:c r="F1038" s="5" t="str">
        <x:v>$H_2$ (Hourly Advisory)</x:v>
      </x:c>
      <x:c r="G1038" s="5" t="n">
        <x:v>1</x:v>
      </x:c>
      <x:c r="H1038" s="5" t="n">
        <x:v>1</x:v>
      </x:c>
      <x:c r="I1038" s="5" t="str">
        <x:v>Inconsistent (-1.2); Hourly consulting retainers quickly spiral &gt;€100k.</x:v>
      </x:c>
      <x:c r="J1038" s="5" t="str">
        <x:v>SOURCE QUOTE; unvalidated / superseded assessments</x:v>
      </x:c>
      <x:c r="L1038" s="31" t="str">
        <x:v>D04, Markdown line 478; http://nas-1.tail55d152.ts.net:4100/static/2S_PHARMACEUTICALS_AND_CHEMICALS_SECTOR_DOSSIER.html</x:v>
      </x:c>
    </x:row>
    <x:row r="1039" ht="42" customHeight="1">
      <x:c r="A1039" s="5" t="str">
        <x:v>D04</x:v>
      </x:c>
      <x:c r="B1039" s="5" t="str">
        <x:v>D04-T07</x:v>
      </x:c>
      <x:c r="C1039" s="5" t="str">
        <x:v>8.1 ACH Diagnostic Disconfirmation Matrix</x:v>
      </x:c>
      <x:c r="D1039" s="5" t="n">
        <x:v>478</x:v>
      </x:c>
      <x:c r="E1039" s="5" t="n">
        <x:v>5</x:v>
      </x:c>
      <x:c r="F1039" s="5" t="str">
        <x:v>$H_3$ (Asymmetric Hybrid Enabler)</x:v>
      </x:c>
      <x:c r="G1039" s="5" t="n">
        <x:v>1</x:v>
      </x:c>
      <x:c r="H1039" s="5" t="n">
        <x:v>1</x:v>
      </x:c>
      <x:c r="I1039" s="5" t="str">
        <x:v>Very Consistent (0.0); Wedge offers (€28k–€35k) close within 30 days on VP signature.</x:v>
      </x:c>
      <x:c r="J1039" s="5" t="str">
        <x:v>SOURCE QUOTE; unvalidated / superseded assessments</x:v>
      </x:c>
      <x:c r="L1039" s="31" t="str">
        <x:v>D04, Markdown line 478; http://nas-1.tail55d152.ts.net:4100/static/2S_PHARMACEUTICALS_AND_CHEMICALS_SECTOR_DOSSIER.html</x:v>
      </x:c>
    </x:row>
    <x:row r="1040" ht="42" customHeight="1">
      <x:c r="A1040" s="5" t="str">
        <x:v>D04</x:v>
      </x:c>
      <x:c r="B1040" s="5" t="str">
        <x:v>D04-T07</x:v>
      </x:c>
      <x:c r="C1040" s="5" t="str">
        <x:v>8.1 ACH Diagnostic Disconfirmation Matrix</x:v>
      </x:c>
      <x:c r="D1040" s="5" t="n">
        <x:v>479</x:v>
      </x:c>
      <x:c r="E1040" s="5" t="n">
        <x:v>1</x:v>
      </x:c>
      <x:c r="F1040" s="5" t="str">
        <x:v>Diagnostic Evidence &amp; Market Realities</x:v>
      </x:c>
      <x:c r="G1040" s="5" t="n">
        <x:v>1</x:v>
      </x:c>
      <x:c r="H1040" s="5" t="n">
        <x:v>1</x:v>
      </x:c>
      <x:c r="I1040" s="5" t="str">
        <x:v>$E_3$: Demand for Verified Domain IP &amp; Case Studies (Pharma executives demand proven sector methodologies, e.g., Unimark, Merck).</x:v>
      </x:c>
      <x:c r="J1040" s="5" t="str">
        <x:v>SOURCE QUOTE; unvalidated / superseded assessments</x:v>
      </x:c>
      <x:c r="L1040" s="31" t="str">
        <x:v>D04, Markdown line 479; http://nas-1.tail55d152.ts.net:4100/static/2S_PHARMACEUTICALS_AND_CHEMICALS_SECTOR_DOSSIER.html</x:v>
      </x:c>
    </x:row>
    <x:row r="1041" ht="42" customHeight="1">
      <x:c r="A1041" s="5" t="str">
        <x:v>D04</x:v>
      </x:c>
      <x:c r="B1041" s="5" t="str">
        <x:v>D04-T07</x:v>
      </x:c>
      <x:c r="C1041" s="5" t="str">
        <x:v>8.1 ACH Diagnostic Disconfirmation Matrix</x:v>
      </x:c>
      <x:c r="D1041" s="5" t="n">
        <x:v>479</x:v>
      </x:c>
      <x:c r="E1041" s="5" t="n">
        <x:v>2</x:v>
      </x:c>
      <x:c r="F1041" s="5" t="str">
        <x:v>Weight</x:v>
      </x:c>
      <x:c r="G1041" s="5" t="n">
        <x:v>1</x:v>
      </x:c>
      <x:c r="H1041" s="5" t="n">
        <x:v>1</x:v>
      </x:c>
      <x:c r="I1041" s="5" t="str">
        <x:v>1.8</x:v>
      </x:c>
      <x:c r="J1041" s="5" t="str">
        <x:v>SOURCE QUOTE; unvalidated / superseded assessments</x:v>
      </x:c>
      <x:c r="L1041" s="31" t="str">
        <x:v>D04, Markdown line 479; http://nas-1.tail55d152.ts.net:4100/static/2S_PHARMACEUTICALS_AND_CHEMICALS_SECTOR_DOSSIER.html</x:v>
      </x:c>
    </x:row>
    <x:row r="1042" ht="42" customHeight="1">
      <x:c r="A1042" s="5" t="str">
        <x:v>D04</x:v>
      </x:c>
      <x:c r="B1042" s="5" t="str">
        <x:v>D04-T07</x:v>
      </x:c>
      <x:c r="C1042" s="5" t="str">
        <x:v>8.1 ACH Diagnostic Disconfirmation Matrix</x:v>
      </x:c>
      <x:c r="D1042" s="5" t="n">
        <x:v>479</x:v>
      </x:c>
      <x:c r="E1042" s="5" t="n">
        <x:v>3</x:v>
      </x:c>
      <x:c r="F1042" s="5" t="str">
        <x:v>$H_1$ (Enterprise Software)</x:v>
      </x:c>
      <x:c r="G1042" s="5" t="n">
        <x:v>1</x:v>
      </x:c>
      <x:c r="H1042" s="5" t="n">
        <x:v>1</x:v>
      </x:c>
      <x:c r="I1042" s="5" t="str">
        <x:v>Inconsistent (-1.8); Generic software tools cannot demonstrate pharma operational IP.</x:v>
      </x:c>
      <x:c r="J1042" s="5" t="str">
        <x:v>SOURCE QUOTE; unvalidated / superseded assessments</x:v>
      </x:c>
      <x:c r="L1042" s="31" t="str">
        <x:v>D04, Markdown line 479; http://nas-1.tail55d152.ts.net:4100/static/2S_PHARMACEUTICALS_AND_CHEMICALS_SECTOR_DOSSIER.html</x:v>
      </x:c>
    </x:row>
    <x:row r="1043" ht="42" customHeight="1">
      <x:c r="A1043" s="5" t="str">
        <x:v>D04</x:v>
      </x:c>
      <x:c r="B1043" s="5" t="str">
        <x:v>D04-T07</x:v>
      </x:c>
      <x:c r="C1043" s="5" t="str">
        <x:v>8.1 ACH Diagnostic Disconfirmation Matrix</x:v>
      </x:c>
      <x:c r="D1043" s="5" t="n">
        <x:v>479</x:v>
      </x:c>
      <x:c r="E1043" s="5" t="n">
        <x:v>4</x:v>
      </x:c>
      <x:c r="F1043" s="5" t="str">
        <x:v>$H_2$ (Hourly Advisory)</x:v>
      </x:c>
      <x:c r="G1043" s="5" t="n">
        <x:v>1</x:v>
      </x:c>
      <x:c r="H1043" s="5" t="n">
        <x:v>1</x:v>
      </x:c>
      <x:c r="I1043" s="5" t="str">
        <x:v>Neutral (0.0); Consultants have general experience but lack productized tools.</x:v>
      </x:c>
      <x:c r="J1043" s="5" t="str">
        <x:v>SOURCE QUOTE; unvalidated / superseded assessments</x:v>
      </x:c>
      <x:c r="L1043" s="31" t="str">
        <x:v>D04, Markdown line 479; http://nas-1.tail55d152.ts.net:4100/static/2S_PHARMACEUTICALS_AND_CHEMICALS_SECTOR_DOSSIER.html</x:v>
      </x:c>
    </x:row>
    <x:row r="1044" ht="42" customHeight="1">
      <x:c r="A1044" s="5" t="str">
        <x:v>D04</x:v>
      </x:c>
      <x:c r="B1044" s="5" t="str">
        <x:v>D04-T07</x:v>
      </x:c>
      <x:c r="C1044" s="5" t="str">
        <x:v>8.1 ACH Diagnostic Disconfirmation Matrix</x:v>
      </x:c>
      <x:c r="D1044" s="5" t="n">
        <x:v>479</x:v>
      </x:c>
      <x:c r="E1044" s="5" t="n">
        <x:v>5</x:v>
      </x:c>
      <x:c r="F1044" s="5" t="str">
        <x:v>$H_3$ (Asymmetric Hybrid Enabler)</x:v>
      </x:c>
      <x:c r="G1044" s="5" t="n">
        <x:v>1</x:v>
      </x:c>
      <x:c r="H1044" s="5" t="n">
        <x:v>1</x:v>
      </x:c>
      <x:c r="I1044" s="5" t="str">
        <x:v>Very Consistent (0.0); Directly leverages 2S's published pharma monographs and proven tools.</x:v>
      </x:c>
      <x:c r="J1044" s="5" t="str">
        <x:v>SOURCE QUOTE; unvalidated / superseded assessments</x:v>
      </x:c>
      <x:c r="L1044" s="31" t="str">
        <x:v>D04, Markdown line 479; http://nas-1.tail55d152.ts.net:4100/static/2S_PHARMACEUTICALS_AND_CHEMICALS_SECTOR_DOSSIER.html</x:v>
      </x:c>
    </x:row>
    <x:row r="1045" ht="42" customHeight="1">
      <x:c r="A1045" s="5" t="str">
        <x:v>D04</x:v>
      </x:c>
      <x:c r="B1045" s="5" t="str">
        <x:v>D04-T07</x:v>
      </x:c>
      <x:c r="C1045" s="5" t="str">
        <x:v>8.1 ACH Diagnostic Disconfirmation Matrix</x:v>
      </x:c>
      <x:c r="D1045" s="5" t="n">
        <x:v>480</x:v>
      </x:c>
      <x:c r="E1045" s="5" t="n">
        <x:v>1</x:v>
      </x:c>
      <x:c r="F1045" s="5" t="str">
        <x:v>Diagnostic Evidence &amp; Market Realities</x:v>
      </x:c>
      <x:c r="G1045" s="5" t="n">
        <x:v>1</x:v>
      </x:c>
      <x:c r="H1045" s="5" t="n">
        <x:v>1</x:v>
      </x:c>
      <x:c r="I1045" s="5" t="str">
        <x:v>$E_4$: Stringent European Data Sovereignty (EU AI Act &amp; Cloud Act) (Nordic operators fear US cloud subpoena risks for clinical and CMC data).</x:v>
      </x:c>
      <x:c r="J1045" s="5" t="str">
        <x:v>SOURCE QUOTE; unvalidated / superseded assessments</x:v>
      </x:c>
      <x:c r="L1045" s="31" t="str">
        <x:v>D04, Markdown line 480; http://nas-1.tail55d152.ts.net:4100/static/2S_PHARMACEUTICALS_AND_CHEMICALS_SECTOR_DOSSIER.html</x:v>
      </x:c>
    </x:row>
    <x:row r="1046" ht="42" customHeight="1">
      <x:c r="A1046" s="5" t="str">
        <x:v>D04</x:v>
      </x:c>
      <x:c r="B1046" s="5" t="str">
        <x:v>D04-T07</x:v>
      </x:c>
      <x:c r="C1046" s="5" t="str">
        <x:v>8.1 ACH Diagnostic Disconfirmation Matrix</x:v>
      </x:c>
      <x:c r="D1046" s="5" t="n">
        <x:v>480</x:v>
      </x:c>
      <x:c r="E1046" s="5" t="n">
        <x:v>2</x:v>
      </x:c>
      <x:c r="F1046" s="5" t="str">
        <x:v>Weight</x:v>
      </x:c>
      <x:c r="G1046" s="5" t="n">
        <x:v>1</x:v>
      </x:c>
      <x:c r="H1046" s="5" t="n">
        <x:v>1</x:v>
      </x:c>
      <x:c r="I1046" s="5" t="str">
        <x:v>1.4</x:v>
      </x:c>
      <x:c r="J1046" s="5" t="str">
        <x:v>SOURCE QUOTE; unvalidated / superseded assessments</x:v>
      </x:c>
      <x:c r="L1046" s="31" t="str">
        <x:v>D04, Markdown line 480; http://nas-1.tail55d152.ts.net:4100/static/2S_PHARMACEUTICALS_AND_CHEMICALS_SECTOR_DOSSIER.html</x:v>
      </x:c>
    </x:row>
    <x:row r="1047" ht="42" customHeight="1">
      <x:c r="A1047" s="5" t="str">
        <x:v>D04</x:v>
      </x:c>
      <x:c r="B1047" s="5" t="str">
        <x:v>D04-T07</x:v>
      </x:c>
      <x:c r="C1047" s="5" t="str">
        <x:v>8.1 ACH Diagnostic Disconfirmation Matrix</x:v>
      </x:c>
      <x:c r="D1047" s="5" t="n">
        <x:v>480</x:v>
      </x:c>
      <x:c r="E1047" s="5" t="n">
        <x:v>3</x:v>
      </x:c>
      <x:c r="F1047" s="5" t="str">
        <x:v>$H_1$ (Enterprise Software)</x:v>
      </x:c>
      <x:c r="G1047" s="5" t="n">
        <x:v>1</x:v>
      </x:c>
      <x:c r="H1047" s="5" t="n">
        <x:v>1</x:v>
      </x:c>
      <x:c r="I1047" s="5" t="str">
        <x:v>Inconsistent (-1.4); Most SaaS tools run on AWS/Azure US infrastructure.</x:v>
      </x:c>
      <x:c r="J1047" s="5" t="str">
        <x:v>SOURCE QUOTE; unvalidated / superseded assessments</x:v>
      </x:c>
      <x:c r="L1047" s="31" t="str">
        <x:v>D04, Markdown line 480; http://nas-1.tail55d152.ts.net:4100/static/2S_PHARMACEUTICALS_AND_CHEMICALS_SECTOR_DOSSIER.html</x:v>
      </x:c>
    </x:row>
    <x:row r="1048" ht="42" customHeight="1">
      <x:c r="A1048" s="5" t="str">
        <x:v>D04</x:v>
      </x:c>
      <x:c r="B1048" s="5" t="str">
        <x:v>D04-T07</x:v>
      </x:c>
      <x:c r="C1048" s="5" t="str">
        <x:v>8.1 ACH Diagnostic Disconfirmation Matrix</x:v>
      </x:c>
      <x:c r="D1048" s="5" t="n">
        <x:v>480</x:v>
      </x:c>
      <x:c r="E1048" s="5" t="n">
        <x:v>4</x:v>
      </x:c>
      <x:c r="F1048" s="5" t="str">
        <x:v>$H_2$ (Hourly Advisory)</x:v>
      </x:c>
      <x:c r="G1048" s="5" t="n">
        <x:v>1</x:v>
      </x:c>
      <x:c r="H1048" s="5" t="n">
        <x:v>1</x:v>
      </x:c>
      <x:c r="I1048" s="5" t="str">
        <x:v>Neutral (0.0); Advisory firms do not store client technical data.</x:v>
      </x:c>
      <x:c r="J1048" s="5" t="str">
        <x:v>SOURCE QUOTE; unvalidated / superseded assessments</x:v>
      </x:c>
      <x:c r="L1048" s="31" t="str">
        <x:v>D04, Markdown line 480; http://nas-1.tail55d152.ts.net:4100/static/2S_PHARMACEUTICALS_AND_CHEMICALS_SECTOR_DOSSIER.html</x:v>
      </x:c>
    </x:row>
    <x:row r="1049" ht="42" customHeight="1">
      <x:c r="A1049" s="5" t="str">
        <x:v>D04</x:v>
      </x:c>
      <x:c r="B1049" s="5" t="str">
        <x:v>D04-T07</x:v>
      </x:c>
      <x:c r="C1049" s="5" t="str">
        <x:v>8.1 ACH Diagnostic Disconfirmation Matrix</x:v>
      </x:c>
      <x:c r="D1049" s="5" t="n">
        <x:v>480</x:v>
      </x:c>
      <x:c r="E1049" s="5" t="n">
        <x:v>5</x:v>
      </x:c>
      <x:c r="F1049" s="5" t="str">
        <x:v>$H_3$ (Asymmetric Hybrid Enabler)</x:v>
      </x:c>
      <x:c r="G1049" s="5" t="n">
        <x:v>1</x:v>
      </x:c>
      <x:c r="H1049" s="5" t="n">
        <x:v>1</x:v>
      </x:c>
      <x:c r="I1049" s="5" t="str">
        <x:v>Very Consistent (0.0); Numantra's Finnish ISO 27001 sovereign cloud guarantees EEA data sovereignty.</x:v>
      </x:c>
      <x:c r="J1049" s="5" t="str">
        <x:v>SOURCE QUOTE; unvalidated / superseded assessments</x:v>
      </x:c>
      <x:c r="L1049" s="31" t="str">
        <x:v>D04, Markdown line 480; http://nas-1.tail55d152.ts.net:4100/static/2S_PHARMACEUTICALS_AND_CHEMICALS_SECTOR_DOSSIER.html</x:v>
      </x:c>
    </x:row>
    <x:row r="1050" ht="42" customHeight="1">
      <x:c r="A1050" s="5" t="str">
        <x:v>D04</x:v>
      </x:c>
      <x:c r="B1050" s="5" t="str">
        <x:v>D04-T07</x:v>
      </x:c>
      <x:c r="C1050" s="5" t="str">
        <x:v>8.1 ACH Diagnostic Disconfirmation Matrix</x:v>
      </x:c>
      <x:c r="D1050" s="5" t="n">
        <x:v>481</x:v>
      </x:c>
      <x:c r="E1050" s="5" t="n">
        <x:v>1</x:v>
      </x:c>
      <x:c r="F1050" s="5" t="str">
        <x:v>Diagnostic Evidence &amp; Market Realities</x:v>
      </x:c>
      <x:c r="G1050" s="5" t="n">
        <x:v>1</x:v>
      </x:c>
      <x:c r="H1050" s="5" t="n">
        <x:v>1</x:v>
      </x:c>
      <x:c r="I1050" s="5" t="str">
        <x:v>$E_5$: Domestic Incumbent Dominance (Semcon, Knightec, and Plantvision hold 10+ year master service agreements in major plants).</x:v>
      </x:c>
      <x:c r="J1050" s="5" t="str">
        <x:v>SOURCE QUOTE; unvalidated / superseded assessments</x:v>
      </x:c>
      <x:c r="L1050" s="31" t="str">
        <x:v>D04, Markdown line 481; http://nas-1.tail55d152.ts.net:4100/static/2S_PHARMACEUTICALS_AND_CHEMICALS_SECTOR_DOSSIER.html</x:v>
      </x:c>
    </x:row>
    <x:row r="1051" ht="42" customHeight="1">
      <x:c r="A1051" s="5" t="str">
        <x:v>D04</x:v>
      </x:c>
      <x:c r="B1051" s="5" t="str">
        <x:v>D04-T07</x:v>
      </x:c>
      <x:c r="C1051" s="5" t="str">
        <x:v>8.1 ACH Diagnostic Disconfirmation Matrix</x:v>
      </x:c>
      <x:c r="D1051" s="5" t="n">
        <x:v>481</x:v>
      </x:c>
      <x:c r="E1051" s="5" t="n">
        <x:v>2</x:v>
      </x:c>
      <x:c r="F1051" s="5" t="str">
        <x:v>Weight</x:v>
      </x:c>
      <x:c r="G1051" s="5" t="n">
        <x:v>1</x:v>
      </x:c>
      <x:c r="H1051" s="5" t="n">
        <x:v>1</x:v>
      </x:c>
      <x:c r="I1051" s="5" t="str">
        <x:v>1.6</x:v>
      </x:c>
      <x:c r="J1051" s="5" t="str">
        <x:v>SOURCE QUOTE; unvalidated / superseded assessments</x:v>
      </x:c>
      <x:c r="L1051" s="31" t="str">
        <x:v>D04, Markdown line 481; http://nas-1.tail55d152.ts.net:4100/static/2S_PHARMACEUTICALS_AND_CHEMICALS_SECTOR_DOSSIER.html</x:v>
      </x:c>
    </x:row>
    <x:row r="1052" ht="42" customHeight="1">
      <x:c r="A1052" s="5" t="str">
        <x:v>D04</x:v>
      </x:c>
      <x:c r="B1052" s="5" t="str">
        <x:v>D04-T07</x:v>
      </x:c>
      <x:c r="C1052" s="5" t="str">
        <x:v>8.1 ACH Diagnostic Disconfirmation Matrix</x:v>
      </x:c>
      <x:c r="D1052" s="5" t="n">
        <x:v>481</x:v>
      </x:c>
      <x:c r="E1052" s="5" t="n">
        <x:v>3</x:v>
      </x:c>
      <x:c r="F1052" s="5" t="str">
        <x:v>$H_1$ (Enterprise Software)</x:v>
      </x:c>
      <x:c r="G1052" s="5" t="n">
        <x:v>1</x:v>
      </x:c>
      <x:c r="H1052" s="5" t="n">
        <x:v>1</x:v>
      </x:c>
      <x:c r="I1052" s="5" t="str">
        <x:v>Neutral (0.0); Software operates in a distinct category from staffing.</x:v>
      </x:c>
      <x:c r="J1052" s="5" t="str">
        <x:v>SOURCE QUOTE; unvalidated / superseded assessments</x:v>
      </x:c>
      <x:c r="L1052" s="31" t="str">
        <x:v>D04, Markdown line 481; http://nas-1.tail55d152.ts.net:4100/static/2S_PHARMACEUTICALS_AND_CHEMICALS_SECTOR_DOSSIER.html</x:v>
      </x:c>
    </x:row>
    <x:row r="1053" ht="42" customHeight="1">
      <x:c r="A1053" s="5" t="str">
        <x:v>D04</x:v>
      </x:c>
      <x:c r="B1053" s="5" t="str">
        <x:v>D04-T07</x:v>
      </x:c>
      <x:c r="C1053" s="5" t="str">
        <x:v>8.1 ACH Diagnostic Disconfirmation Matrix</x:v>
      </x:c>
      <x:c r="D1053" s="5" t="n">
        <x:v>481</x:v>
      </x:c>
      <x:c r="E1053" s="5" t="n">
        <x:v>4</x:v>
      </x:c>
      <x:c r="F1053" s="5" t="str">
        <x:v>$H_2$ (Hourly Advisory)</x:v>
      </x:c>
      <x:c r="G1053" s="5" t="n">
        <x:v>1</x:v>
      </x:c>
      <x:c r="H1053" s="5" t="n">
        <x:v>1</x:v>
      </x:c>
      <x:c r="I1053" s="5" t="str">
        <x:v>Inconsistent (-1.6); Severe direct competition on hourly rates; entrenched loyalty.</x:v>
      </x:c>
      <x:c r="J1053" s="5" t="str">
        <x:v>SOURCE QUOTE; unvalidated / superseded assessments</x:v>
      </x:c>
      <x:c r="L1053" s="31" t="str">
        <x:v>D04, Markdown line 481; http://nas-1.tail55d152.ts.net:4100/static/2S_PHARMACEUTICALS_AND_CHEMICALS_SECTOR_DOSSIER.html</x:v>
      </x:c>
    </x:row>
    <x:row r="1054" ht="42" customHeight="1">
      <x:c r="A1054" s="5" t="str">
        <x:v>D04</x:v>
      </x:c>
      <x:c r="B1054" s="5" t="str">
        <x:v>D04-T07</x:v>
      </x:c>
      <x:c r="C1054" s="5" t="str">
        <x:v>8.1 ACH Diagnostic Disconfirmation Matrix</x:v>
      </x:c>
      <x:c r="D1054" s="5" t="n">
        <x:v>481</x:v>
      </x:c>
      <x:c r="E1054" s="5" t="n">
        <x:v>5</x:v>
      </x:c>
      <x:c r="F1054" s="5" t="str">
        <x:v>$H_3$ (Asymmetric Hybrid Enabler)</x:v>
      </x:c>
      <x:c r="G1054" s="5" t="n">
        <x:v>1</x:v>
      </x:c>
      <x:c r="H1054" s="5" t="n">
        <x:v>1</x:v>
      </x:c>
      <x:c r="I1054" s="5" t="str">
        <x:v>Very Consistent (0.0); Co-opetition alliance provides high-tech AI/S&amp;OP pod to partners.</x:v>
      </x:c>
      <x:c r="J1054" s="5" t="str">
        <x:v>SOURCE QUOTE; unvalidated / superseded assessments</x:v>
      </x:c>
      <x:c r="L1054" s="31" t="str">
        <x:v>D04, Markdown line 481; http://nas-1.tail55d152.ts.net:4100/static/2S_PHARMACEUTICALS_AND_CHEMICALS_SECTOR_DOSSIER.html</x:v>
      </x:c>
    </x:row>
    <x:row r="1055" ht="42" customHeight="1">
      <x:c r="A1055" s="5" t="str">
        <x:v>D04</x:v>
      </x:c>
      <x:c r="B1055" s="5" t="str">
        <x:v>D04-T07</x:v>
      </x:c>
      <x:c r="C1055" s="5" t="str">
        <x:v>8.1 ACH Diagnostic Disconfirmation Matrix</x:v>
      </x:c>
      <x:c r="D1055" s="5" t="n">
        <x:v>482</x:v>
      </x:c>
      <x:c r="E1055" s="5" t="n">
        <x:v>1</x:v>
      </x:c>
      <x:c r="F1055" s="5" t="str">
        <x:v>Diagnostic Evidence &amp; Market Realities</x:v>
      </x:c>
      <x:c r="G1055" s="5" t="n">
        <x:v>1</x:v>
      </x:c>
      <x:c r="H1055" s="5" t="n">
        <x:v>1</x:v>
      </x:c>
      <x:c r="I1055" s="5" t="str">
        <x:v>Weighted Disconfirmation Penalty Score</x:v>
      </x:c>
      <x:c r="J1055" s="5" t="str">
        <x:v>SOURCE QUOTE; unvalidated / superseded assessments</x:v>
      </x:c>
      <x:c r="L1055" s="31" t="str">
        <x:v>D04, Markdown line 482; http://nas-1.tail55d152.ts.net:4100/static/2S_PHARMACEUTICALS_AND_CHEMICALS_SECTOR_DOSSIER.html</x:v>
      </x:c>
    </x:row>
    <x:row r="1056" ht="42" customHeight="1">
      <x:c r="A1056" s="5" t="str">
        <x:v>D04</x:v>
      </x:c>
      <x:c r="B1056" s="5" t="str">
        <x:v>D04-T07</x:v>
      </x:c>
      <x:c r="C1056" s="5" t="str">
        <x:v>8.1 ACH Diagnostic Disconfirmation Matrix</x:v>
      </x:c>
      <x:c r="D1056" s="5" t="n">
        <x:v>482</x:v>
      </x:c>
      <x:c r="E1056" s="5" t="n">
        <x:v>2</x:v>
      </x:c>
      <x:c r="F1056" s="5" t="str">
        <x:v>Weight</x:v>
      </x:c>
      <x:c r="G1056" s="5" t="n">
        <x:v>1</x:v>
      </x:c>
      <x:c r="H1056" s="5" t="n">
        <x:v>1</x:v>
      </x:c>
      <x:c r="I1056" s="5" t="str">
        <x:v>—</x:v>
      </x:c>
      <x:c r="J1056" s="5" t="str">
        <x:v>SOURCE QUOTE; unvalidated / superseded assessments</x:v>
      </x:c>
      <x:c r="L1056" s="31" t="str">
        <x:v>D04, Markdown line 482; http://nas-1.tail55d152.ts.net:4100/static/2S_PHARMACEUTICALS_AND_CHEMICALS_SECTOR_DOSSIER.html</x:v>
      </x:c>
    </x:row>
    <x:row r="1057" ht="42" customHeight="1">
      <x:c r="A1057" s="5" t="str">
        <x:v>D04</x:v>
      </x:c>
      <x:c r="B1057" s="5" t="str">
        <x:v>D04-T07</x:v>
      </x:c>
      <x:c r="C1057" s="5" t="str">
        <x:v>8.1 ACH Diagnostic Disconfirmation Matrix</x:v>
      </x:c>
      <x:c r="D1057" s="5" t="n">
        <x:v>482</x:v>
      </x:c>
      <x:c r="E1057" s="5" t="n">
        <x:v>3</x:v>
      </x:c>
      <x:c r="F1057" s="5" t="str">
        <x:v>$H_1$ (Enterprise Software)</x:v>
      </x:c>
      <x:c r="G1057" s="5" t="n">
        <x:v>1</x:v>
      </x:c>
      <x:c r="H1057" s="5" t="n">
        <x:v>1</x:v>
      </x:c>
      <x:c r="I1057" s="5" t="str">
        <x:v>-5.9 (REFUTED)</x:v>
      </x:c>
      <x:c r="J1057" s="5" t="str">
        <x:v>SOURCE QUOTE; unvalidated / superseded assessments</x:v>
      </x:c>
      <x:c r="L1057" s="31" t="str">
        <x:v>D04, Markdown line 482; http://nas-1.tail55d152.ts.net:4100/static/2S_PHARMACEUTICALS_AND_CHEMICALS_SECTOR_DOSSIER.html</x:v>
      </x:c>
    </x:row>
    <x:row r="1058" ht="42" customHeight="1">
      <x:c r="A1058" s="5" t="str">
        <x:v>D04</x:v>
      </x:c>
      <x:c r="B1058" s="5" t="str">
        <x:v>D04-T07</x:v>
      </x:c>
      <x:c r="C1058" s="5" t="str">
        <x:v>8.1 ACH Diagnostic Disconfirmation Matrix</x:v>
      </x:c>
      <x:c r="D1058" s="5" t="n">
        <x:v>482</x:v>
      </x:c>
      <x:c r="E1058" s="5" t="n">
        <x:v>4</x:v>
      </x:c>
      <x:c r="F1058" s="5" t="str">
        <x:v>$H_2$ (Hourly Advisory)</x:v>
      </x:c>
      <x:c r="G1058" s="5" t="n">
        <x:v>1</x:v>
      </x:c>
      <x:c r="H1058" s="5" t="n">
        <x:v>1</x:v>
      </x:c>
      <x:c r="I1058" s="5" t="str">
        <x:v>-2.8 (REFUTED)</x:v>
      </x:c>
      <x:c r="J1058" s="5" t="str">
        <x:v>SOURCE QUOTE; unvalidated / superseded assessments</x:v>
      </x:c>
      <x:c r="L1058" s="31" t="str">
        <x:v>D04, Markdown line 482; http://nas-1.tail55d152.ts.net:4100/static/2S_PHARMACEUTICALS_AND_CHEMICALS_SECTOR_DOSSIER.html</x:v>
      </x:c>
    </x:row>
    <x:row r="1059" ht="42" customHeight="1">
      <x:c r="A1059" s="5" t="str">
        <x:v>D04</x:v>
      </x:c>
      <x:c r="B1059" s="5" t="str">
        <x:v>D04-T07</x:v>
      </x:c>
      <x:c r="C1059" s="5" t="str">
        <x:v>8.1 ACH Diagnostic Disconfirmation Matrix</x:v>
      </x:c>
      <x:c r="D1059" s="5" t="n">
        <x:v>482</x:v>
      </x:c>
      <x:c r="E1059" s="5" t="n">
        <x:v>5</x:v>
      </x:c>
      <x:c r="F1059" s="5" t="str">
        <x:v>$H_3$ (Asymmetric Hybrid Enabler)</x:v>
      </x:c>
      <x:c r="G1059" s="5" t="n">
        <x:v>1</x:v>
      </x:c>
      <x:c r="H1059" s="5" t="n">
        <x:v>1</x:v>
      </x:c>
      <x:c r="I1059" s="5" t="str">
        <x:v>0.0 (DECISIVELY CONFIRMED)</x:v>
      </x:c>
      <x:c r="J1059" s="5" t="str">
        <x:v>SOURCE QUOTE; unvalidated / superseded assessments</x:v>
      </x:c>
      <x:c r="L1059" s="31" t="str">
        <x:v>D04, Markdown line 482; http://nas-1.tail55d152.ts.net:4100/static/2S_PHARMACEUTICALS_AND_CHEMICALS_SECTOR_DOSSIER.html</x:v>
      </x:c>
    </x:row>
    <x:row r="1060" ht="42" customHeight="1">
      <x:c r="A1060" s="5" t="str">
        <x:v>D04</x:v>
      </x:c>
      <x:c r="B1060" s="5" t="str">
        <x:v>D04-T08</x:v>
      </x:c>
      <x:c r="C1060" s="5" t="str">
        <x:v>9. NATO STANAG 2017/2018 Admiralty Protocol Evaluation Matrix</x:v>
      </x:c>
      <x:c r="D1060" s="5" t="n">
        <x:v>494</x:v>
      </x:c>
      <x:c r="E1060" s="5" t="n">
        <x:v>1</x:v>
      </x:c>
      <x:c r="F1060" s="5" t="str">
        <x:v>Intelligence Claim &amp; Verification Target</x:v>
      </x:c>
      <x:c r="G1060" s="5" t="n">
        <x:v>1</x:v>
      </x:c>
      <x:c r="H1060" s="5" t="n">
        <x:v>1</x:v>
      </x:c>
      <x:c r="I1060" s="5" t="str">
        <x:v>Nordic Pharma Market (€14.5B TAM, €4.5B R&amp;D)</x:v>
      </x:c>
      <x:c r="J1060" s="5" t="str">
        <x:v>SOURCE QUOTE; unvalidated / superseded assessments</x:v>
      </x:c>
      <x:c r="L1060" s="31" t="str">
        <x:v>D04, Markdown line 494; http://nas-1.tail55d152.ts.net:4100/static/2S_PHARMACEUTICALS_AND_CHEMICALS_SECTOR_DOSSIER.html</x:v>
      </x:c>
    </x:row>
    <x:row r="1061" ht="42" customHeight="1">
      <x:c r="A1061" s="5" t="str">
        <x:v>D04</x:v>
      </x:c>
      <x:c r="B1061" s="5" t="str">
        <x:v>D04-T08</x:v>
      </x:c>
      <x:c r="C1061" s="5" t="str">
        <x:v>9. NATO STANAG 2017/2018 Admiralty Protocol Evaluation Matrix</x:v>
      </x:c>
      <x:c r="D1061" s="5" t="n">
        <x:v>494</x:v>
      </x:c>
      <x:c r="E1061" s="5" t="n">
        <x:v>2</x:v>
      </x:c>
      <x:c r="F1061" s="5" t="str">
        <x:v>Primary Source &amp; Verification Modality</x:v>
      </x:c>
      <x:c r="G1061" s="5" t="n">
        <x:v>1</x:v>
      </x:c>
      <x:c r="H1061" s="5" t="n">
        <x:v>1</x:v>
      </x:c>
      <x:c r="I1061" s="5" t="str">
        <x:v>European Federation of Pharmaceutical Industries (EFPIA), Läkemedelsindustriföreningen (LIF), Medicon Valley Alliance</x:v>
      </x:c>
      <x:c r="J1061" s="5" t="str">
        <x:v>SOURCE QUOTE; unvalidated / superseded assessments</x:v>
      </x:c>
      <x:c r="L1061" s="31" t="str">
        <x:v>D04, Markdown line 494; http://nas-1.tail55d152.ts.net:4100/static/2S_PHARMACEUTICALS_AND_CHEMICALS_SECTOR_DOSSIER.html</x:v>
      </x:c>
    </x:row>
    <x:row r="1062" ht="42" customHeight="1">
      <x:c r="A1062" s="5" t="str">
        <x:v>D04</x:v>
      </x:c>
      <x:c r="B1062" s="5" t="str">
        <x:v>D04-T08</x:v>
      </x:c>
      <x:c r="C1062" s="5" t="str">
        <x:v>9. NATO STANAG 2017/2018 Admiralty Protocol Evaluation Matrix</x:v>
      </x:c>
      <x:c r="D1062" s="5" t="n">
        <x:v>494</x:v>
      </x:c>
      <x:c r="E1062" s="5" t="n">
        <x:v>3</x:v>
      </x:c>
      <x:c r="F1062" s="5" t="str">
        <x:v>Admiralty Grade</x:v>
      </x:c>
      <x:c r="G1062" s="5" t="n">
        <x:v>1</x:v>
      </x:c>
      <x:c r="H1062" s="5" t="n">
        <x:v>1</x:v>
      </x:c>
      <x:c r="I1062" s="5" t="str">
        <x:v>Grade: A1</x:v>
      </x:c>
      <x:c r="J1062" s="5" t="str">
        <x:v>SOURCE QUOTE; unvalidated / superseded assessments</x:v>
      </x:c>
      <x:c r="L1062" s="31" t="str">
        <x:v>D04, Markdown line 494; http://nas-1.tail55d152.ts.net:4100/static/2S_PHARMACEUTICALS_AND_CHEMICALS_SECTOR_DOSSIER.html</x:v>
      </x:c>
    </x:row>
    <x:row r="1063" ht="42" customHeight="1">
      <x:c r="A1063" s="5" t="str">
        <x:v>D04</x:v>
      </x:c>
      <x:c r="B1063" s="5" t="str">
        <x:v>D04-T08</x:v>
      </x:c>
      <x:c r="C1063" s="5" t="str">
        <x:v>9. NATO STANAG 2017/2018 Admiralty Protocol Evaluation Matrix</x:v>
      </x:c>
      <x:c r="D1063" s="5" t="n">
        <x:v>494</x:v>
      </x:c>
      <x:c r="E1063" s="5" t="n">
        <x:v>4</x:v>
      </x:c>
      <x:c r="F1063" s="5" t="str">
        <x:v>Admissibility Status</x:v>
      </x:c>
      <x:c r="G1063" s="5" t="n">
        <x:v>1</x:v>
      </x:c>
      <x:c r="H1063" s="5" t="n">
        <x:v>1</x:v>
      </x:c>
      <x:c r="I1063" s="5" t="str">
        <x:v>PASS</x:v>
      </x:c>
      <x:c r="J1063" s="5" t="str">
        <x:v>SOURCE QUOTE; unvalidated / superseded assessments</x:v>
      </x:c>
      <x:c r="L1063" s="31" t="str">
        <x:v>D04, Markdown line 494; http://nas-1.tail55d152.ts.net:4100/static/2S_PHARMACEUTICALS_AND_CHEMICALS_SECTOR_DOSSIER.html</x:v>
      </x:c>
    </x:row>
    <x:row r="1064" ht="42" customHeight="1">
      <x:c r="A1064" s="5" t="str">
        <x:v>D04</x:v>
      </x:c>
      <x:c r="B1064" s="5" t="str">
        <x:v>D04-T08</x:v>
      </x:c>
      <x:c r="C1064" s="5" t="str">
        <x:v>9. NATO STANAG 2017/2018 Admiralty Protocol Evaluation Matrix</x:v>
      </x:c>
      <x:c r="D1064" s="5" t="n">
        <x:v>494</x:v>
      </x:c>
      <x:c r="E1064" s="5" t="n">
        <x:v>5</x:v>
      </x:c>
      <x:c r="F1064" s="5" t="str">
        <x:v>Epistemic Basis &amp; Evidentiary Proof</x:v>
      </x:c>
      <x:c r="G1064" s="5" t="n">
        <x:v>1</x:v>
      </x:c>
      <x:c r="H1064" s="5" t="n">
        <x:v>1</x:v>
      </x:c>
      <x:c r="I1064" s="5" t="str">
        <x:v>Official regional industry association census data and audited national statistics.</x:v>
      </x:c>
      <x:c r="J1064" s="5" t="str">
        <x:v>SOURCE QUOTE; unvalidated / superseded assessments</x:v>
      </x:c>
      <x:c r="L1064" s="31" t="str">
        <x:v>D04, Markdown line 494; http://nas-1.tail55d152.ts.net:4100/static/2S_PHARMACEUTICALS_AND_CHEMICALS_SECTOR_DOSSIER.html</x:v>
      </x:c>
    </x:row>
    <x:row r="1065" ht="42" customHeight="1">
      <x:c r="A1065" s="5" t="str">
        <x:v>D04</x:v>
      </x:c>
      <x:c r="B1065" s="5" t="str">
        <x:v>D04-T08</x:v>
      </x:c>
      <x:c r="C1065" s="5" t="str">
        <x:v>9. NATO STANAG 2017/2018 Admiralty Protocol Evaluation Matrix</x:v>
      </x:c>
      <x:c r="D1065" s="5" t="n">
        <x:v>495</x:v>
      </x:c>
      <x:c r="E1065" s="5" t="n">
        <x:v>1</x:v>
      </x:c>
      <x:c r="F1065" s="5" t="str">
        <x:v>Intelligence Claim &amp; Verification Target</x:v>
      </x:c>
      <x:c r="G1065" s="5" t="n">
        <x:v>1</x:v>
      </x:c>
      <x:c r="H1065" s="5" t="n">
        <x:v>1</x:v>
      </x:c>
      <x:c r="I1065" s="5" t="str">
        <x:v>Cambrex Karlskoga Revenue &amp; Capabilities</x:v>
      </x:c>
      <x:c r="J1065" s="5" t="str">
        <x:v>SOURCE QUOTE; unvalidated / superseded assessments</x:v>
      </x:c>
      <x:c r="L1065" s="31" t="str">
        <x:v>D04, Markdown line 495; http://nas-1.tail55d152.ts.net:4100/static/2S_PHARMACEUTICALS_AND_CHEMICALS_SECTOR_DOSSIER.html</x:v>
      </x:c>
    </x:row>
    <x:row r="1066" ht="42" customHeight="1">
      <x:c r="A1066" s="5" t="str">
        <x:v>D04</x:v>
      </x:c>
      <x:c r="B1066" s="5" t="str">
        <x:v>D04-T08</x:v>
      </x:c>
      <x:c r="C1066" s="5" t="str">
        <x:v>9. NATO STANAG 2017/2018 Admiralty Protocol Evaluation Matrix</x:v>
      </x:c>
      <x:c r="D1066" s="5" t="n">
        <x:v>495</x:v>
      </x:c>
      <x:c r="E1066" s="5" t="n">
        <x:v>2</x:v>
      </x:c>
      <x:c r="F1066" s="5" t="str">
        <x:v>Primary Source &amp; Verification Modality</x:v>
      </x:c>
      <x:c r="G1066" s="5" t="n">
        <x:v>1</x:v>
      </x:c>
      <x:c r="H1066" s="5" t="n">
        <x:v>1</x:v>
      </x:c>
      <x:c r="I1066" s="5" t="str">
        <x:v>Bolagsverket annual filings, Permira corporate disclosures, Karlskoga site environmental filings</x:v>
      </x:c>
      <x:c r="J1066" s="5" t="str">
        <x:v>SOURCE QUOTE; unvalidated / superseded assessments</x:v>
      </x:c>
      <x:c r="L1066" s="31" t="str">
        <x:v>D04, Markdown line 495; http://nas-1.tail55d152.ts.net:4100/static/2S_PHARMACEUTICALS_AND_CHEMICALS_SECTOR_DOSSIER.html</x:v>
      </x:c>
    </x:row>
    <x:row r="1067" ht="42" customHeight="1">
      <x:c r="A1067" s="5" t="str">
        <x:v>D04</x:v>
      </x:c>
      <x:c r="B1067" s="5" t="str">
        <x:v>D04-T08</x:v>
      </x:c>
      <x:c r="C1067" s="5" t="str">
        <x:v>9. NATO STANAG 2017/2018 Admiralty Protocol Evaluation Matrix</x:v>
      </x:c>
      <x:c r="D1067" s="5" t="n">
        <x:v>495</x:v>
      </x:c>
      <x:c r="E1067" s="5" t="n">
        <x:v>3</x:v>
      </x:c>
      <x:c r="F1067" s="5" t="str">
        <x:v>Admiralty Grade</x:v>
      </x:c>
      <x:c r="G1067" s="5" t="n">
        <x:v>1</x:v>
      </x:c>
      <x:c r="H1067" s="5" t="n">
        <x:v>1</x:v>
      </x:c>
      <x:c r="I1067" s="5" t="str">
        <x:v>Grade: A1</x:v>
      </x:c>
      <x:c r="J1067" s="5" t="str">
        <x:v>SOURCE QUOTE; unvalidated / superseded assessments</x:v>
      </x:c>
      <x:c r="L1067" s="31" t="str">
        <x:v>D04, Markdown line 495; http://nas-1.tail55d152.ts.net:4100/static/2S_PHARMACEUTICALS_AND_CHEMICALS_SECTOR_DOSSIER.html</x:v>
      </x:c>
    </x:row>
    <x:row r="1068" ht="42" customHeight="1">
      <x:c r="A1068" s="5" t="str">
        <x:v>D04</x:v>
      </x:c>
      <x:c r="B1068" s="5" t="str">
        <x:v>D04-T08</x:v>
      </x:c>
      <x:c r="C1068" s="5" t="str">
        <x:v>9. NATO STANAG 2017/2018 Admiralty Protocol Evaluation Matrix</x:v>
      </x:c>
      <x:c r="D1068" s="5" t="n">
        <x:v>495</x:v>
      </x:c>
      <x:c r="E1068" s="5" t="n">
        <x:v>4</x:v>
      </x:c>
      <x:c r="F1068" s="5" t="str">
        <x:v>Admissibility Status</x:v>
      </x:c>
      <x:c r="G1068" s="5" t="n">
        <x:v>1</x:v>
      </x:c>
      <x:c r="H1068" s="5" t="n">
        <x:v>1</x:v>
      </x:c>
      <x:c r="I1068" s="5" t="str">
        <x:v>PASS</x:v>
      </x:c>
      <x:c r="J1068" s="5" t="str">
        <x:v>SOURCE QUOTE; unvalidated / superseded assessments</x:v>
      </x:c>
      <x:c r="L1068" s="31" t="str">
        <x:v>D04, Markdown line 495; http://nas-1.tail55d152.ts.net:4100/static/2S_PHARMACEUTICALS_AND_CHEMICALS_SECTOR_DOSSIER.html</x:v>
      </x:c>
    </x:row>
    <x:row r="1069" ht="42" customHeight="1">
      <x:c r="A1069" s="5" t="str">
        <x:v>D04</x:v>
      </x:c>
      <x:c r="B1069" s="5" t="str">
        <x:v>D04-T08</x:v>
      </x:c>
      <x:c r="C1069" s="5" t="str">
        <x:v>9. NATO STANAG 2017/2018 Admiralty Protocol Evaluation Matrix</x:v>
      </x:c>
      <x:c r="D1069" s="5" t="n">
        <x:v>495</x:v>
      </x:c>
      <x:c r="E1069" s="5" t="n">
        <x:v>5</x:v>
      </x:c>
      <x:c r="F1069" s="5" t="str">
        <x:v>Epistemic Basis &amp; Evidentiary Proof</x:v>
      </x:c>
      <x:c r="G1069" s="5" t="n">
        <x:v>1</x:v>
      </x:c>
      <x:c r="H1069" s="5" t="n">
        <x:v>1</x:v>
      </x:c>
      <x:c r="I1069" s="5" t="str">
        <x:v>Verified Swedish corporate registrar disclosures (~SEK 1,250M site revenue).</x:v>
      </x:c>
      <x:c r="J1069" s="5" t="str">
        <x:v>SOURCE QUOTE; unvalidated / superseded assessments</x:v>
      </x:c>
      <x:c r="L1069" s="31" t="str">
        <x:v>D04, Markdown line 495; http://nas-1.tail55d152.ts.net:4100/static/2S_PHARMACEUTICALS_AND_CHEMICALS_SECTOR_DOSSIER.html</x:v>
      </x:c>
    </x:row>
    <x:row r="1070" ht="42" customHeight="1">
      <x:c r="A1070" s="5" t="str">
        <x:v>D04</x:v>
      </x:c>
      <x:c r="B1070" s="5" t="str">
        <x:v>D04-T08</x:v>
      </x:c>
      <x:c r="C1070" s="5" t="str">
        <x:v>9. NATO STANAG 2017/2018 Admiralty Protocol Evaluation Matrix</x:v>
      </x:c>
      <x:c r="D1070" s="5" t="n">
        <x:v>496</x:v>
      </x:c>
      <x:c r="E1070" s="5" t="n">
        <x:v>1</x:v>
      </x:c>
      <x:c r="F1070" s="5" t="str">
        <x:v>Intelligence Claim &amp; Verification Target</x:v>
      </x:c>
      <x:c r="G1070" s="5" t="n">
        <x:v>1</x:v>
      </x:c>
      <x:c r="H1070" s="5" t="n">
        <x:v>1</x:v>
      </x:c>
      <x:c r="I1070" s="5" t="str">
        <x:v>PolyPeptide Group Malmö Manufacturing</x:v>
      </x:c>
      <x:c r="J1070" s="5" t="str">
        <x:v>SOURCE QUOTE; unvalidated / superseded assessments</x:v>
      </x:c>
      <x:c r="L1070" s="31" t="str">
        <x:v>D04, Markdown line 496; http://nas-1.tail55d152.ts.net:4100/static/2S_PHARMACEUTICALS_AND_CHEMICALS_SECTOR_DOSSIER.html</x:v>
      </x:c>
    </x:row>
    <x:row r="1071" ht="42" customHeight="1">
      <x:c r="A1071" s="5" t="str">
        <x:v>D04</x:v>
      </x:c>
      <x:c r="B1071" s="5" t="str">
        <x:v>D04-T08</x:v>
      </x:c>
      <x:c r="C1071" s="5" t="str">
        <x:v>9. NATO STANAG 2017/2018 Admiralty Protocol Evaluation Matrix</x:v>
      </x:c>
      <x:c r="D1071" s="5" t="n">
        <x:v>496</x:v>
      </x:c>
      <x:c r="E1071" s="5" t="n">
        <x:v>2</x:v>
      </x:c>
      <x:c r="F1071" s="5" t="str">
        <x:v>Primary Source &amp; Verification Modality</x:v>
      </x:c>
      <x:c r="G1071" s="5" t="n">
        <x:v>1</x:v>
      </x:c>
      <x:c r="H1071" s="5" t="n">
        <x:v>1</x:v>
      </x:c>
      <x:c r="I1071" s="5" t="str">
        <x:v>SIX Swiss Exchange audited annual report 2024, Malmö environmental permits</x:v>
      </x:c>
      <x:c r="J1071" s="5" t="str">
        <x:v>SOURCE QUOTE; unvalidated / superseded assessments</x:v>
      </x:c>
      <x:c r="L1071" s="31" t="str">
        <x:v>D04, Markdown line 496; http://nas-1.tail55d152.ts.net:4100/static/2S_PHARMACEUTICALS_AND_CHEMICALS_SECTOR_DOSSIER.html</x:v>
      </x:c>
    </x:row>
    <x:row r="1072" ht="42" customHeight="1">
      <x:c r="A1072" s="5" t="str">
        <x:v>D04</x:v>
      </x:c>
      <x:c r="B1072" s="5" t="str">
        <x:v>D04-T08</x:v>
      </x:c>
      <x:c r="C1072" s="5" t="str">
        <x:v>9. NATO STANAG 2017/2018 Admiralty Protocol Evaluation Matrix</x:v>
      </x:c>
      <x:c r="D1072" s="5" t="n">
        <x:v>496</x:v>
      </x:c>
      <x:c r="E1072" s="5" t="n">
        <x:v>3</x:v>
      </x:c>
      <x:c r="F1072" s="5" t="str">
        <x:v>Admiralty Grade</x:v>
      </x:c>
      <x:c r="G1072" s="5" t="n">
        <x:v>1</x:v>
      </x:c>
      <x:c r="H1072" s="5" t="n">
        <x:v>1</x:v>
      </x:c>
      <x:c r="I1072" s="5" t="str">
        <x:v>Grade: A1</x:v>
      </x:c>
      <x:c r="J1072" s="5" t="str">
        <x:v>SOURCE QUOTE; unvalidated / superseded assessments</x:v>
      </x:c>
      <x:c r="L1072" s="31" t="str">
        <x:v>D04, Markdown line 496; http://nas-1.tail55d152.ts.net:4100/static/2S_PHARMACEUTICALS_AND_CHEMICALS_SECTOR_DOSSIER.html</x:v>
      </x:c>
    </x:row>
    <x:row r="1073" ht="42" customHeight="1">
      <x:c r="A1073" s="5" t="str">
        <x:v>D04</x:v>
      </x:c>
      <x:c r="B1073" s="5" t="str">
        <x:v>D04-T08</x:v>
      </x:c>
      <x:c r="C1073" s="5" t="str">
        <x:v>9. NATO STANAG 2017/2018 Admiralty Protocol Evaluation Matrix</x:v>
      </x:c>
      <x:c r="D1073" s="5" t="n">
        <x:v>496</x:v>
      </x:c>
      <x:c r="E1073" s="5" t="n">
        <x:v>4</x:v>
      </x:c>
      <x:c r="F1073" s="5" t="str">
        <x:v>Admissibility Status</x:v>
      </x:c>
      <x:c r="G1073" s="5" t="n">
        <x:v>1</x:v>
      </x:c>
      <x:c r="H1073" s="5" t="n">
        <x:v>1</x:v>
      </x:c>
      <x:c r="I1073" s="5" t="str">
        <x:v>PASS</x:v>
      </x:c>
      <x:c r="J1073" s="5" t="str">
        <x:v>SOURCE QUOTE; unvalidated / superseded assessments</x:v>
      </x:c>
      <x:c r="L1073" s="31" t="str">
        <x:v>D04, Markdown line 496; http://nas-1.tail55d152.ts.net:4100/static/2S_PHARMACEUTICALS_AND_CHEMICALS_SECTOR_DOSSIER.html</x:v>
      </x:c>
    </x:row>
    <x:row r="1074" ht="42" customHeight="1">
      <x:c r="A1074" s="5" t="str">
        <x:v>D04</x:v>
      </x:c>
      <x:c r="B1074" s="5" t="str">
        <x:v>D04-T08</x:v>
      </x:c>
      <x:c r="C1074" s="5" t="str">
        <x:v>9. NATO STANAG 2017/2018 Admiralty Protocol Evaluation Matrix</x:v>
      </x:c>
      <x:c r="D1074" s="5" t="n">
        <x:v>496</x:v>
      </x:c>
      <x:c r="E1074" s="5" t="n">
        <x:v>5</x:v>
      </x:c>
      <x:c r="F1074" s="5" t="str">
        <x:v>Epistemic Basis &amp; Evidentiary Proof</x:v>
      </x:c>
      <x:c r="G1074" s="5" t="n">
        <x:v>1</x:v>
      </x:c>
      <x:c r="H1074" s="5" t="n">
        <x:v>1</x:v>
      </x:c>
      <x:c r="I1074" s="5" t="str">
        <x:v>Audited public corporate reporting (€336.8M global turnover, major Malmö SPPS facility).</x:v>
      </x:c>
      <x:c r="J1074" s="5" t="str">
        <x:v>SOURCE QUOTE; unvalidated / superseded assessments</x:v>
      </x:c>
      <x:c r="L1074" s="31" t="str">
        <x:v>D04, Markdown line 496; http://nas-1.tail55d152.ts.net:4100/static/2S_PHARMACEUTICALS_AND_CHEMICALS_SECTOR_DOSSIER.html</x:v>
      </x:c>
    </x:row>
    <x:row r="1075" ht="42" customHeight="1">
      <x:c r="A1075" s="5" t="str">
        <x:v>D04</x:v>
      </x:c>
      <x:c r="B1075" s="5" t="str">
        <x:v>D04-T08</x:v>
      </x:c>
      <x:c r="C1075" s="5" t="str">
        <x:v>9. NATO STANAG 2017/2018 Admiralty Protocol Evaluation Matrix</x:v>
      </x:c>
      <x:c r="D1075" s="5" t="n">
        <x:v>497</x:v>
      </x:c>
      <x:c r="E1075" s="5" t="n">
        <x:v>1</x:v>
      </x:c>
      <x:c r="F1075" s="5" t="str">
        <x:v>Intelligence Claim &amp; Verification Target</x:v>
      </x:c>
      <x:c r="G1075" s="5" t="n">
        <x:v>1</x:v>
      </x:c>
      <x:c r="H1075" s="5" t="n">
        <x:v>1</x:v>
      </x:c>
      <x:c r="I1075" s="5" t="str">
        <x:v>Recipharm CDMO Operations &amp; Revenue</x:v>
      </x:c>
      <x:c r="J1075" s="5" t="str">
        <x:v>SOURCE QUOTE; unvalidated / superseded assessments</x:v>
      </x:c>
      <x:c r="L1075" s="31" t="str">
        <x:v>D04, Markdown line 497; http://nas-1.tail55d152.ts.net:4100/static/2S_PHARMACEUTICALS_AND_CHEMICALS_SECTOR_DOSSIER.html</x:v>
      </x:c>
    </x:row>
    <x:row r="1076" ht="42" customHeight="1">
      <x:c r="A1076" s="5" t="str">
        <x:v>D04</x:v>
      </x:c>
      <x:c r="B1076" s="5" t="str">
        <x:v>D04-T08</x:v>
      </x:c>
      <x:c r="C1076" s="5" t="str">
        <x:v>9. NATO STANAG 2017/2018 Admiralty Protocol Evaluation Matrix</x:v>
      </x:c>
      <x:c r="D1076" s="5" t="n">
        <x:v>497</x:v>
      </x:c>
      <x:c r="E1076" s="5" t="n">
        <x:v>2</x:v>
      </x:c>
      <x:c r="F1076" s="5" t="str">
        <x:v>Primary Source &amp; Verification Modality</x:v>
      </x:c>
      <x:c r="G1076" s="5" t="n">
        <x:v>1</x:v>
      </x:c>
      <x:c r="H1076" s="5" t="n">
        <x:v>1</x:v>
      </x:c>
      <x:c r="I1076" s="5" t="str">
        <x:v>EQT private equity portfolio releases, Swedish Bolagsverket annual reports</x:v>
      </x:c>
      <x:c r="J1076" s="5" t="str">
        <x:v>SOURCE QUOTE; unvalidated / superseded assessments</x:v>
      </x:c>
      <x:c r="L1076" s="31" t="str">
        <x:v>D04, Markdown line 497; http://nas-1.tail55d152.ts.net:4100/static/2S_PHARMACEUTICALS_AND_CHEMICALS_SECTOR_DOSSIER.html</x:v>
      </x:c>
    </x:row>
    <x:row r="1077" ht="42" customHeight="1">
      <x:c r="A1077" s="5" t="str">
        <x:v>D04</x:v>
      </x:c>
      <x:c r="B1077" s="5" t="str">
        <x:v>D04-T08</x:v>
      </x:c>
      <x:c r="C1077" s="5" t="str">
        <x:v>9. NATO STANAG 2017/2018 Admiralty Protocol Evaluation Matrix</x:v>
      </x:c>
      <x:c r="D1077" s="5" t="n">
        <x:v>497</x:v>
      </x:c>
      <x:c r="E1077" s="5" t="n">
        <x:v>3</x:v>
      </x:c>
      <x:c r="F1077" s="5" t="str">
        <x:v>Admiralty Grade</x:v>
      </x:c>
      <x:c r="G1077" s="5" t="n">
        <x:v>1</x:v>
      </x:c>
      <x:c r="H1077" s="5" t="n">
        <x:v>1</x:v>
      </x:c>
      <x:c r="I1077" s="5" t="str">
        <x:v>Grade: A2</x:v>
      </x:c>
      <x:c r="J1077" s="5" t="str">
        <x:v>SOURCE QUOTE; unvalidated / superseded assessments</x:v>
      </x:c>
      <x:c r="L1077" s="31" t="str">
        <x:v>D04, Markdown line 497; http://nas-1.tail55d152.ts.net:4100/static/2S_PHARMACEUTICALS_AND_CHEMICALS_SECTOR_DOSSIER.html</x:v>
      </x:c>
    </x:row>
    <x:row r="1078" ht="42" customHeight="1">
      <x:c r="A1078" s="5" t="str">
        <x:v>D04</x:v>
      </x:c>
      <x:c r="B1078" s="5" t="str">
        <x:v>D04-T08</x:v>
      </x:c>
      <x:c r="C1078" s="5" t="str">
        <x:v>9. NATO STANAG 2017/2018 Admiralty Protocol Evaluation Matrix</x:v>
      </x:c>
      <x:c r="D1078" s="5" t="n">
        <x:v>497</x:v>
      </x:c>
      <x:c r="E1078" s="5" t="n">
        <x:v>4</x:v>
      </x:c>
      <x:c r="F1078" s="5" t="str">
        <x:v>Admissibility Status</x:v>
      </x:c>
      <x:c r="G1078" s="5" t="n">
        <x:v>1</x:v>
      </x:c>
      <x:c r="H1078" s="5" t="n">
        <x:v>1</x:v>
      </x:c>
      <x:c r="I1078" s="5" t="str">
        <x:v>PASS</x:v>
      </x:c>
      <x:c r="J1078" s="5" t="str">
        <x:v>SOURCE QUOTE; unvalidated / superseded assessments</x:v>
      </x:c>
      <x:c r="L1078" s="31" t="str">
        <x:v>D04, Markdown line 497; http://nas-1.tail55d152.ts.net:4100/static/2S_PHARMACEUTICALS_AND_CHEMICALS_SECTOR_DOSSIER.html</x:v>
      </x:c>
    </x:row>
    <x:row r="1079" ht="42" customHeight="1">
      <x:c r="A1079" s="5" t="str">
        <x:v>D04</x:v>
      </x:c>
      <x:c r="B1079" s="5" t="str">
        <x:v>D04-T08</x:v>
      </x:c>
      <x:c r="C1079" s="5" t="str">
        <x:v>9. NATO STANAG 2017/2018 Admiralty Protocol Evaluation Matrix</x:v>
      </x:c>
      <x:c r="D1079" s="5" t="n">
        <x:v>497</x:v>
      </x:c>
      <x:c r="E1079" s="5" t="n">
        <x:v>5</x:v>
      </x:c>
      <x:c r="F1079" s="5" t="str">
        <x:v>Epistemic Basis &amp; Evidentiary Proof</x:v>
      </x:c>
      <x:c r="G1079" s="5" t="n">
        <x:v>1</x:v>
      </x:c>
      <x:c r="H1079" s="5" t="n">
        <x:v>1</x:v>
      </x:c>
      <x:c r="I1079" s="5" t="str">
        <x:v>Audited subsidiary financials and corporate annual disclosures (~SEK 12.4B total turnover).</x:v>
      </x:c>
      <x:c r="J1079" s="5" t="str">
        <x:v>SOURCE QUOTE; unvalidated / superseded assessments</x:v>
      </x:c>
      <x:c r="L1079" s="31" t="str">
        <x:v>D04, Markdown line 497; http://nas-1.tail55d152.ts.net:4100/static/2S_PHARMACEUTICALS_AND_CHEMICALS_SECTOR_DOSSIER.html</x:v>
      </x:c>
    </x:row>
    <x:row r="1080" ht="42" customHeight="1">
      <x:c r="A1080" s="5" t="str">
        <x:v>D04</x:v>
      </x:c>
      <x:c r="B1080" s="5" t="str">
        <x:v>D04-T08</x:v>
      </x:c>
      <x:c r="C1080" s="5" t="str">
        <x:v>9. NATO STANAG 2017/2018 Admiralty Protocol Evaluation Matrix</x:v>
      </x:c>
      <x:c r="D1080" s="5" t="n">
        <x:v>498</x:v>
      </x:c>
      <x:c r="E1080" s="5" t="n">
        <x:v>1</x:v>
      </x:c>
      <x:c r="F1080" s="5" t="str">
        <x:v>Intelligence Claim &amp; Verification Target</x:v>
      </x:c>
      <x:c r="G1080" s="5" t="n">
        <x:v>1</x:v>
      </x:c>
      <x:c r="H1080" s="5" t="n">
        <x:v>1</x:v>
      </x:c>
      <x:c r="I1080" s="5" t="str">
        <x:v>Sobi Commercial S&amp;OP &amp; Rare Disease R&amp;D</x:v>
      </x:c>
      <x:c r="J1080" s="5" t="str">
        <x:v>SOURCE QUOTE; unvalidated / superseded assessments</x:v>
      </x:c>
      <x:c r="L1080" s="31" t="str">
        <x:v>D04, Markdown line 498; http://nas-1.tail55d152.ts.net:4100/static/2S_PHARMACEUTICALS_AND_CHEMICALS_SECTOR_DOSSIER.html</x:v>
      </x:c>
    </x:row>
    <x:row r="1081" ht="42" customHeight="1">
      <x:c r="A1081" s="5" t="str">
        <x:v>D04</x:v>
      </x:c>
      <x:c r="B1081" s="5" t="str">
        <x:v>D04-T08</x:v>
      </x:c>
      <x:c r="C1081" s="5" t="str">
        <x:v>9. NATO STANAG 2017/2018 Admiralty Protocol Evaluation Matrix</x:v>
      </x:c>
      <x:c r="D1081" s="5" t="n">
        <x:v>498</x:v>
      </x:c>
      <x:c r="E1081" s="5" t="n">
        <x:v>2</x:v>
      </x:c>
      <x:c r="F1081" s="5" t="str">
        <x:v>Primary Source &amp; Verification Modality</x:v>
      </x:c>
      <x:c r="G1081" s="5" t="n">
        <x:v>1</x:v>
      </x:c>
      <x:c r="H1081" s="5" t="n">
        <x:v>1</x:v>
      </x:c>
      <x:c r="I1081" s="5" t="str">
        <x:v>Nasdaq Stockholm audited annual report 2024 (SOBI ticker)</x:v>
      </x:c>
      <x:c r="J1081" s="5" t="str">
        <x:v>SOURCE QUOTE; unvalidated / superseded assessments</x:v>
      </x:c>
      <x:c r="L1081" s="31" t="str">
        <x:v>D04, Markdown line 498; http://nas-1.tail55d152.ts.net:4100/static/2S_PHARMACEUTICALS_AND_CHEMICALS_SECTOR_DOSSIER.html</x:v>
      </x:c>
    </x:row>
    <x:row r="1082" ht="42" customHeight="1">
      <x:c r="A1082" s="5" t="str">
        <x:v>D04</x:v>
      </x:c>
      <x:c r="B1082" s="5" t="str">
        <x:v>D04-T08</x:v>
      </x:c>
      <x:c r="C1082" s="5" t="str">
        <x:v>9. NATO STANAG 2017/2018 Admiralty Protocol Evaluation Matrix</x:v>
      </x:c>
      <x:c r="D1082" s="5" t="n">
        <x:v>498</x:v>
      </x:c>
      <x:c r="E1082" s="5" t="n">
        <x:v>3</x:v>
      </x:c>
      <x:c r="F1082" s="5" t="str">
        <x:v>Admiralty Grade</x:v>
      </x:c>
      <x:c r="G1082" s="5" t="n">
        <x:v>1</x:v>
      </x:c>
      <x:c r="H1082" s="5" t="n">
        <x:v>1</x:v>
      </x:c>
      <x:c r="I1082" s="5" t="str">
        <x:v>Grade: A1</x:v>
      </x:c>
      <x:c r="J1082" s="5" t="str">
        <x:v>SOURCE QUOTE; unvalidated / superseded assessments</x:v>
      </x:c>
      <x:c r="L1082" s="31" t="str">
        <x:v>D04, Markdown line 498; http://nas-1.tail55d152.ts.net:4100/static/2S_PHARMACEUTICALS_AND_CHEMICALS_SECTOR_DOSSIER.html</x:v>
      </x:c>
    </x:row>
    <x:row r="1083" ht="42" customHeight="1">
      <x:c r="A1083" s="5" t="str">
        <x:v>D04</x:v>
      </x:c>
      <x:c r="B1083" s="5" t="str">
        <x:v>D04-T08</x:v>
      </x:c>
      <x:c r="C1083" s="5" t="str">
        <x:v>9. NATO STANAG 2017/2018 Admiralty Protocol Evaluation Matrix</x:v>
      </x:c>
      <x:c r="D1083" s="5" t="n">
        <x:v>498</x:v>
      </x:c>
      <x:c r="E1083" s="5" t="n">
        <x:v>4</x:v>
      </x:c>
      <x:c r="F1083" s="5" t="str">
        <x:v>Admissibility Status</x:v>
      </x:c>
      <x:c r="G1083" s="5" t="n">
        <x:v>1</x:v>
      </x:c>
      <x:c r="H1083" s="5" t="n">
        <x:v>1</x:v>
      </x:c>
      <x:c r="I1083" s="5" t="str">
        <x:v>PASS</x:v>
      </x:c>
      <x:c r="J1083" s="5" t="str">
        <x:v>SOURCE QUOTE; unvalidated / superseded assessments</x:v>
      </x:c>
      <x:c r="L1083" s="31" t="str">
        <x:v>D04, Markdown line 498; http://nas-1.tail55d152.ts.net:4100/static/2S_PHARMACEUTICALS_AND_CHEMICALS_SECTOR_DOSSIER.html</x:v>
      </x:c>
    </x:row>
    <x:row r="1084" ht="42" customHeight="1">
      <x:c r="A1084" s="5" t="str">
        <x:v>D04</x:v>
      </x:c>
      <x:c r="B1084" s="5" t="str">
        <x:v>D04-T08</x:v>
      </x:c>
      <x:c r="C1084" s="5" t="str">
        <x:v>9. NATO STANAG 2017/2018 Admiralty Protocol Evaluation Matrix</x:v>
      </x:c>
      <x:c r="D1084" s="5" t="n">
        <x:v>498</x:v>
      </x:c>
      <x:c r="E1084" s="5" t="n">
        <x:v>5</x:v>
      </x:c>
      <x:c r="F1084" s="5" t="str">
        <x:v>Epistemic Basis &amp; Evidentiary Proof</x:v>
      </x:c>
      <x:c r="G1084" s="5" t="n">
        <x:v>1</x:v>
      </x:c>
      <x:c r="H1084" s="5" t="n">
        <x:v>1</x:v>
      </x:c>
      <x:c r="I1084" s="5" t="str">
        <x:v>Official public regulatory reporting (SEK 26.0B revenue, SEK 3.65B R&amp;D spend).</x:v>
      </x:c>
      <x:c r="J1084" s="5" t="str">
        <x:v>SOURCE QUOTE; unvalidated / superseded assessments</x:v>
      </x:c>
      <x:c r="L1084" s="31" t="str">
        <x:v>D04, Markdown line 498; http://nas-1.tail55d152.ts.net:4100/static/2S_PHARMACEUTICALS_AND_CHEMICALS_SECTOR_DOSSIER.html</x:v>
      </x:c>
    </x:row>
    <x:row r="1085" ht="42" customHeight="1">
      <x:c r="A1085" s="5" t="str">
        <x:v>D04</x:v>
      </x:c>
      <x:c r="B1085" s="5" t="str">
        <x:v>D04-T08</x:v>
      </x:c>
      <x:c r="C1085" s="5" t="str">
        <x:v>9. NATO STANAG 2017/2018 Admiralty Protocol Evaluation Matrix</x:v>
      </x:c>
      <x:c r="D1085" s="5" t="n">
        <x:v>499</x:v>
      </x:c>
      <x:c r="E1085" s="5" t="n">
        <x:v>1</x:v>
      </x:c>
      <x:c r="F1085" s="5" t="str">
        <x:v>Intelligence Claim &amp; Verification Target</x:v>
      </x:c>
      <x:c r="G1085" s="5" t="n">
        <x:v>1</x:v>
      </x:c>
      <x:c r="H1085" s="5" t="n">
        <x:v>1</x:v>
      </x:c>
      <x:c r="I1085" s="5" t="str">
        <x:v>2S Historical Pharma Provenance (Merck, etc.)</x:v>
      </x:c>
      <x:c r="J1085" s="5" t="str">
        <x:v>SOURCE QUOTE; unvalidated / superseded assessments</x:v>
      </x:c>
      <x:c r="L1085" s="31" t="str">
        <x:v>D04, Markdown line 499; http://nas-1.tail55d152.ts.net:4100/static/2S_PHARMACEUTICALS_AND_CHEMICALS_SECTOR_DOSSIER.html</x:v>
      </x:c>
    </x:row>
    <x:row r="1086" ht="42" customHeight="1">
      <x:c r="A1086" s="5" t="str">
        <x:v>D04</x:v>
      </x:c>
      <x:c r="B1086" s="5" t="str">
        <x:v>D04-T08</x:v>
      </x:c>
      <x:c r="C1086" s="5" t="str">
        <x:v>9. NATO STANAG 2017/2018 Admiralty Protocol Evaluation Matrix</x:v>
      </x:c>
      <x:c r="D1086" s="5" t="n">
        <x:v>499</x:v>
      </x:c>
      <x:c r="E1086" s="5" t="n">
        <x:v>2</x:v>
      </x:c>
      <x:c r="F1086" s="5" t="str">
        <x:v>Primary Source &amp; Verification Modality</x:v>
      </x:c>
      <x:c r="G1086" s="5" t="n">
        <x:v>1</x:v>
      </x:c>
      <x:c r="H1086" s="5" t="n">
        <x:v>1</x:v>
      </x:c>
      <x:c r="I1086" s="5" t="str">
        <x:v>2S Consulting published corporate monographs, client project sign-off archives</x:v>
      </x:c>
      <x:c r="J1086" s="5" t="str">
        <x:v>SOURCE QUOTE; unvalidated / superseded assessments</x:v>
      </x:c>
      <x:c r="L1086" s="31" t="str">
        <x:v>D04, Markdown line 499; http://nas-1.tail55d152.ts.net:4100/static/2S_PHARMACEUTICALS_AND_CHEMICALS_SECTOR_DOSSIER.html</x:v>
      </x:c>
    </x:row>
    <x:row r="1087" ht="42" customHeight="1">
      <x:c r="A1087" s="5" t="str">
        <x:v>D04</x:v>
      </x:c>
      <x:c r="B1087" s="5" t="str">
        <x:v>D04-T08</x:v>
      </x:c>
      <x:c r="C1087" s="5" t="str">
        <x:v>9. NATO STANAG 2017/2018 Admiralty Protocol Evaluation Matrix</x:v>
      </x:c>
      <x:c r="D1087" s="5" t="n">
        <x:v>499</x:v>
      </x:c>
      <x:c r="E1087" s="5" t="n">
        <x:v>3</x:v>
      </x:c>
      <x:c r="F1087" s="5" t="str">
        <x:v>Admiralty Grade</x:v>
      </x:c>
      <x:c r="G1087" s="5" t="n">
        <x:v>1</x:v>
      </x:c>
      <x:c r="H1087" s="5" t="n">
        <x:v>1</x:v>
      </x:c>
      <x:c r="I1087" s="5" t="str">
        <x:v>Grade: B2</x:v>
      </x:c>
      <x:c r="J1087" s="5" t="str">
        <x:v>SOURCE QUOTE; unvalidated / superseded assessments</x:v>
      </x:c>
      <x:c r="L1087" s="31" t="str">
        <x:v>D04, Markdown line 499; http://nas-1.tail55d152.ts.net:4100/static/2S_PHARMACEUTICALS_AND_CHEMICALS_SECTOR_DOSSIER.html</x:v>
      </x:c>
    </x:row>
    <x:row r="1088" ht="42" customHeight="1">
      <x:c r="A1088" s="5" t="str">
        <x:v>D04</x:v>
      </x:c>
      <x:c r="B1088" s="5" t="str">
        <x:v>D04-T08</x:v>
      </x:c>
      <x:c r="C1088" s="5" t="str">
        <x:v>9. NATO STANAG 2017/2018 Admiralty Protocol Evaluation Matrix</x:v>
      </x:c>
      <x:c r="D1088" s="5" t="n">
        <x:v>499</x:v>
      </x:c>
      <x:c r="E1088" s="5" t="n">
        <x:v>4</x:v>
      </x:c>
      <x:c r="F1088" s="5" t="str">
        <x:v>Admissibility Status</x:v>
      </x:c>
      <x:c r="G1088" s="5" t="n">
        <x:v>1</x:v>
      </x:c>
      <x:c r="H1088" s="5" t="n">
        <x:v>1</x:v>
      </x:c>
      <x:c r="I1088" s="5" t="str">
        <x:v>PASS</x:v>
      </x:c>
      <x:c r="J1088" s="5" t="str">
        <x:v>SOURCE QUOTE; unvalidated / superseded assessments</x:v>
      </x:c>
      <x:c r="L1088" s="31" t="str">
        <x:v>D04, Markdown line 499; http://nas-1.tail55d152.ts.net:4100/static/2S_PHARMACEUTICALS_AND_CHEMICALS_SECTOR_DOSSIER.html</x:v>
      </x:c>
    </x:row>
    <x:row r="1089" ht="42" customHeight="1">
      <x:c r="A1089" s="5" t="str">
        <x:v>D04</x:v>
      </x:c>
      <x:c r="B1089" s="5" t="str">
        <x:v>D04-T08</x:v>
      </x:c>
      <x:c r="C1089" s="5" t="str">
        <x:v>9. NATO STANAG 2017/2018 Admiralty Protocol Evaluation Matrix</x:v>
      </x:c>
      <x:c r="D1089" s="5" t="n">
        <x:v>499</x:v>
      </x:c>
      <x:c r="E1089" s="5" t="n">
        <x:v>5</x:v>
      </x:c>
      <x:c r="F1089" s="5" t="str">
        <x:v>Epistemic Basis &amp; Evidentiary Proof</x:v>
      </x:c>
      <x:c r="G1089" s="5" t="n">
        <x:v>1</x:v>
      </x:c>
      <x:c r="H1089" s="5" t="n">
        <x:v>1</x:v>
      </x:c>
      <x:c r="I1089" s="5" t="str">
        <x:v>Direct enterprise delivery receipts, published white papers, verified client references.</x:v>
      </x:c>
      <x:c r="J1089" s="5" t="str">
        <x:v>SOURCE QUOTE; unvalidated / superseded assessments</x:v>
      </x:c>
      <x:c r="L1089" s="31" t="str">
        <x:v>D04, Markdown line 499; http://nas-1.tail55d152.ts.net:4100/static/2S_PHARMACEUTICALS_AND_CHEMICALS_SECTOR_DOSSIER.html</x:v>
      </x:c>
    </x:row>
    <x:row r="1090" ht="42" customHeight="1">
      <x:c r="A1090" s="5" t="str">
        <x:v>D04</x:v>
      </x:c>
      <x:c r="B1090" s="5" t="str">
        <x:v>D04-T08</x:v>
      </x:c>
      <x:c r="C1090" s="5" t="str">
        <x:v>9. NATO STANAG 2017/2018 Admiralty Protocol Evaluation Matrix</x:v>
      </x:c>
      <x:c r="D1090" s="5" t="n">
        <x:v>500</x:v>
      </x:c>
      <x:c r="E1090" s="5" t="n">
        <x:v>1</x:v>
      </x:c>
      <x:c r="F1090" s="5" t="str">
        <x:v>Intelligence Claim &amp; Verification Target</x:v>
      </x:c>
      <x:c r="G1090" s="5" t="n">
        <x:v>1</x:v>
      </x:c>
      <x:c r="H1090" s="5" t="n">
        <x:v>1</x:v>
      </x:c>
      <x:c r="I1090" s="5" t="str">
        <x:v>EU Critical Medicines Act Directives</x:v>
      </x:c>
      <x:c r="J1090" s="5" t="str">
        <x:v>SOURCE QUOTE; unvalidated / superseded assessments</x:v>
      </x:c>
      <x:c r="L1090" s="31" t="str">
        <x:v>D04, Markdown line 500; http://nas-1.tail55d152.ts.net:4100/static/2S_PHARMACEUTICALS_AND_CHEMICALS_SECTOR_DOSSIER.html</x:v>
      </x:c>
    </x:row>
    <x:row r="1091" ht="42" customHeight="1">
      <x:c r="A1091" s="5" t="str">
        <x:v>D04</x:v>
      </x:c>
      <x:c r="B1091" s="5" t="str">
        <x:v>D04-T08</x:v>
      </x:c>
      <x:c r="C1091" s="5" t="str">
        <x:v>9. NATO STANAG 2017/2018 Admiralty Protocol Evaluation Matrix</x:v>
      </x:c>
      <x:c r="D1091" s="5" t="n">
        <x:v>500</x:v>
      </x:c>
      <x:c r="E1091" s="5" t="n">
        <x:v>2</x:v>
      </x:c>
      <x:c r="F1091" s="5" t="str">
        <x:v>Primary Source &amp; Verification Modality</x:v>
      </x:c>
      <x:c r="G1091" s="5" t="n">
        <x:v>1</x:v>
      </x:c>
      <x:c r="H1091" s="5" t="n">
        <x:v>1</x:v>
      </x:c>
      <x:c r="I1091" s="5" t="str">
        <x:v>European Commission official legislative text (COM/2023/192) &amp; EMA working group notes</x:v>
      </x:c>
      <x:c r="J1091" s="5" t="str">
        <x:v>SOURCE QUOTE; unvalidated / superseded assessments</x:v>
      </x:c>
      <x:c r="L1091" s="31" t="str">
        <x:v>D04, Markdown line 500; http://nas-1.tail55d152.ts.net:4100/static/2S_PHARMACEUTICALS_AND_CHEMICALS_SECTOR_DOSSIER.html</x:v>
      </x:c>
    </x:row>
    <x:row r="1092" ht="42" customHeight="1">
      <x:c r="A1092" s="5" t="str">
        <x:v>D04</x:v>
      </x:c>
      <x:c r="B1092" s="5" t="str">
        <x:v>D04-T08</x:v>
      </x:c>
      <x:c r="C1092" s="5" t="str">
        <x:v>9. NATO STANAG 2017/2018 Admiralty Protocol Evaluation Matrix</x:v>
      </x:c>
      <x:c r="D1092" s="5" t="n">
        <x:v>500</x:v>
      </x:c>
      <x:c r="E1092" s="5" t="n">
        <x:v>3</x:v>
      </x:c>
      <x:c r="F1092" s="5" t="str">
        <x:v>Admiralty Grade</x:v>
      </x:c>
      <x:c r="G1092" s="5" t="n">
        <x:v>1</x:v>
      </x:c>
      <x:c r="H1092" s="5" t="n">
        <x:v>1</x:v>
      </x:c>
      <x:c r="I1092" s="5" t="str">
        <x:v>Grade: A1</x:v>
      </x:c>
      <x:c r="J1092" s="5" t="str">
        <x:v>SOURCE QUOTE; unvalidated / superseded assessments</x:v>
      </x:c>
      <x:c r="L1092" s="31" t="str">
        <x:v>D04, Markdown line 500; http://nas-1.tail55d152.ts.net:4100/static/2S_PHARMACEUTICALS_AND_CHEMICALS_SECTOR_DOSSIER.html</x:v>
      </x:c>
    </x:row>
    <x:row r="1093" ht="42" customHeight="1">
      <x:c r="A1093" s="5" t="str">
        <x:v>D04</x:v>
      </x:c>
      <x:c r="B1093" s="5" t="str">
        <x:v>D04-T08</x:v>
      </x:c>
      <x:c r="C1093" s="5" t="str">
        <x:v>9. NATO STANAG 2017/2018 Admiralty Protocol Evaluation Matrix</x:v>
      </x:c>
      <x:c r="D1093" s="5" t="n">
        <x:v>500</x:v>
      </x:c>
      <x:c r="E1093" s="5" t="n">
        <x:v>4</x:v>
      </x:c>
      <x:c r="F1093" s="5" t="str">
        <x:v>Admissibility Status</x:v>
      </x:c>
      <x:c r="G1093" s="5" t="n">
        <x:v>1</x:v>
      </x:c>
      <x:c r="H1093" s="5" t="n">
        <x:v>1</x:v>
      </x:c>
      <x:c r="I1093" s="5" t="str">
        <x:v>PASS</x:v>
      </x:c>
      <x:c r="J1093" s="5" t="str">
        <x:v>SOURCE QUOTE; unvalidated / superseded assessments</x:v>
      </x:c>
      <x:c r="L1093" s="31" t="str">
        <x:v>D04, Markdown line 500; http://nas-1.tail55d152.ts.net:4100/static/2S_PHARMACEUTICALS_AND_CHEMICALS_SECTOR_DOSSIER.html</x:v>
      </x:c>
    </x:row>
    <x:row r="1094" ht="42" customHeight="1">
      <x:c r="A1094" s="5" t="str">
        <x:v>D04</x:v>
      </x:c>
      <x:c r="B1094" s="5" t="str">
        <x:v>D04-T08</x:v>
      </x:c>
      <x:c r="C1094" s="5" t="str">
        <x:v>9. NATO STANAG 2017/2018 Admiralty Protocol Evaluation Matrix</x:v>
      </x:c>
      <x:c r="D1094" s="5" t="n">
        <x:v>500</x:v>
      </x:c>
      <x:c r="E1094" s="5" t="n">
        <x:v>5</x:v>
      </x:c>
      <x:c r="F1094" s="5" t="str">
        <x:v>Epistemic Basis &amp; Evidentiary Proof</x:v>
      </x:c>
      <x:c r="G1094" s="5" t="n">
        <x:v>1</x:v>
      </x:c>
      <x:c r="H1094" s="5" t="n">
        <x:v>1</x:v>
      </x:c>
      <x:c r="I1094" s="5" t="str">
        <x:v>Primary official legislative gazette and EU regulatory guidance documents.</x:v>
      </x:c>
      <x:c r="J1094" s="5" t="str">
        <x:v>SOURCE QUOTE; unvalidated / superseded assessments</x:v>
      </x:c>
      <x:c r="L1094" s="31" t="str">
        <x:v>D04, Markdown line 500; http://nas-1.tail55d152.ts.net:4100/static/2S_PHARMACEUTICALS_AND_CHEMICALS_SECTOR_DOSSIER.html</x:v>
      </x:c>
    </x:row>
    <x:row r="1095" ht="42" customHeight="1">
      <x:c r="A1095" s="5" t="str">
        <x:v>D04</x:v>
      </x:c>
      <x:c r="B1095" s="5" t="str">
        <x:v>D04-T08</x:v>
      </x:c>
      <x:c r="C1095" s="5" t="str">
        <x:v>9. NATO STANAG 2017/2018 Admiralty Protocol Evaluation Matrix</x:v>
      </x:c>
      <x:c r="D1095" s="5" t="n">
        <x:v>501</x:v>
      </x:c>
      <x:c r="E1095" s="5" t="n">
        <x:v>1</x:v>
      </x:c>
      <x:c r="F1095" s="5" t="str">
        <x:v>Intelligence Claim &amp; Verification Target</x:v>
      </x:c>
      <x:c r="G1095" s="5" t="n">
        <x:v>1</x:v>
      </x:c>
      <x:c r="H1095" s="5" t="n">
        <x:v>1</x:v>
      </x:c>
      <x:c r="I1095" s="5" t="str">
        <x:v>Nordic Public Tender Stockout Penalties</x:v>
      </x:c>
      <x:c r="J1095" s="5" t="str">
        <x:v>SOURCE QUOTE; unvalidated / superseded assessments</x:v>
      </x:c>
      <x:c r="L1095" s="31" t="str">
        <x:v>D04, Markdown line 501; http://nas-1.tail55d152.ts.net:4100/static/2S_PHARMACEUTICALS_AND_CHEMICALS_SECTOR_DOSSIER.html</x:v>
      </x:c>
    </x:row>
    <x:row r="1096" ht="42" customHeight="1">
      <x:c r="A1096" s="5" t="str">
        <x:v>D04</x:v>
      </x:c>
      <x:c r="B1096" s="5" t="str">
        <x:v>D04-T08</x:v>
      </x:c>
      <x:c r="C1096" s="5" t="str">
        <x:v>9. NATO STANAG 2017/2018 Admiralty Protocol Evaluation Matrix</x:v>
      </x:c>
      <x:c r="D1096" s="5" t="n">
        <x:v>501</x:v>
      </x:c>
      <x:c r="E1096" s="5" t="n">
        <x:v>2</x:v>
      </x:c>
      <x:c r="F1096" s="5" t="str">
        <x:v>Primary Source &amp; Verification Modality</x:v>
      </x:c>
      <x:c r="G1096" s="5" t="n">
        <x:v>1</x:v>
      </x:c>
      <x:c r="H1096" s="5" t="n">
        <x:v>1</x:v>
      </x:c>
      <x:c r="I1096" s="5" t="str">
        <x:v>TLV Sweden procurement regulations, Danske Regioner standard contract terms, Sykehusinnkjøp guidelines</x:v>
      </x:c>
      <x:c r="J1096" s="5" t="str">
        <x:v>SOURCE QUOTE; unvalidated / superseded assessments</x:v>
      </x:c>
      <x:c r="L1096" s="31" t="str">
        <x:v>D04, Markdown line 501; http://nas-1.tail55d152.ts.net:4100/static/2S_PHARMACEUTICALS_AND_CHEMICALS_SECTOR_DOSSIER.html</x:v>
      </x:c>
    </x:row>
    <x:row r="1097" ht="42" customHeight="1">
      <x:c r="A1097" s="5" t="str">
        <x:v>D04</x:v>
      </x:c>
      <x:c r="B1097" s="5" t="str">
        <x:v>D04-T08</x:v>
      </x:c>
      <x:c r="C1097" s="5" t="str">
        <x:v>9. NATO STANAG 2017/2018 Admiralty Protocol Evaluation Matrix</x:v>
      </x:c>
      <x:c r="D1097" s="5" t="n">
        <x:v>501</x:v>
      </x:c>
      <x:c r="E1097" s="5" t="n">
        <x:v>3</x:v>
      </x:c>
      <x:c r="F1097" s="5" t="str">
        <x:v>Admiralty Grade</x:v>
      </x:c>
      <x:c r="G1097" s="5" t="n">
        <x:v>1</x:v>
      </x:c>
      <x:c r="H1097" s="5" t="n">
        <x:v>1</x:v>
      </x:c>
      <x:c r="I1097" s="5" t="str">
        <x:v>Grade: A1</x:v>
      </x:c>
      <x:c r="J1097" s="5" t="str">
        <x:v>SOURCE QUOTE; unvalidated / superseded assessments</x:v>
      </x:c>
      <x:c r="L1097" s="31" t="str">
        <x:v>D04, Markdown line 501; http://nas-1.tail55d152.ts.net:4100/static/2S_PHARMACEUTICALS_AND_CHEMICALS_SECTOR_DOSSIER.html</x:v>
      </x:c>
    </x:row>
    <x:row r="1098" ht="42" customHeight="1">
      <x:c r="A1098" s="5" t="str">
        <x:v>D04</x:v>
      </x:c>
      <x:c r="B1098" s="5" t="str">
        <x:v>D04-T08</x:v>
      </x:c>
      <x:c r="C1098" s="5" t="str">
        <x:v>9. NATO STANAG 2017/2018 Admiralty Protocol Evaluation Matrix</x:v>
      </x:c>
      <x:c r="D1098" s="5" t="n">
        <x:v>501</x:v>
      </x:c>
      <x:c r="E1098" s="5" t="n">
        <x:v>4</x:v>
      </x:c>
      <x:c r="F1098" s="5" t="str">
        <x:v>Admissibility Status</x:v>
      </x:c>
      <x:c r="G1098" s="5" t="n">
        <x:v>1</x:v>
      </x:c>
      <x:c r="H1098" s="5" t="n">
        <x:v>1</x:v>
      </x:c>
      <x:c r="I1098" s="5" t="str">
        <x:v>PASS</x:v>
      </x:c>
      <x:c r="J1098" s="5" t="str">
        <x:v>SOURCE QUOTE; unvalidated / superseded assessments</x:v>
      </x:c>
      <x:c r="L1098" s="31" t="str">
        <x:v>D04, Markdown line 501; http://nas-1.tail55d152.ts.net:4100/static/2S_PHARMACEUTICALS_AND_CHEMICALS_SECTOR_DOSSIER.html</x:v>
      </x:c>
    </x:row>
    <x:row r="1099" ht="42" customHeight="1">
      <x:c r="A1099" s="5" t="str">
        <x:v>D04</x:v>
      </x:c>
      <x:c r="B1099" s="5" t="str">
        <x:v>D04-T08</x:v>
      </x:c>
      <x:c r="C1099" s="5" t="str">
        <x:v>9. NATO STANAG 2017/2018 Admiralty Protocol Evaluation Matrix</x:v>
      </x:c>
      <x:c r="D1099" s="5" t="n">
        <x:v>501</x:v>
      </x:c>
      <x:c r="E1099" s="5" t="n">
        <x:v>5</x:v>
      </x:c>
      <x:c r="F1099" s="5" t="str">
        <x:v>Epistemic Basis &amp; Evidentiary Proof</x:v>
      </x:c>
      <x:c r="G1099" s="5" t="n">
        <x:v>1</x:v>
      </x:c>
      <x:c r="H1099" s="5" t="n">
        <x:v>1</x:v>
      </x:c>
      <x:c r="I1099" s="5" t="str">
        <x:v>Public procurement statutory contracts and regional health council tender frameworks.</x:v>
      </x:c>
      <x:c r="J1099" s="5" t="str">
        <x:v>SOURCE QUOTE; unvalidated / superseded assessments</x:v>
      </x:c>
      <x:c r="L1099" s="31" t="str">
        <x:v>D04, Markdown line 501; http://nas-1.tail55d152.ts.net:4100/static/2S_PHARMACEUTICALS_AND_CHEMICALS_SECTOR_DOSSIER.html</x:v>
      </x:c>
    </x:row>
    <x:row r="1100" ht="42" customHeight="1">
      <x:c r="A1100" s="5" t="str">
        <x:v>D04</x:v>
      </x:c>
      <x:c r="B1100" s="5" t="str">
        <x:v>D04-T08</x:v>
      </x:c>
      <x:c r="C1100" s="5" t="str">
        <x:v>9. NATO STANAG 2017/2018 Admiralty Protocol Evaluation Matrix</x:v>
      </x:c>
      <x:c r="D1100" s="5" t="n">
        <x:v>502</x:v>
      </x:c>
      <x:c r="E1100" s="5" t="n">
        <x:v>1</x:v>
      </x:c>
      <x:c r="F1100" s="5" t="str">
        <x:v>Intelligence Claim &amp; Verification Target</x:v>
      </x:c>
      <x:c r="G1100" s="5" t="n">
        <x:v>1</x:v>
      </x:c>
      <x:c r="H1100" s="5" t="n">
        <x:v>1</x:v>
      </x:c>
      <x:c r="I1100" s="5" t="str">
        <x:v>Clinical Trial Delay Burn (€25,000/day)</x:v>
      </x:c>
      <x:c r="J1100" s="5" t="str">
        <x:v>SOURCE QUOTE; unvalidated / superseded assessments</x:v>
      </x:c>
      <x:c r="L1100" s="31" t="str">
        <x:v>D04, Markdown line 502; http://nas-1.tail55d152.ts.net:4100/static/2S_PHARMACEUTICALS_AND_CHEMICALS_SECTOR_DOSSIER.html</x:v>
      </x:c>
    </x:row>
    <x:row r="1101" ht="42" customHeight="1">
      <x:c r="A1101" s="5" t="str">
        <x:v>D04</x:v>
      </x:c>
      <x:c r="B1101" s="5" t="str">
        <x:v>D04-T08</x:v>
      </x:c>
      <x:c r="C1101" s="5" t="str">
        <x:v>9. NATO STANAG 2017/2018 Admiralty Protocol Evaluation Matrix</x:v>
      </x:c>
      <x:c r="D1101" s="5" t="n">
        <x:v>502</x:v>
      </x:c>
      <x:c r="E1101" s="5" t="n">
        <x:v>2</x:v>
      </x:c>
      <x:c r="F1101" s="5" t="str">
        <x:v>Primary Source &amp; Verification Modality</x:v>
      </x:c>
      <x:c r="G1101" s="5" t="n">
        <x:v>1</x:v>
      </x:c>
      <x:c r="H1101" s="5" t="n">
        <x:v>1</x:v>
      </x:c>
      <x:c r="I1101" s="5" t="str">
        <x:v>Tufts Center for the Study of Drug Development (CSDD) and Nordic clinical trial metrics</x:v>
      </x:c>
      <x:c r="J1101" s="5" t="str">
        <x:v>SOURCE QUOTE; unvalidated / superseded assessments</x:v>
      </x:c>
      <x:c r="L1101" s="31" t="str">
        <x:v>D04, Markdown line 502; http://nas-1.tail55d152.ts.net:4100/static/2S_PHARMACEUTICALS_AND_CHEMICALS_SECTOR_DOSSIER.html</x:v>
      </x:c>
    </x:row>
    <x:row r="1102" ht="42" customHeight="1">
      <x:c r="A1102" s="5" t="str">
        <x:v>D04</x:v>
      </x:c>
      <x:c r="B1102" s="5" t="str">
        <x:v>D04-T08</x:v>
      </x:c>
      <x:c r="C1102" s="5" t="str">
        <x:v>9. NATO STANAG 2017/2018 Admiralty Protocol Evaluation Matrix</x:v>
      </x:c>
      <x:c r="D1102" s="5" t="n">
        <x:v>502</x:v>
      </x:c>
      <x:c r="E1102" s="5" t="n">
        <x:v>3</x:v>
      </x:c>
      <x:c r="F1102" s="5" t="str">
        <x:v>Admiralty Grade</x:v>
      </x:c>
      <x:c r="G1102" s="5" t="n">
        <x:v>1</x:v>
      </x:c>
      <x:c r="H1102" s="5" t="n">
        <x:v>1</x:v>
      </x:c>
      <x:c r="I1102" s="5" t="str">
        <x:v>Grade: A2</x:v>
      </x:c>
      <x:c r="J1102" s="5" t="str">
        <x:v>SOURCE QUOTE; unvalidated / superseded assessments</x:v>
      </x:c>
      <x:c r="L1102" s="31" t="str">
        <x:v>D04, Markdown line 502; http://nas-1.tail55d152.ts.net:4100/static/2S_PHARMACEUTICALS_AND_CHEMICALS_SECTOR_DOSSIER.html</x:v>
      </x:c>
    </x:row>
    <x:row r="1103" ht="42" customHeight="1">
      <x:c r="A1103" s="5" t="str">
        <x:v>D04</x:v>
      </x:c>
      <x:c r="B1103" s="5" t="str">
        <x:v>D04-T08</x:v>
      </x:c>
      <x:c r="C1103" s="5" t="str">
        <x:v>9. NATO STANAG 2017/2018 Admiralty Protocol Evaluation Matrix</x:v>
      </x:c>
      <x:c r="D1103" s="5" t="n">
        <x:v>502</x:v>
      </x:c>
      <x:c r="E1103" s="5" t="n">
        <x:v>4</x:v>
      </x:c>
      <x:c r="F1103" s="5" t="str">
        <x:v>Admissibility Status</x:v>
      </x:c>
      <x:c r="G1103" s="5" t="n">
        <x:v>1</x:v>
      </x:c>
      <x:c r="H1103" s="5" t="n">
        <x:v>1</x:v>
      </x:c>
      <x:c r="I1103" s="5" t="str">
        <x:v>PASS</x:v>
      </x:c>
      <x:c r="J1103" s="5" t="str">
        <x:v>SOURCE QUOTE; unvalidated / superseded assessments</x:v>
      </x:c>
      <x:c r="L1103" s="31" t="str">
        <x:v>D04, Markdown line 502; http://nas-1.tail55d152.ts.net:4100/static/2S_PHARMACEUTICALS_AND_CHEMICALS_SECTOR_DOSSIER.html</x:v>
      </x:c>
    </x:row>
    <x:row r="1104" ht="42" customHeight="1">
      <x:c r="A1104" s="5" t="str">
        <x:v>D04</x:v>
      </x:c>
      <x:c r="B1104" s="5" t="str">
        <x:v>D04-T08</x:v>
      </x:c>
      <x:c r="C1104" s="5" t="str">
        <x:v>9. NATO STANAG 2017/2018 Admiralty Protocol Evaluation Matrix</x:v>
      </x:c>
      <x:c r="D1104" s="5" t="n">
        <x:v>502</x:v>
      </x:c>
      <x:c r="E1104" s="5" t="n">
        <x:v>5</x:v>
      </x:c>
      <x:c r="F1104" s="5" t="str">
        <x:v>Epistemic Basis &amp; Evidentiary Proof</x:v>
      </x:c>
      <x:c r="G1104" s="5" t="n">
        <x:v>1</x:v>
      </x:c>
      <x:c r="H1104" s="5" t="n">
        <x:v>1</x:v>
      </x:c>
      <x:c r="I1104" s="5" t="str">
        <x:v>Peer-reviewed health economics and clinical trial management benchmarking studies.</x:v>
      </x:c>
      <x:c r="J1104" s="5" t="str">
        <x:v>SOURCE QUOTE; unvalidated / superseded assessments</x:v>
      </x:c>
      <x:c r="L1104" s="31" t="str">
        <x:v>D04, Markdown line 502; http://nas-1.tail55d152.ts.net:4100/static/2S_PHARMACEUTICALS_AND_CHEMICALS_SECTOR_DOSSIER.html</x:v>
      </x:c>
    </x:row>
    <x:row r="1105" ht="42" customHeight="1">
      <x:c r="A1105" s="5" t="str">
        <x:v>D04</x:v>
      </x:c>
      <x:c r="B1105" s="5" t="str">
        <x:v>D04-T08</x:v>
      </x:c>
      <x:c r="C1105" s="5" t="str">
        <x:v>9. NATO STANAG 2017/2018 Admiralty Protocol Evaluation Matrix</x:v>
      </x:c>
      <x:c r="D1105" s="5" t="n">
        <x:v>503</x:v>
      </x:c>
      <x:c r="E1105" s="5" t="n">
        <x:v>1</x:v>
      </x:c>
      <x:c r="F1105" s="5" t="str">
        <x:v>Intelligence Claim &amp; Verification Target</x:v>
      </x:c>
      <x:c r="G1105" s="5" t="n">
        <x:v>1</x:v>
      </x:c>
      <x:c r="H1105" s="5" t="n">
        <x:v>1</x:v>
      </x:c>
      <x:c r="I1105" s="5" t="str">
        <x:v>Numantra Sovereign Cloud ISO Standards</x:v>
      </x:c>
      <x:c r="J1105" s="5" t="str">
        <x:v>SOURCE QUOTE; unvalidated / superseded assessments</x:v>
      </x:c>
      <x:c r="L1105" s="31" t="str">
        <x:v>D04, Markdown line 503; http://nas-1.tail55d152.ts.net:4100/static/2S_PHARMACEUTICALS_AND_CHEMICALS_SECTOR_DOSSIER.html</x:v>
      </x:c>
    </x:row>
    <x:row r="1106" ht="42" customHeight="1">
      <x:c r="A1106" s="5" t="str">
        <x:v>D04</x:v>
      </x:c>
      <x:c r="B1106" s="5" t="str">
        <x:v>D04-T08</x:v>
      </x:c>
      <x:c r="C1106" s="5" t="str">
        <x:v>9. NATO STANAG 2017/2018 Admiralty Protocol Evaluation Matrix</x:v>
      </x:c>
      <x:c r="D1106" s="5" t="n">
        <x:v>503</x:v>
      </x:c>
      <x:c r="E1106" s="5" t="n">
        <x:v>2</x:v>
      </x:c>
      <x:c r="F1106" s="5" t="str">
        <x:v>Primary Source &amp; Verification Modality</x:v>
      </x:c>
      <x:c r="G1106" s="5" t="n">
        <x:v>1</x:v>
      </x:c>
      <x:c r="H1106" s="5" t="n">
        <x:v>1</x:v>
      </x:c>
      <x:c r="I1106" s="5" t="str">
        <x:v>ISO/IEC 27001, 27017, 27018 accredited registrar certification logs (Helsinki data center)</x:v>
      </x:c>
      <x:c r="J1106" s="5" t="str">
        <x:v>SOURCE QUOTE; unvalidated / superseded assessments</x:v>
      </x:c>
      <x:c r="L1106" s="31" t="str">
        <x:v>D04, Markdown line 503; http://nas-1.tail55d152.ts.net:4100/static/2S_PHARMACEUTICALS_AND_CHEMICALS_SECTOR_DOSSIER.html</x:v>
      </x:c>
    </x:row>
    <x:row r="1107" ht="42" customHeight="1">
      <x:c r="A1107" s="5" t="str">
        <x:v>D04</x:v>
      </x:c>
      <x:c r="B1107" s="5" t="str">
        <x:v>D04-T08</x:v>
      </x:c>
      <x:c r="C1107" s="5" t="str">
        <x:v>9. NATO STANAG 2017/2018 Admiralty Protocol Evaluation Matrix</x:v>
      </x:c>
      <x:c r="D1107" s="5" t="n">
        <x:v>503</x:v>
      </x:c>
      <x:c r="E1107" s="5" t="n">
        <x:v>3</x:v>
      </x:c>
      <x:c r="F1107" s="5" t="str">
        <x:v>Admiralty Grade</x:v>
      </x:c>
      <x:c r="G1107" s="5" t="n">
        <x:v>1</x:v>
      </x:c>
      <x:c r="H1107" s="5" t="n">
        <x:v>1</x:v>
      </x:c>
      <x:c r="I1107" s="5" t="str">
        <x:v>Grade: A1</x:v>
      </x:c>
      <x:c r="J1107" s="5" t="str">
        <x:v>SOURCE QUOTE; unvalidated / superseded assessments</x:v>
      </x:c>
      <x:c r="L1107" s="31" t="str">
        <x:v>D04, Markdown line 503; http://nas-1.tail55d152.ts.net:4100/static/2S_PHARMACEUTICALS_AND_CHEMICALS_SECTOR_DOSSIER.html</x:v>
      </x:c>
    </x:row>
    <x:row r="1108" ht="42" customHeight="1">
      <x:c r="A1108" s="5" t="str">
        <x:v>D04</x:v>
      </x:c>
      <x:c r="B1108" s="5" t="str">
        <x:v>D04-T08</x:v>
      </x:c>
      <x:c r="C1108" s="5" t="str">
        <x:v>9. NATO STANAG 2017/2018 Admiralty Protocol Evaluation Matrix</x:v>
      </x:c>
      <x:c r="D1108" s="5" t="n">
        <x:v>503</x:v>
      </x:c>
      <x:c r="E1108" s="5" t="n">
        <x:v>4</x:v>
      </x:c>
      <x:c r="F1108" s="5" t="str">
        <x:v>Admissibility Status</x:v>
      </x:c>
      <x:c r="G1108" s="5" t="n">
        <x:v>1</x:v>
      </x:c>
      <x:c r="H1108" s="5" t="n">
        <x:v>1</x:v>
      </x:c>
      <x:c r="I1108" s="5" t="str">
        <x:v>PASS</x:v>
      </x:c>
      <x:c r="J1108" s="5" t="str">
        <x:v>SOURCE QUOTE; unvalidated / superseded assessments</x:v>
      </x:c>
      <x:c r="L1108" s="31" t="str">
        <x:v>D04, Markdown line 503; http://nas-1.tail55d152.ts.net:4100/static/2S_PHARMACEUTICALS_AND_CHEMICALS_SECTOR_DOSSIER.html</x:v>
      </x:c>
    </x:row>
    <x:row r="1109" ht="42" customHeight="1">
      <x:c r="A1109" s="5" t="str">
        <x:v>D04</x:v>
      </x:c>
      <x:c r="B1109" s="5" t="str">
        <x:v>D04-T08</x:v>
      </x:c>
      <x:c r="C1109" s="5" t="str">
        <x:v>9. NATO STANAG 2017/2018 Admiralty Protocol Evaluation Matrix</x:v>
      </x:c>
      <x:c r="D1109" s="5" t="n">
        <x:v>503</x:v>
      </x:c>
      <x:c r="E1109" s="5" t="n">
        <x:v>5</x:v>
      </x:c>
      <x:c r="F1109" s="5" t="str">
        <x:v>Epistemic Basis &amp; Evidentiary Proof</x:v>
      </x:c>
      <x:c r="G1109" s="5" t="n">
        <x:v>1</x:v>
      </x:c>
      <x:c r="H1109" s="5" t="n">
        <x:v>1</x:v>
      </x:c>
      <x:c r="I1109" s="5" t="str">
        <x:v>Accredited registrar certification certificates and active sovereign IP allocations.</x:v>
      </x:c>
      <x:c r="J1109" s="5" t="str">
        <x:v>SOURCE QUOTE; unvalidated / superseded assessments</x:v>
      </x:c>
      <x:c r="L1109" s="31" t="str">
        <x:v>D04, Markdown line 503; http://nas-1.tail55d152.ts.net:4100/static/2S_PHARMACEUTICALS_AND_CHEMICALS_SECTOR_DOSSIER.html</x:v>
      </x:c>
    </x:row>
    <x:row r="1110" ht="42" customHeight="1">
      <x:c r="A1110" s="5" t="str">
        <x:v>D05</x:v>
      </x:c>
      <x:c r="B1110" s="5" t="str">
        <x:v>D05-T01</x:v>
      </x:c>
      <x:c r="C1110" s="5" t="str">
        <x:v>A. Stage-Gate Capital Rationing &amp; Milestone Governance</x:v>
      </x:c>
      <x:c r="D1110" s="5" t="n">
        <x:v>154</x:v>
      </x:c>
      <x:c r="E1110" s="5" t="n">
        <x:v>1</x:v>
      </x:c>
      <x:c r="F1110" s="5" t="str">
        <x:v>Development Gate</x:v>
      </x:c>
      <x:c r="G1110" s="5" t="n">
        <x:v>1</x:v>
      </x:c>
      <x:c r="H1110" s="5" t="n">
        <x:v>1</x:v>
      </x:c>
      <x:c r="I1110" s="5" t="str">
        <x:v>Gate 1: Candidate Selection</x:v>
      </x:c>
      <x:c r="J1110" s="5" t="str">
        <x:v>SOURCE QUOTE; unvalidated / superseded assessments</x:v>
      </x:c>
      <x:c r="L1110" s="31" t="str">
        <x:v>D05, Markdown line 154; http://nas-1.tail55d152.ts.net:4100/static/2S_PHARMA_THREE_PILLARS_OPERATIONAL_BLUEPRINT.html</x:v>
      </x:c>
    </x:row>
    <x:row r="1111" ht="42" customHeight="1">
      <x:c r="A1111" s="5" t="str">
        <x:v>D05</x:v>
      </x:c>
      <x:c r="B1111" s="5" t="str">
        <x:v>D05-T01</x:v>
      </x:c>
      <x:c r="C1111" s="5" t="str">
        <x:v>A. Stage-Gate Capital Rationing &amp; Milestone Governance</x:v>
      </x:c>
      <x:c r="D1111" s="5" t="n">
        <x:v>154</x:v>
      </x:c>
      <x:c r="E1111" s="5" t="n">
        <x:v>2</x:v>
      </x:c>
      <x:c r="F1111" s="5" t="str">
        <x:v>Clinical &amp; CMC Milestone Trigger</x:v>
      </x:c>
      <x:c r="G1111" s="5" t="n">
        <x:v>1</x:v>
      </x:c>
      <x:c r="H1111" s="5" t="n">
        <x:v>1</x:v>
      </x:c>
      <x:c r="I1111" s="5" t="str">
        <x:v>Lead molecule nomination</x:v>
      </x:c>
      <x:c r="J1111" s="5" t="str">
        <x:v>SOURCE QUOTE; unvalidated / superseded assessments</x:v>
      </x:c>
      <x:c r="L1111" s="31" t="str">
        <x:v>D05, Markdown line 154; http://nas-1.tail55d152.ts.net:4100/static/2S_PHARMA_THREE_PILLARS_OPERATIONAL_BLUEPRINT.html</x:v>
      </x:c>
    </x:row>
    <x:row r="1112" ht="42" customHeight="1">
      <x:c r="A1112" s="5" t="str">
        <x:v>D05</x:v>
      </x:c>
      <x:c r="B1112" s="5" t="str">
        <x:v>D05-T01</x:v>
      </x:c>
      <x:c r="C1112" s="5" t="str">
        <x:v>A. Stage-Gate Capital Rationing &amp; Milestone Governance</x:v>
      </x:c>
      <x:c r="D1112" s="5" t="n">
        <x:v>154</x:v>
      </x:c>
      <x:c r="E1112" s="5" t="n">
        <x:v>3</x:v>
      </x:c>
      <x:c r="F1112" s="5" t="str">
        <x:v>Quantitative Exit Gate Criteria</x:v>
      </x:c>
      <x:c r="G1112" s="5" t="n">
        <x:v>1</x:v>
      </x:c>
      <x:c r="H1112" s="5" t="n">
        <x:v>1</x:v>
      </x:c>
      <x:c r="I1112" s="5" t="str">
        <x:v>$K_d &lt; 10\text{ nM}$, validated oral bioavailability or PK profile, reproducible synthesis.</x:v>
      </x:c>
      <x:c r="J1112" s="5" t="str">
        <x:v>SOURCE QUOTE; unvalidated / superseded assessments</x:v>
      </x:c>
      <x:c r="L1112" s="31" t="str">
        <x:v>D05, Markdown line 154; http://nas-1.tail55d152.ts.net:4100/static/2S_PHARMA_THREE_PILLARS_OPERATIONAL_BLUEPRINT.html</x:v>
      </x:c>
    </x:row>
    <x:row r="1113" ht="42" customHeight="1">
      <x:c r="A1113" s="5" t="str">
        <x:v>D05</x:v>
      </x:c>
      <x:c r="B1113" s="5" t="str">
        <x:v>D05-T01</x:v>
      </x:c>
      <x:c r="C1113" s="5" t="str">
        <x:v>A. Stage-Gate Capital Rationing &amp; Milestone Governance</x:v>
      </x:c>
      <x:c r="D1113" s="5" t="n">
        <x:v>154</x:v>
      </x:c>
      <x:c r="E1113" s="5" t="n">
        <x:v>4</x:v>
      </x:c>
      <x:c r="F1113" s="5" t="str">
        <x:v>2S Capital Governance Control</x:v>
      </x:c>
      <x:c r="G1113" s="5" t="n">
        <x:v>1</x:v>
      </x:c>
      <x:c r="H1113" s="5" t="n">
        <x:v>1</x:v>
      </x:c>
      <x:c r="I1113" s="5" t="str">
        <x:v>Review of synthetic route scalability and patent exclusivity window.</x:v>
      </x:c>
      <x:c r="J1113" s="5" t="str">
        <x:v>SOURCE QUOTE; unvalidated / superseded assessments</x:v>
      </x:c>
      <x:c r="L1113" s="31" t="str">
        <x:v>D05, Markdown line 154; http://nas-1.tail55d152.ts.net:4100/static/2S_PHARMA_THREE_PILLARS_OPERATIONAL_BLUEPRINT.html</x:v>
      </x:c>
    </x:row>
    <x:row r="1114" ht="42" customHeight="1">
      <x:c r="A1114" s="5" t="str">
        <x:v>D05</x:v>
      </x:c>
      <x:c r="B1114" s="5" t="str">
        <x:v>D05-T01</x:v>
      </x:c>
      <x:c r="C1114" s="5" t="str">
        <x:v>A. Stage-Gate Capital Rationing &amp; Milestone Governance</x:v>
      </x:c>
      <x:c r="D1114" s="5" t="n">
        <x:v>155</x:v>
      </x:c>
      <x:c r="E1114" s="5" t="n">
        <x:v>1</x:v>
      </x:c>
      <x:c r="F1114" s="5" t="str">
        <x:v>Development Gate</x:v>
      </x:c>
      <x:c r="G1114" s="5" t="n">
        <x:v>1</x:v>
      </x:c>
      <x:c r="H1114" s="5" t="n">
        <x:v>1</x:v>
      </x:c>
      <x:c r="I1114" s="5" t="str">
        <x:v>Gate 2: IND / CTA Filing</x:v>
      </x:c>
      <x:c r="J1114" s="5" t="str">
        <x:v>SOURCE QUOTE; unvalidated / superseded assessments</x:v>
      </x:c>
      <x:c r="L1114" s="31" t="str">
        <x:v>D05, Markdown line 155; http://nas-1.tail55d152.ts.net:4100/static/2S_PHARMA_THREE_PILLARS_OPERATIONAL_BLUEPRINT.html</x:v>
      </x:c>
    </x:row>
    <x:row r="1115" ht="42" customHeight="1">
      <x:c r="A1115" s="5" t="str">
        <x:v>D05</x:v>
      </x:c>
      <x:c r="B1115" s="5" t="str">
        <x:v>D05-T01</x:v>
      </x:c>
      <x:c r="C1115" s="5" t="str">
        <x:v>A. Stage-Gate Capital Rationing &amp; Milestone Governance</x:v>
      </x:c>
      <x:c r="D1115" s="5" t="n">
        <x:v>155</x:v>
      </x:c>
      <x:c r="E1115" s="5" t="n">
        <x:v>2</x:v>
      </x:c>
      <x:c r="F1115" s="5" t="str">
        <x:v>Clinical &amp; CMC Milestone Trigger</x:v>
      </x:c>
      <x:c r="G1115" s="5" t="n">
        <x:v>1</x:v>
      </x:c>
      <x:c r="H1115" s="5" t="n">
        <x:v>1</x:v>
      </x:c>
      <x:c r="I1115" s="5" t="str">
        <x:v>Regulatory authorization</x:v>
      </x:c>
      <x:c r="J1115" s="5" t="str">
        <x:v>SOURCE QUOTE; unvalidated / superseded assessments</x:v>
      </x:c>
      <x:c r="L1115" s="31" t="str">
        <x:v>D05, Markdown line 155; http://nas-1.tail55d152.ts.net:4100/static/2S_PHARMA_THREE_PILLARS_OPERATIONAL_BLUEPRINT.html</x:v>
      </x:c>
    </x:row>
    <x:row r="1116" ht="42" customHeight="1">
      <x:c r="A1116" s="5" t="str">
        <x:v>D05</x:v>
      </x:c>
      <x:c r="B1116" s="5" t="str">
        <x:v>D05-T01</x:v>
      </x:c>
      <x:c r="C1116" s="5" t="str">
        <x:v>A. Stage-Gate Capital Rationing &amp; Milestone Governance</x:v>
      </x:c>
      <x:c r="D1116" s="5" t="n">
        <x:v>155</x:v>
      </x:c>
      <x:c r="E1116" s="5" t="n">
        <x:v>3</x:v>
      </x:c>
      <x:c r="F1116" s="5" t="str">
        <x:v>Quantitative Exit Gate Criteria</x:v>
      </x:c>
      <x:c r="G1116" s="5" t="n">
        <x:v>1</x:v>
      </x:c>
      <x:c r="H1116" s="5" t="n">
        <x:v>1</x:v>
      </x:c>
      <x:c r="I1116" s="5" t="str">
        <x:v>GLP tox package complete, stable formulation, clinical trial protocol authorized by MPA/EMA.</x:v>
      </x:c>
      <x:c r="J1116" s="5" t="str">
        <x:v>SOURCE QUOTE; unvalidated / superseded assessments</x:v>
      </x:c>
      <x:c r="L1116" s="31" t="str">
        <x:v>D05, Markdown line 155; http://nas-1.tail55d152.ts.net:4100/static/2S_PHARMA_THREE_PILLARS_OPERATIONAL_BLUEPRINT.html</x:v>
      </x:c>
    </x:row>
    <x:row r="1117" ht="42" customHeight="1">
      <x:c r="A1117" s="5" t="str">
        <x:v>D05</x:v>
      </x:c>
      <x:c r="B1117" s="5" t="str">
        <x:v>D05-T01</x:v>
      </x:c>
      <x:c r="C1117" s="5" t="str">
        <x:v>A. Stage-Gate Capital Rationing &amp; Milestone Governance</x:v>
      </x:c>
      <x:c r="D1117" s="5" t="n">
        <x:v>155</x:v>
      </x:c>
      <x:c r="E1117" s="5" t="n">
        <x:v>4</x:v>
      </x:c>
      <x:c r="F1117" s="5" t="str">
        <x:v>2S Capital Governance Control</x:v>
      </x:c>
      <x:c r="G1117" s="5" t="n">
        <x:v>1</x:v>
      </x:c>
      <x:c r="H1117" s="5" t="n">
        <x:v>1</x:v>
      </x:c>
      <x:c r="I1117" s="5" t="str">
        <x:v>CRO fixed-price contract audit; multi-site investigator grant budget baseline.</x:v>
      </x:c>
      <x:c r="J1117" s="5" t="str">
        <x:v>SOURCE QUOTE; unvalidated / superseded assessments</x:v>
      </x:c>
      <x:c r="L1117" s="31" t="str">
        <x:v>D05, Markdown line 155; http://nas-1.tail55d152.ts.net:4100/static/2S_PHARMA_THREE_PILLARS_OPERATIONAL_BLUEPRINT.html</x:v>
      </x:c>
    </x:row>
    <x:row r="1118" ht="42" customHeight="1">
      <x:c r="A1118" s="5" t="str">
        <x:v>D05</x:v>
      </x:c>
      <x:c r="B1118" s="5" t="str">
        <x:v>D05-T01</x:v>
      </x:c>
      <x:c r="C1118" s="5" t="str">
        <x:v>A. Stage-Gate Capital Rationing &amp; Milestone Governance</x:v>
      </x:c>
      <x:c r="D1118" s="5" t="n">
        <x:v>156</x:v>
      </x:c>
      <x:c r="E1118" s="5" t="n">
        <x:v>1</x:v>
      </x:c>
      <x:c r="F1118" s="5" t="str">
        <x:v>Development Gate</x:v>
      </x:c>
      <x:c r="G1118" s="5" t="n">
        <x:v>1</x:v>
      </x:c>
      <x:c r="H1118" s="5" t="n">
        <x:v>1</x:v>
      </x:c>
      <x:c r="I1118" s="5" t="str">
        <x:v>Gate 3: Phase I Safety / PK</x:v>
      </x:c>
      <x:c r="J1118" s="5" t="str">
        <x:v>SOURCE QUOTE; unvalidated / superseded assessments</x:v>
      </x:c>
      <x:c r="L1118" s="31" t="str">
        <x:v>D05, Markdown line 156; http://nas-1.tail55d152.ts.net:4100/static/2S_PHARMA_THREE_PILLARS_OPERATIONAL_BLUEPRINT.html</x:v>
      </x:c>
    </x:row>
    <x:row r="1119" ht="42" customHeight="1">
      <x:c r="A1119" s="5" t="str">
        <x:v>D05</x:v>
      </x:c>
      <x:c r="B1119" s="5" t="str">
        <x:v>D05-T01</x:v>
      </x:c>
      <x:c r="C1119" s="5" t="str">
        <x:v>A. Stage-Gate Capital Rationing &amp; Milestone Governance</x:v>
      </x:c>
      <x:c r="D1119" s="5" t="n">
        <x:v>156</x:v>
      </x:c>
      <x:c r="E1119" s="5" t="n">
        <x:v>2</x:v>
      </x:c>
      <x:c r="F1119" s="5" t="str">
        <x:v>Clinical &amp; CMC Milestone Trigger</x:v>
      </x:c>
      <x:c r="G1119" s="5" t="n">
        <x:v>1</x:v>
      </x:c>
      <x:c r="H1119" s="5" t="n">
        <x:v>1</x:v>
      </x:c>
      <x:c r="I1119" s="5" t="str">
        <x:v>First-in-Human to SAD/MAD</x:v>
      </x:c>
      <x:c r="J1119" s="5" t="str">
        <x:v>SOURCE QUOTE; unvalidated / superseded assessments</x:v>
      </x:c>
      <x:c r="L1119" s="31" t="str">
        <x:v>D05, Markdown line 156; http://nas-1.tail55d152.ts.net:4100/static/2S_PHARMA_THREE_PILLARS_OPERATIONAL_BLUEPRINT.html</x:v>
      </x:c>
    </x:row>
    <x:row r="1120" ht="42" customHeight="1">
      <x:c r="A1120" s="5" t="str">
        <x:v>D05</x:v>
      </x:c>
      <x:c r="B1120" s="5" t="str">
        <x:v>D05-T01</x:v>
      </x:c>
      <x:c r="C1120" s="5" t="str">
        <x:v>A. Stage-Gate Capital Rationing &amp; Milestone Governance</x:v>
      </x:c>
      <x:c r="D1120" s="5" t="n">
        <x:v>156</x:v>
      </x:c>
      <x:c r="E1120" s="5" t="n">
        <x:v>3</x:v>
      </x:c>
      <x:c r="F1120" s="5" t="str">
        <x:v>Quantitative Exit Gate Criteria</x:v>
      </x:c>
      <x:c r="G1120" s="5" t="n">
        <x:v>1</x:v>
      </x:c>
      <x:c r="H1120" s="5" t="n">
        <x:v>1</x:v>
      </x:c>
      <x:c r="I1120" s="5" t="str">
        <x:v>Clean safety profile up to $3\times$ anticipated therapeutic dose; linear PK profile.</x:v>
      </x:c>
      <x:c r="J1120" s="5" t="str">
        <x:v>SOURCE QUOTE; unvalidated / superseded assessments</x:v>
      </x:c>
      <x:c r="L1120" s="31" t="str">
        <x:v>D05, Markdown line 156; http://nas-1.tail55d152.ts.net:4100/static/2S_PHARMA_THREE_PILLARS_OPERATIONAL_BLUEPRINT.html</x:v>
      </x:c>
    </x:row>
    <x:row r="1121" ht="42" customHeight="1">
      <x:c r="A1121" s="5" t="str">
        <x:v>D05</x:v>
      </x:c>
      <x:c r="B1121" s="5" t="str">
        <x:v>D05-T01</x:v>
      </x:c>
      <x:c r="C1121" s="5" t="str">
        <x:v>A. Stage-Gate Capital Rationing &amp; Milestone Governance</x:v>
      </x:c>
      <x:c r="D1121" s="5" t="n">
        <x:v>156</x:v>
      </x:c>
      <x:c r="E1121" s="5" t="n">
        <x:v>4</x:v>
      </x:c>
      <x:c r="F1121" s="5" t="str">
        <x:v>2S Capital Governance Control</x:v>
      </x:c>
      <x:c r="G1121" s="5" t="n">
        <x:v>1</x:v>
      </x:c>
      <x:c r="H1121" s="5" t="n">
        <x:v>1</x:v>
      </x:c>
      <x:c r="I1121" s="5" t="str">
        <x:v>Real-time adverse event tracking; site activation velocity monitoring.</x:v>
      </x:c>
      <x:c r="J1121" s="5" t="str">
        <x:v>SOURCE QUOTE; unvalidated / superseded assessments</x:v>
      </x:c>
      <x:c r="L1121" s="31" t="str">
        <x:v>D05, Markdown line 156; http://nas-1.tail55d152.ts.net:4100/static/2S_PHARMA_THREE_PILLARS_OPERATIONAL_BLUEPRINT.html</x:v>
      </x:c>
    </x:row>
    <x:row r="1122" ht="42" customHeight="1">
      <x:c r="A1122" s="5" t="str">
        <x:v>D05</x:v>
      </x:c>
      <x:c r="B1122" s="5" t="str">
        <x:v>D05-T01</x:v>
      </x:c>
      <x:c r="C1122" s="5" t="str">
        <x:v>A. Stage-Gate Capital Rationing &amp; Milestone Governance</x:v>
      </x:c>
      <x:c r="D1122" s="5" t="n">
        <x:v>157</x:v>
      </x:c>
      <x:c r="E1122" s="5" t="n">
        <x:v>1</x:v>
      </x:c>
      <x:c r="F1122" s="5" t="str">
        <x:v>Development Gate</x:v>
      </x:c>
      <x:c r="G1122" s="5" t="n">
        <x:v>1</x:v>
      </x:c>
      <x:c r="H1122" s="5" t="n">
        <x:v>1</x:v>
      </x:c>
      <x:c r="I1122" s="5" t="str">
        <x:v>Gate 4: Phase II Proof-of-Concept</x:v>
      </x:c>
      <x:c r="J1122" s="5" t="str">
        <x:v>SOURCE QUOTE; unvalidated / superseded assessments</x:v>
      </x:c>
      <x:c r="L1122" s="31" t="str">
        <x:v>D05, Markdown line 157; http://nas-1.tail55d152.ts.net:4100/static/2S_PHARMA_THREE_PILLARS_OPERATIONAL_BLUEPRINT.html</x:v>
      </x:c>
    </x:row>
    <x:row r="1123" ht="42" customHeight="1">
      <x:c r="A1123" s="5" t="str">
        <x:v>D05</x:v>
      </x:c>
      <x:c r="B1123" s="5" t="str">
        <x:v>D05-T01</x:v>
      </x:c>
      <x:c r="C1123" s="5" t="str">
        <x:v>A. Stage-Gate Capital Rationing &amp; Milestone Governance</x:v>
      </x:c>
      <x:c r="D1123" s="5" t="n">
        <x:v>157</x:v>
      </x:c>
      <x:c r="E1123" s="5" t="n">
        <x:v>2</x:v>
      </x:c>
      <x:c r="F1123" s="5" t="str">
        <x:v>Clinical &amp; CMC Milestone Trigger</x:v>
      </x:c>
      <x:c r="G1123" s="5" t="n">
        <x:v>1</x:v>
      </x:c>
      <x:c r="H1123" s="5" t="n">
        <x:v>1</x:v>
      </x:c>
      <x:c r="I1123" s="5" t="str">
        <x:v>Target engagement &amp; efficacy</x:v>
      </x:c>
      <x:c r="J1123" s="5" t="str">
        <x:v>SOURCE QUOTE; unvalidated / superseded assessments</x:v>
      </x:c>
      <x:c r="L1123" s="31" t="str">
        <x:v>D05, Markdown line 157; http://nas-1.tail55d152.ts.net:4100/static/2S_PHARMA_THREE_PILLARS_OPERATIONAL_BLUEPRINT.html</x:v>
      </x:c>
    </x:row>
    <x:row r="1124" ht="42" customHeight="1">
      <x:c r="A1124" s="5" t="str">
        <x:v>D05</x:v>
      </x:c>
      <x:c r="B1124" s="5" t="str">
        <x:v>D05-T01</x:v>
      </x:c>
      <x:c r="C1124" s="5" t="str">
        <x:v>A. Stage-Gate Capital Rationing &amp; Milestone Governance</x:v>
      </x:c>
      <x:c r="D1124" s="5" t="n">
        <x:v>157</x:v>
      </x:c>
      <x:c r="E1124" s="5" t="n">
        <x:v>3</x:v>
      </x:c>
      <x:c r="F1124" s="5" t="str">
        <x:v>Quantitative Exit Gate Criteria</x:v>
      </x:c>
      <x:c r="G1124" s="5" t="n">
        <x:v>1</x:v>
      </x:c>
      <x:c r="H1124" s="5" t="n">
        <x:v>1</x:v>
      </x:c>
      <x:c r="I1124" s="5" t="str">
        <x:v>Statistically significant biomarker response ($p &lt; 0.05$); acceptable therapeutic index.</x:v>
      </x:c>
      <x:c r="J1124" s="5" t="str">
        <x:v>SOURCE QUOTE; unvalidated / superseded assessments</x:v>
      </x:c>
      <x:c r="L1124" s="31" t="str">
        <x:v>D05, Markdown line 157; http://nas-1.tail55d152.ts.net:4100/static/2S_PHARMA_THREE_PILLARS_OPERATIONAL_BLUEPRINT.html</x:v>
      </x:c>
    </x:row>
    <x:row r="1125" ht="42" customHeight="1">
      <x:c r="A1125" s="5" t="str">
        <x:v>D05</x:v>
      </x:c>
      <x:c r="B1125" s="5" t="str">
        <x:v>D05-T01</x:v>
      </x:c>
      <x:c r="C1125" s="5" t="str">
        <x:v>A. Stage-Gate Capital Rationing &amp; Milestone Governance</x:v>
      </x:c>
      <x:c r="D1125" s="5" t="n">
        <x:v>157</x:v>
      </x:c>
      <x:c r="E1125" s="5" t="n">
        <x:v>4</x:v>
      </x:c>
      <x:c r="F1125" s="5" t="str">
        <x:v>2S Capital Governance Control</x:v>
      </x:c>
      <x:c r="G1125" s="5" t="n">
        <x:v>1</x:v>
      </x:c>
      <x:c r="H1125" s="5" t="n">
        <x:v>1</x:v>
      </x:c>
      <x:c r="I1125" s="5" t="str">
        <x:v>HCare360 NLP patient screening to accelerate recruitment in university clinics.</x:v>
      </x:c>
      <x:c r="J1125" s="5" t="str">
        <x:v>SOURCE QUOTE; unvalidated / superseded assessments</x:v>
      </x:c>
      <x:c r="L1125" s="31" t="str">
        <x:v>D05, Markdown line 157; http://nas-1.tail55d152.ts.net:4100/static/2S_PHARMA_THREE_PILLARS_OPERATIONAL_BLUEPRINT.html</x:v>
      </x:c>
    </x:row>
    <x:row r="1126" ht="42" customHeight="1">
      <x:c r="A1126" s="5" t="str">
        <x:v>D05</x:v>
      </x:c>
      <x:c r="B1126" s="5" t="str">
        <x:v>D05-T01</x:v>
      </x:c>
      <x:c r="C1126" s="5" t="str">
        <x:v>A. Stage-Gate Capital Rationing &amp; Milestone Governance</x:v>
      </x:c>
      <x:c r="D1126" s="5" t="n">
        <x:v>158</x:v>
      </x:c>
      <x:c r="E1126" s="5" t="n">
        <x:v>1</x:v>
      </x:c>
      <x:c r="F1126" s="5" t="str">
        <x:v>Development Gate</x:v>
      </x:c>
      <x:c r="G1126" s="5" t="n">
        <x:v>1</x:v>
      </x:c>
      <x:c r="H1126" s="5" t="n">
        <x:v>1</x:v>
      </x:c>
      <x:c r="I1126" s="5" t="str">
        <x:v>Gate 5: Phase III Registrational</x:v>
      </x:c>
      <x:c r="J1126" s="5" t="str">
        <x:v>SOURCE QUOTE; unvalidated / superseded assessments</x:v>
      </x:c>
      <x:c r="L1126" s="31" t="str">
        <x:v>D05, Markdown line 158; http://nas-1.tail55d152.ts.net:4100/static/2S_PHARMA_THREE_PILLARS_OPERATIONAL_BLUEPRINT.html</x:v>
      </x:c>
    </x:row>
    <x:row r="1127" ht="42" customHeight="1">
      <x:c r="A1127" s="5" t="str">
        <x:v>D05</x:v>
      </x:c>
      <x:c r="B1127" s="5" t="str">
        <x:v>D05-T01</x:v>
      </x:c>
      <x:c r="C1127" s="5" t="str">
        <x:v>A. Stage-Gate Capital Rationing &amp; Milestone Governance</x:v>
      </x:c>
      <x:c r="D1127" s="5" t="n">
        <x:v>158</x:v>
      </x:c>
      <x:c r="E1127" s="5" t="n">
        <x:v>2</x:v>
      </x:c>
      <x:c r="F1127" s="5" t="str">
        <x:v>Clinical &amp; CMC Milestone Trigger</x:v>
      </x:c>
      <x:c r="G1127" s="5" t="n">
        <x:v>1</x:v>
      </x:c>
      <x:c r="H1127" s="5" t="n">
        <x:v>1</x:v>
      </x:c>
      <x:c r="I1127" s="5" t="str">
        <x:v>Pivotal multi-center trial</x:v>
      </x:c>
      <x:c r="J1127" s="5" t="str">
        <x:v>SOURCE QUOTE; unvalidated / superseded assessments</x:v>
      </x:c>
      <x:c r="L1127" s="31" t="str">
        <x:v>D05, Markdown line 158; http://nas-1.tail55d152.ts.net:4100/static/2S_PHARMA_THREE_PILLARS_OPERATIONAL_BLUEPRINT.html</x:v>
      </x:c>
    </x:row>
    <x:row r="1128" ht="42" customHeight="1">
      <x:c r="A1128" s="5" t="str">
        <x:v>D05</x:v>
      </x:c>
      <x:c r="B1128" s="5" t="str">
        <x:v>D05-T01</x:v>
      </x:c>
      <x:c r="C1128" s="5" t="str">
        <x:v>A. Stage-Gate Capital Rationing &amp; Milestone Governance</x:v>
      </x:c>
      <x:c r="D1128" s="5" t="n">
        <x:v>158</x:v>
      </x:c>
      <x:c r="E1128" s="5" t="n">
        <x:v>3</x:v>
      </x:c>
      <x:c r="F1128" s="5" t="str">
        <x:v>Quantitative Exit Gate Criteria</x:v>
      </x:c>
      <x:c r="G1128" s="5" t="n">
        <x:v>1</x:v>
      </x:c>
      <x:c r="H1128" s="5" t="n">
        <x:v>1</x:v>
      </x:c>
      <x:c r="I1128" s="5" t="str">
        <x:v>Clinically meaningful primary endpoint vs standard of care; commercial CMC scale-up validated.</x:v>
      </x:c>
      <x:c r="J1128" s="5" t="str">
        <x:v>SOURCE QUOTE; unvalidated / superseded assessments</x:v>
      </x:c>
      <x:c r="L1128" s="31" t="str">
        <x:v>D05, Markdown line 158; http://nas-1.tail55d152.ts.net:4100/static/2S_PHARMA_THREE_PILLARS_OPERATIONAL_BLUEPRINT.html</x:v>
      </x:c>
    </x:row>
    <x:row r="1129" ht="42" customHeight="1">
      <x:c r="A1129" s="5" t="str">
        <x:v>D05</x:v>
      </x:c>
      <x:c r="B1129" s="5" t="str">
        <x:v>D05-T01</x:v>
      </x:c>
      <x:c r="C1129" s="5" t="str">
        <x:v>A. Stage-Gate Capital Rationing &amp; Milestone Governance</x:v>
      </x:c>
      <x:c r="D1129" s="5" t="n">
        <x:v>158</x:v>
      </x:c>
      <x:c r="E1129" s="5" t="n">
        <x:v>4</x:v>
      </x:c>
      <x:c r="F1129" s="5" t="str">
        <x:v>2S Capital Governance Control</x:v>
      </x:c>
      <x:c r="G1129" s="5" t="n">
        <x:v>1</x:v>
      </x:c>
      <x:c r="H1129" s="5" t="n">
        <x:v>1</x:v>
      </x:c>
      <x:c r="I1129" s="5" t="str">
        <x:v>Multi-currency investigator grant touchless accounting; commercial market access simulation.</x:v>
      </x:c>
      <x:c r="J1129" s="5" t="str">
        <x:v>SOURCE QUOTE; unvalidated / superseded assessments</x:v>
      </x:c>
      <x:c r="L1129" s="31" t="str">
        <x:v>D05, Markdown line 158; http://nas-1.tail55d152.ts.net:4100/static/2S_PHARMA_THREE_PILLARS_OPERATIONAL_BLUEPRINT.html</x:v>
      </x:c>
    </x:row>
    <x:row r="1130" ht="42" customHeight="1">
      <x:c r="A1130" s="5" t="str">
        <x:v>D05</x:v>
      </x:c>
      <x:c r="B1130" s="5" t="str">
        <x:v>D05-T02</x:v>
      </x:c>
      <x:c r="C1130" s="5" t="str">
        <x:v>5. Comparative Capability Matrix &amp; Enterprise Alignment</x:v>
      </x:c>
      <x:c r="D1130" s="5" t="n">
        <x:v>277</x:v>
      </x:c>
      <x:c r="E1130" s="5" t="n">
        <x:v>1</x:v>
      </x:c>
      <x:c r="F1130" s="5" t="str">
        <x:v>Operational Dimension</x:v>
      </x:c>
      <x:c r="G1130" s="5" t="n">
        <x:v>1</x:v>
      </x:c>
      <x:c r="H1130" s="5" t="n">
        <x:v>1</x:v>
      </x:c>
      <x:c r="I1130" s="5" t="str">
        <x:v>Commercial Visibility (Pillar 1)</x:v>
      </x:c>
      <x:c r="J1130" s="5" t="str">
        <x:v>SOURCE QUOTE; unvalidated / superseded assessments</x:v>
      </x:c>
      <x:c r="L1130" s="31" t="str">
        <x:v>D05, Markdown line 277; http://nas-1.tail55d152.ts.net:4100/static/2S_PHARMA_THREE_PILLARS_OPERATIONAL_BLUEPRINT.html</x:v>
      </x:c>
    </x:row>
    <x:row r="1131" ht="42" customHeight="1">
      <x:c r="A1131" s="5" t="str">
        <x:v>D05</x:v>
      </x:c>
      <x:c r="B1131" s="5" t="str">
        <x:v>D05-T02</x:v>
      </x:c>
      <x:c r="C1131" s="5" t="str">
        <x:v>5. Comparative Capability Matrix &amp; Enterprise Alignment</x:v>
      </x:c>
      <x:c r="D1131" s="5" t="n">
        <x:v>277</x:v>
      </x:c>
      <x:c r="E1131" s="5" t="n">
        <x:v>2</x:v>
      </x:c>
      <x:c r="F1131" s="5" t="str">
        <x:v>Status Quo / Legacy Practice</x:v>
      </x:c>
      <x:c r="G1131" s="5" t="n">
        <x:v>1</x:v>
      </x:c>
      <x:c r="H1131" s="5" t="n">
        <x:v>1</x:v>
      </x:c>
      <x:c r="I1131" s="5" t="str">
        <x:v>Disconnected ERP billing, monthly wholesaler CSV spreadsheets, fragmented field CRM notes.</x:v>
      </x:c>
      <x:c r="J1131" s="5" t="str">
        <x:v>SOURCE QUOTE; unvalidated / superseded assessments</x:v>
      </x:c>
      <x:c r="L1131" s="31" t="str">
        <x:v>D05, Markdown line 277; http://nas-1.tail55d152.ts.net:4100/static/2S_PHARMA_THREE_PILLARS_OPERATIONAL_BLUEPRINT.html</x:v>
      </x:c>
    </x:row>
    <x:row r="1132" ht="42" customHeight="1">
      <x:c r="A1132" s="5" t="str">
        <x:v>D05</x:v>
      </x:c>
      <x:c r="B1132" s="5" t="str">
        <x:v>D05-T02</x:v>
      </x:c>
      <x:c r="C1132" s="5" t="str">
        <x:v>5. Comparative Capability Matrix &amp; Enterprise Alignment</x:v>
      </x:c>
      <x:c r="D1132" s="5" t="n">
        <x:v>277</x:v>
      </x:c>
      <x:c r="E1132" s="5" t="n">
        <x:v>3</x:v>
      </x:c>
      <x:c r="F1132" s="5" t="str">
        <x:v>2S Consulting &amp; Numantra Pillar Solution</x:v>
      </x:c>
      <x:c r="G1132" s="5" t="n">
        <x:v>1</x:v>
      </x:c>
      <x:c r="H1132" s="5" t="n">
        <x:v>1</x:v>
      </x:c>
      <x:c r="I1132" s="5" t="str">
        <x:v>Unified Commercial S&amp;OP Portal: Automated real-time harmonization of SAP/Oracle, Tamro/Oriola feeds, and Veeva CRM.</x:v>
      </x:c>
      <x:c r="J1132" s="5" t="str">
        <x:v>SOURCE QUOTE; unvalidated / superseded assessments</x:v>
      </x:c>
      <x:c r="L1132" s="31" t="str">
        <x:v>D05, Markdown line 277; http://nas-1.tail55d152.ts.net:4100/static/2S_PHARMA_THREE_PILLARS_OPERATIONAL_BLUEPRINT.html</x:v>
      </x:c>
    </x:row>
    <x:row r="1133" ht="42" customHeight="1">
      <x:c r="A1133" s="5" t="str">
        <x:v>D05</x:v>
      </x:c>
      <x:c r="B1133" s="5" t="str">
        <x:v>D05-T02</x:v>
      </x:c>
      <x:c r="C1133" s="5" t="str">
        <x:v>5. Comparative Capability Matrix &amp; Enterprise Alignment</x:v>
      </x:c>
      <x:c r="D1133" s="5" t="n">
        <x:v>277</x:v>
      </x:c>
      <x:c r="E1133" s="5" t="n">
        <x:v>4</x:v>
      </x:c>
      <x:c r="F1133" s="5" t="str">
        <x:v>Quantified Business Impact</x:v>
      </x:c>
      <x:c r="G1133" s="5" t="n">
        <x:v>1</x:v>
      </x:c>
      <x:c r="H1133" s="5" t="n">
        <x:v>1</x:v>
      </x:c>
      <x:c r="I1133" s="5" t="str">
        <x:v>Eliminates 8–18% tender margin leakage; cuts wholesaler buffer stockouts to zero.</x:v>
      </x:c>
      <x:c r="J1133" s="5" t="str">
        <x:v>SOURCE QUOTE; unvalidated / superseded assessments</x:v>
      </x:c>
      <x:c r="L1133" s="31" t="str">
        <x:v>D05, Markdown line 277; http://nas-1.tail55d152.ts.net:4100/static/2S_PHARMA_THREE_PILLARS_OPERATIONAL_BLUEPRINT.html</x:v>
      </x:c>
    </x:row>
    <x:row r="1134" ht="42" customHeight="1">
      <x:c r="A1134" s="5" t="str">
        <x:v>D05</x:v>
      </x:c>
      <x:c r="B1134" s="5" t="str">
        <x:v>D05-T02</x:v>
      </x:c>
      <x:c r="C1134" s="5" t="str">
        <x:v>5. Comparative Capability Matrix &amp; Enterprise Alignment</x:v>
      </x:c>
      <x:c r="D1134" s="5" t="n">
        <x:v>278</x:v>
      </x:c>
      <x:c r="E1134" s="5" t="n">
        <x:v>1</x:v>
      </x:c>
      <x:c r="F1134" s="5" t="str">
        <x:v>Operational Dimension</x:v>
      </x:c>
      <x:c r="G1134" s="5" t="n">
        <x:v>1</x:v>
      </x:c>
      <x:c r="H1134" s="5" t="n">
        <x:v>1</x:v>
      </x:c>
      <x:c r="I1134" s="5" t="str">
        <x:v>Tender Margin Governance (Pillar 1)</x:v>
      </x:c>
      <x:c r="J1134" s="5" t="str">
        <x:v>SOURCE QUOTE; unvalidated / superseded assessments</x:v>
      </x:c>
      <x:c r="L1134" s="31" t="str">
        <x:v>D05, Markdown line 278; http://nas-1.tail55d152.ts.net:4100/static/2S_PHARMA_THREE_PILLARS_OPERATIONAL_BLUEPRINT.html</x:v>
      </x:c>
    </x:row>
    <x:row r="1135" ht="42" customHeight="1">
      <x:c r="A1135" s="5" t="str">
        <x:v>D05</x:v>
      </x:c>
      <x:c r="B1135" s="5" t="str">
        <x:v>D05-T02</x:v>
      </x:c>
      <x:c r="C1135" s="5" t="str">
        <x:v>5. Comparative Capability Matrix &amp; Enterprise Alignment</x:v>
      </x:c>
      <x:c r="D1135" s="5" t="n">
        <x:v>278</x:v>
      </x:c>
      <x:c r="E1135" s="5" t="n">
        <x:v>2</x:v>
      </x:c>
      <x:c r="F1135" s="5" t="str">
        <x:v>Status Quo / Legacy Practice</x:v>
      </x:c>
      <x:c r="G1135" s="5" t="n">
        <x:v>1</x:v>
      </x:c>
      <x:c r="H1135" s="5" t="n">
        <x:v>1</x:v>
      </x:c>
      <x:c r="I1135" s="5" t="str">
        <x:v>Manual spreadsheet bidding with static discounts; unmodeled stockout penalty liabilities.</x:v>
      </x:c>
      <x:c r="J1135" s="5" t="str">
        <x:v>SOURCE QUOTE; unvalidated / superseded assessments</x:v>
      </x:c>
      <x:c r="L1135" s="31" t="str">
        <x:v>D05, Markdown line 278; http://nas-1.tail55d152.ts.net:4100/static/2S_PHARMA_THREE_PILLARS_OPERATIONAL_BLUEPRINT.html</x:v>
      </x:c>
    </x:row>
    <x:row r="1136" ht="42" customHeight="1">
      <x:c r="A1136" s="5" t="str">
        <x:v>D05</x:v>
      </x:c>
      <x:c r="B1136" s="5" t="str">
        <x:v>D05-T02</x:v>
      </x:c>
      <x:c r="C1136" s="5" t="str">
        <x:v>5. Comparative Capability Matrix &amp; Enterprise Alignment</x:v>
      </x:c>
      <x:c r="D1136" s="5" t="n">
        <x:v>278</x:v>
      </x:c>
      <x:c r="E1136" s="5" t="n">
        <x:v>3</x:v>
      </x:c>
      <x:c r="F1136" s="5" t="str">
        <x:v>2S Consulting &amp; Numantra Pillar Solution</x:v>
      </x:c>
      <x:c r="G1136" s="5" t="n">
        <x:v>1</x:v>
      </x:c>
      <x:c r="H1136" s="5" t="n">
        <x:v>1</x:v>
      </x:c>
      <x:c r="I1136" s="5" t="str">
        <x:v>Dynamic Gross-to-Net Tender Simulator: Monte Carlo modeling of rebates, logistics fees, and penalty risks.</x:v>
      </x:c>
      <x:c r="J1136" s="5" t="str">
        <x:v>SOURCE QUOTE; unvalidated / superseded assessments</x:v>
      </x:c>
      <x:c r="L1136" s="31" t="str">
        <x:v>D05, Markdown line 278; http://nas-1.tail55d152.ts.net:4100/static/2S_PHARMA_THREE_PILLARS_OPERATIONAL_BLUEPRINT.html</x:v>
      </x:c>
    </x:row>
    <x:row r="1137" ht="42" customHeight="1">
      <x:c r="A1137" s="5" t="str">
        <x:v>D05</x:v>
      </x:c>
      <x:c r="B1137" s="5" t="str">
        <x:v>D05-T02</x:v>
      </x:c>
      <x:c r="C1137" s="5" t="str">
        <x:v>5. Comparative Capability Matrix &amp; Enterprise Alignment</x:v>
      </x:c>
      <x:c r="D1137" s="5" t="n">
        <x:v>278</x:v>
      </x:c>
      <x:c r="E1137" s="5" t="n">
        <x:v>4</x:v>
      </x:c>
      <x:c r="F1137" s="5" t="str">
        <x:v>Quantified Business Impact</x:v>
      </x:c>
      <x:c r="G1137" s="5" t="n">
        <x:v>1</x:v>
      </x:c>
      <x:c r="H1137" s="5" t="n">
        <x:v>1</x:v>
      </x:c>
      <x:c r="I1137" s="5" t="str">
        <x:v>Protects 5–12% net margin per hospital tender; prevents multi-million kronor breach penalties.</x:v>
      </x:c>
      <x:c r="J1137" s="5" t="str">
        <x:v>SOURCE QUOTE; unvalidated / superseded assessments</x:v>
      </x:c>
      <x:c r="L1137" s="31" t="str">
        <x:v>D05, Markdown line 278; http://nas-1.tail55d152.ts.net:4100/static/2S_PHARMA_THREE_PILLARS_OPERATIONAL_BLUEPRINT.html</x:v>
      </x:c>
    </x:row>
    <x:row r="1138" ht="42" customHeight="1">
      <x:c r="A1138" s="5" t="str">
        <x:v>D05</x:v>
      </x:c>
      <x:c r="B1138" s="5" t="str">
        <x:v>D05-T02</x:v>
      </x:c>
      <x:c r="C1138" s="5" t="str">
        <x:v>5. Comparative Capability Matrix &amp; Enterprise Alignment</x:v>
      </x:c>
      <x:c r="D1138" s="5" t="n">
        <x:v>279</x:v>
      </x:c>
      <x:c r="E1138" s="5" t="n">
        <x:v>1</x:v>
      </x:c>
      <x:c r="F1138" s="5" t="str">
        <x:v>Operational Dimension</x:v>
      </x:c>
      <x:c r="G1138" s="5" t="n">
        <x:v>1</x:v>
      </x:c>
      <x:c r="H1138" s="5" t="n">
        <x:v>1</x:v>
      </x:c>
      <x:c r="I1138" s="5" t="str">
        <x:v>Clinical R&amp;D Governance (Pillar 2)</x:v>
      </x:c>
      <x:c r="J1138" s="5" t="str">
        <x:v>SOURCE QUOTE; unvalidated / superseded assessments</x:v>
      </x:c>
      <x:c r="L1138" s="31" t="str">
        <x:v>D05, Markdown line 279; http://nas-1.tail55d152.ts.net:4100/static/2S_PHARMA_THREE_PILLARS_OPERATIONAL_BLUEPRINT.html</x:v>
      </x:c>
    </x:row>
    <x:row r="1139" ht="42" customHeight="1">
      <x:c r="A1139" s="5" t="str">
        <x:v>D05</x:v>
      </x:c>
      <x:c r="B1139" s="5" t="str">
        <x:v>D05-T02</x:v>
      </x:c>
      <x:c r="C1139" s="5" t="str">
        <x:v>5. Comparative Capability Matrix &amp; Enterprise Alignment</x:v>
      </x:c>
      <x:c r="D1139" s="5" t="n">
        <x:v>279</x:v>
      </x:c>
      <x:c r="E1139" s="5" t="n">
        <x:v>2</x:v>
      </x:c>
      <x:c r="F1139" s="5" t="str">
        <x:v>Status Quo / Legacy Practice</x:v>
      </x:c>
      <x:c r="G1139" s="5" t="n">
        <x:v>1</x:v>
      </x:c>
      <x:c r="H1139" s="5" t="n">
        <x:v>1</x:v>
      </x:c>
      <x:c r="I1139" s="5" t="str">
        <x:v>Static milestone Gantt charts; retrospective monthly accounting; clinical delays discovered late.</x:v>
      </x:c>
      <x:c r="J1139" s="5" t="str">
        <x:v>SOURCE QUOTE; unvalidated / superseded assessments</x:v>
      </x:c>
      <x:c r="L1139" s="31" t="str">
        <x:v>D05, Markdown line 279; http://nas-1.tail55d152.ts.net:4100/static/2S_PHARMA_THREE_PILLARS_OPERATIONAL_BLUEPRINT.html</x:v>
      </x:c>
    </x:row>
    <x:row r="1140" ht="42" customHeight="1">
      <x:c r="A1140" s="5" t="str">
        <x:v>D05</x:v>
      </x:c>
      <x:c r="B1140" s="5" t="str">
        <x:v>D05-T02</x:v>
      </x:c>
      <x:c r="C1140" s="5" t="str">
        <x:v>5. Comparative Capability Matrix &amp; Enterprise Alignment</x:v>
      </x:c>
      <x:c r="D1140" s="5" t="n">
        <x:v>279</x:v>
      </x:c>
      <x:c r="E1140" s="5" t="n">
        <x:v>3</x:v>
      </x:c>
      <x:c r="F1140" s="5" t="str">
        <x:v>2S Consulting &amp; Numantra Pillar Solution</x:v>
      </x:c>
      <x:c r="G1140" s="5" t="n">
        <x:v>1</x:v>
      </x:c>
      <x:c r="H1140" s="5" t="n">
        <x:v>1</x:v>
      </x:c>
      <x:c r="I1140" s="5" t="str">
        <x:v>NCE Milestone &amp; Daily Burn Cockpit: Real-time burn simulator (€25k/day) and capital allocation stage-gates.</x:v>
      </x:c>
      <x:c r="J1140" s="5" t="str">
        <x:v>SOURCE QUOTE; unvalidated / superseded assessments</x:v>
      </x:c>
      <x:c r="L1140" s="31" t="str">
        <x:v>D05, Markdown line 279; http://nas-1.tail55d152.ts.net:4100/static/2S_PHARMA_THREE_PILLARS_OPERATIONAL_BLUEPRINT.html</x:v>
      </x:c>
    </x:row>
    <x:row r="1141" ht="42" customHeight="1">
      <x:c r="A1141" s="5" t="str">
        <x:v>D05</x:v>
      </x:c>
      <x:c r="B1141" s="5" t="str">
        <x:v>D05-T02</x:v>
      </x:c>
      <x:c r="C1141" s="5" t="str">
        <x:v>5. Comparative Capability Matrix &amp; Enterprise Alignment</x:v>
      </x:c>
      <x:c r="D1141" s="5" t="n">
        <x:v>279</x:v>
      </x:c>
      <x:c r="E1141" s="5" t="n">
        <x:v>4</x:v>
      </x:c>
      <x:c r="F1141" s="5" t="str">
        <x:v>Quantified Business Impact</x:v>
      </x:c>
      <x:c r="G1141" s="5" t="n">
        <x:v>1</x:v>
      </x:c>
      <x:c r="H1141" s="5" t="n">
        <x:v>1</x:v>
      </x:c>
      <x:c r="I1141" s="5" t="str">
        <x:v>Prevents unplanned cash depletion; provides board-level transparency for financing rounds.</x:v>
      </x:c>
      <x:c r="J1141" s="5" t="str">
        <x:v>SOURCE QUOTE; unvalidated / superseded assessments</x:v>
      </x:c>
      <x:c r="L1141" s="31" t="str">
        <x:v>D05, Markdown line 279; http://nas-1.tail55d152.ts.net:4100/static/2S_PHARMA_THREE_PILLARS_OPERATIONAL_BLUEPRINT.html</x:v>
      </x:c>
    </x:row>
    <x:row r="1142" ht="42" customHeight="1">
      <x:c r="A1142" s="5" t="str">
        <x:v>D05</x:v>
      </x:c>
      <x:c r="B1142" s="5" t="str">
        <x:v>D05-T02</x:v>
      </x:c>
      <x:c r="C1142" s="5" t="str">
        <x:v>5. Comparative Capability Matrix &amp; Enterprise Alignment</x:v>
      </x:c>
      <x:c r="D1142" s="5" t="n">
        <x:v>280</x:v>
      </x:c>
      <x:c r="E1142" s="5" t="n">
        <x:v>1</x:v>
      </x:c>
      <x:c r="F1142" s="5" t="str">
        <x:v>Operational Dimension</x:v>
      </x:c>
      <x:c r="G1142" s="5" t="n">
        <x:v>1</x:v>
      </x:c>
      <x:c r="H1142" s="5" t="n">
        <x:v>1</x:v>
      </x:c>
      <x:c r="I1142" s="5" t="str">
        <x:v>Patient Cohort Screening (Pillar 2)</x:v>
      </x:c>
      <x:c r="J1142" s="5" t="str">
        <x:v>SOURCE QUOTE; unvalidated / superseded assessments</x:v>
      </x:c>
      <x:c r="L1142" s="31" t="str">
        <x:v>D05, Markdown line 280; http://nas-1.tail55d152.ts.net:4100/static/2S_PHARMA_THREE_PILLARS_OPERATIONAL_BLUEPRINT.html</x:v>
      </x:c>
    </x:row>
    <x:row r="1143" ht="42" customHeight="1">
      <x:c r="A1143" s="5" t="str">
        <x:v>D05</x:v>
      </x:c>
      <x:c r="B1143" s="5" t="str">
        <x:v>D05-T02</x:v>
      </x:c>
      <x:c r="C1143" s="5" t="str">
        <x:v>5. Comparative Capability Matrix &amp; Enterprise Alignment</x:v>
      </x:c>
      <x:c r="D1143" s="5" t="n">
        <x:v>280</x:v>
      </x:c>
      <x:c r="E1143" s="5" t="n">
        <x:v>2</x:v>
      </x:c>
      <x:c r="F1143" s="5" t="str">
        <x:v>Status Quo / Legacy Practice</x:v>
      </x:c>
      <x:c r="G1143" s="5" t="n">
        <x:v>1</x:v>
      </x:c>
      <x:c r="H1143" s="5" t="n">
        <x:v>1</x:v>
      </x:c>
      <x:c r="I1143" s="5" t="str">
        <x:v>Manual physician chart reviews; broad advertising; 80% of trials miss enrollment targets.</x:v>
      </x:c>
      <x:c r="J1143" s="5" t="str">
        <x:v>SOURCE QUOTE; unvalidated / superseded assessments</x:v>
      </x:c>
      <x:c r="L1143" s="31" t="str">
        <x:v>D05, Markdown line 280; http://nas-1.tail55d152.ts.net:4100/static/2S_PHARMA_THREE_PILLARS_OPERATIONAL_BLUEPRINT.html</x:v>
      </x:c>
    </x:row>
    <x:row r="1144" ht="42" customHeight="1">
      <x:c r="A1144" s="5" t="str">
        <x:v>D05</x:v>
      </x:c>
      <x:c r="B1144" s="5" t="str">
        <x:v>D05-T02</x:v>
      </x:c>
      <x:c r="C1144" s="5" t="str">
        <x:v>5. Comparative Capability Matrix &amp; Enterprise Alignment</x:v>
      </x:c>
      <x:c r="D1144" s="5" t="n">
        <x:v>280</x:v>
      </x:c>
      <x:c r="E1144" s="5" t="n">
        <x:v>3</x:v>
      </x:c>
      <x:c r="F1144" s="5" t="str">
        <x:v>2S Consulting &amp; Numantra Pillar Solution</x:v>
      </x:c>
      <x:c r="G1144" s="5" t="n">
        <x:v>1</x:v>
      </x:c>
      <x:c r="H1144" s="5" t="n">
        <x:v>1</x:v>
      </x:c>
      <x:c r="I1144" s="5" t="str">
        <x:v>HCare360 NLP Patient Screening Engine: Ingests unstructured hospital EHRs/pathology to identify rare-disease cohorts.</x:v>
      </x:c>
      <x:c r="J1144" s="5" t="str">
        <x:v>SOURCE QUOTE; unvalidated / superseded assessments</x:v>
      </x:c>
      <x:c r="L1144" s="31" t="str">
        <x:v>D05, Markdown line 280; http://nas-1.tail55d152.ts.net:4100/static/2S_PHARMA_THREE_PILLARS_OPERATIONAL_BLUEPRINT.html</x:v>
      </x:c>
    </x:row>
    <x:row r="1145" ht="42" customHeight="1">
      <x:c r="A1145" s="5" t="str">
        <x:v>D05</x:v>
      </x:c>
      <x:c r="B1145" s="5" t="str">
        <x:v>D05-T02</x:v>
      </x:c>
      <x:c r="C1145" s="5" t="str">
        <x:v>5. Comparative Capability Matrix &amp; Enterprise Alignment</x:v>
      </x:c>
      <x:c r="D1145" s="5" t="n">
        <x:v>280</x:v>
      </x:c>
      <x:c r="E1145" s="5" t="n">
        <x:v>4</x:v>
      </x:c>
      <x:c r="F1145" s="5" t="str">
        <x:v>Quantified Business Impact</x:v>
      </x:c>
      <x:c r="G1145" s="5" t="n">
        <x:v>1</x:v>
      </x:c>
      <x:c r="H1145" s="5" t="n">
        <x:v>1</x:v>
      </x:c>
      <x:c r="I1145" s="5" t="str">
        <x:v>Shortens clinical trial enrollment timelines by 30% to 50%; saves €1.5M–€4.5M in trial burn.</x:v>
      </x:c>
      <x:c r="J1145" s="5" t="str">
        <x:v>SOURCE QUOTE; unvalidated / superseded assessments</x:v>
      </x:c>
      <x:c r="L1145" s="31" t="str">
        <x:v>D05, Markdown line 280; http://nas-1.tail55d152.ts.net:4100/static/2S_PHARMA_THREE_PILLARS_OPERATIONAL_BLUEPRINT.html</x:v>
      </x:c>
    </x:row>
    <x:row r="1146" ht="42" customHeight="1">
      <x:c r="A1146" s="5" t="str">
        <x:v>D05</x:v>
      </x:c>
      <x:c r="B1146" s="5" t="str">
        <x:v>D05-T02</x:v>
      </x:c>
      <x:c r="C1146" s="5" t="str">
        <x:v>5. Comparative Capability Matrix &amp; Enterprise Alignment</x:v>
      </x:c>
      <x:c r="D1146" s="5" t="n">
        <x:v>281</x:v>
      </x:c>
      <x:c r="E1146" s="5" t="n">
        <x:v>1</x:v>
      </x:c>
      <x:c r="F1146" s="5" t="str">
        <x:v>Operational Dimension</x:v>
      </x:c>
      <x:c r="G1146" s="5" t="n">
        <x:v>1</x:v>
      </x:c>
      <x:c r="H1146" s="5" t="n">
        <x:v>1</x:v>
      </x:c>
      <x:c r="I1146" s="5" t="str">
        <x:v>Chemical Synthesis Costing (Pillar 3)</x:v>
      </x:c>
      <x:c r="J1146" s="5" t="str">
        <x:v>SOURCE QUOTE; unvalidated / superseded assessments</x:v>
      </x:c>
      <x:c r="L1146" s="31" t="str">
        <x:v>D05, Markdown line 281; http://nas-1.tail55d152.ts.net:4100/static/2S_PHARMA_THREE_PILLARS_OPERATIONAL_BLUEPRINT.html</x:v>
      </x:c>
    </x:row>
    <x:row r="1147" ht="42" customHeight="1">
      <x:c r="A1147" s="5" t="str">
        <x:v>D05</x:v>
      </x:c>
      <x:c r="B1147" s="5" t="str">
        <x:v>D05-T02</x:v>
      </x:c>
      <x:c r="C1147" s="5" t="str">
        <x:v>5. Comparative Capability Matrix &amp; Enterprise Alignment</x:v>
      </x:c>
      <x:c r="D1147" s="5" t="n">
        <x:v>281</x:v>
      </x:c>
      <x:c r="E1147" s="5" t="n">
        <x:v>2</x:v>
      </x:c>
      <x:c r="F1147" s="5" t="str">
        <x:v>Status Quo / Legacy Practice</x:v>
      </x:c>
      <x:c r="G1147" s="5" t="n">
        <x:v>1</x:v>
      </x:c>
      <x:c r="H1147" s="5" t="n">
        <x:v>1</x:v>
      </x:c>
      <x:c r="I1147" s="5" t="str">
        <x:v>Traditional absorption costing using generic labor/machine hours; distorted product margins.</x:v>
      </x:c>
      <x:c r="J1147" s="5" t="str">
        <x:v>SOURCE QUOTE; unvalidated / superseded assessments</x:v>
      </x:c>
      <x:c r="L1147" s="31" t="str">
        <x:v>D05, Markdown line 281; http://nas-1.tail55d152.ts.net:4100/static/2S_PHARMA_THREE_PILLARS_OPERATIONAL_BLUEPRINT.html</x:v>
      </x:c>
    </x:row>
    <x:row r="1148" ht="42" customHeight="1">
      <x:c r="A1148" s="5" t="str">
        <x:v>D05</x:v>
      </x:c>
      <x:c r="B1148" s="5" t="str">
        <x:v>D05-T02</x:v>
      </x:c>
      <x:c r="C1148" s="5" t="str">
        <x:v>5. Comparative Capability Matrix &amp; Enterprise Alignment</x:v>
      </x:c>
      <x:c r="D1148" s="5" t="n">
        <x:v>281</x:v>
      </x:c>
      <x:c r="E1148" s="5" t="n">
        <x:v>3</x:v>
      </x:c>
      <x:c r="F1148" s="5" t="str">
        <x:v>2S Consulting &amp; Numantra Pillar Solution</x:v>
      </x:c>
      <x:c r="G1148" s="5" t="n">
        <x:v>1</x:v>
      </x:c>
      <x:c r="H1148" s="5" t="n">
        <x:v>1</x:v>
      </x:c>
      <x:c r="I1148" s="5" t="str">
        <x:v>Activity-Based True Batch Costing: Direct allocation of reactor time, solvent recovery, hazardous waste, and CIP.</x:v>
      </x:c>
      <x:c r="J1148" s="5" t="str">
        <x:v>SOURCE QUOTE; unvalidated / superseded assessments</x:v>
      </x:c>
      <x:c r="L1148" s="31" t="str">
        <x:v>D05, Markdown line 281; http://nas-1.tail55d152.ts.net:4100/static/2S_PHARMA_THREE_PILLARS_OPERATIONAL_BLUEPRINT.html</x:v>
      </x:c>
    </x:row>
    <x:row r="1149" ht="42" customHeight="1">
      <x:c r="A1149" s="5" t="str">
        <x:v>D05</x:v>
      </x:c>
      <x:c r="B1149" s="5" t="str">
        <x:v>D05-T02</x:v>
      </x:c>
      <x:c r="C1149" s="5" t="str">
        <x:v>5. Comparative Capability Matrix &amp; Enterprise Alignment</x:v>
      </x:c>
      <x:c r="D1149" s="5" t="n">
        <x:v>281</x:v>
      </x:c>
      <x:c r="E1149" s="5" t="n">
        <x:v>4</x:v>
      </x:c>
      <x:c r="F1149" s="5" t="str">
        <x:v>Quantified Business Impact</x:v>
      </x:c>
      <x:c r="G1149" s="5" t="n">
        <x:v>1</x:v>
      </x:c>
      <x:c r="H1149" s="5" t="n">
        <x:v>1</x:v>
      </x:c>
      <x:c r="I1149" s="5" t="str">
        <x:v>Surfaces hidden negative-margin products; enables surgical price renegotiation.</x:v>
      </x:c>
      <x:c r="J1149" s="5" t="str">
        <x:v>SOURCE QUOTE; unvalidated / superseded assessments</x:v>
      </x:c>
      <x:c r="L1149" s="31" t="str">
        <x:v>D05, Markdown line 281; http://nas-1.tail55d152.ts.net:4100/static/2S_PHARMA_THREE_PILLARS_OPERATIONAL_BLUEPRINT.html</x:v>
      </x:c>
    </x:row>
    <x:row r="1150" ht="42" customHeight="1">
      <x:c r="A1150" s="5" t="str">
        <x:v>D05</x:v>
      </x:c>
      <x:c r="B1150" s="5" t="str">
        <x:v>D05-T02</x:v>
      </x:c>
      <x:c r="C1150" s="5" t="str">
        <x:v>5. Comparative Capability Matrix &amp; Enterprise Alignment</x:v>
      </x:c>
      <x:c r="D1150" s="5" t="n">
        <x:v>282</x:v>
      </x:c>
      <x:c r="E1150" s="5" t="n">
        <x:v>1</x:v>
      </x:c>
      <x:c r="F1150" s="5" t="str">
        <x:v>Operational Dimension</x:v>
      </x:c>
      <x:c r="G1150" s="5" t="n">
        <x:v>1</x:v>
      </x:c>
      <x:c r="H1150" s="5" t="n">
        <x:v>1</x:v>
      </x:c>
      <x:c r="I1150" s="5" t="str">
        <x:v>Reactor Capacity &amp; Scheduling (Pillar 3)</x:v>
      </x:c>
      <x:c r="J1150" s="5" t="str">
        <x:v>SOURCE QUOTE; unvalidated / superseded assessments</x:v>
      </x:c>
      <x:c r="L1150" s="31" t="str">
        <x:v>D05, Markdown line 282; http://nas-1.tail55d152.ts.net:4100/static/2S_PHARMA_THREE_PILLARS_OPERATIONAL_BLUEPRINT.html</x:v>
      </x:c>
    </x:row>
    <x:row r="1151" ht="42" customHeight="1">
      <x:c r="A1151" s="5" t="str">
        <x:v>D05</x:v>
      </x:c>
      <x:c r="B1151" s="5" t="str">
        <x:v>D05-T02</x:v>
      </x:c>
      <x:c r="C1151" s="5" t="str">
        <x:v>5. Comparative Capability Matrix &amp; Enterprise Alignment</x:v>
      </x:c>
      <x:c r="D1151" s="5" t="n">
        <x:v>282</x:v>
      </x:c>
      <x:c r="E1151" s="5" t="n">
        <x:v>2</x:v>
      </x:c>
      <x:c r="F1151" s="5" t="str">
        <x:v>Status Quo / Legacy Practice</x:v>
      </x:c>
      <x:c r="G1151" s="5" t="n">
        <x:v>1</x:v>
      </x:c>
      <x:c r="H1151" s="5" t="n">
        <x:v>1</x:v>
      </x:c>
      <x:c r="I1151" s="5" t="str">
        <x:v>4–5 day cleanroom sanitization changeovers; multi-product reactor bottlenecks.</x:v>
      </x:c>
      <x:c r="J1151" s="5" t="str">
        <x:v>SOURCE QUOTE; unvalidated / superseded assessments</x:v>
      </x:c>
      <x:c r="L1151" s="31" t="str">
        <x:v>D05, Markdown line 282; http://nas-1.tail55d152.ts.net:4100/static/2S_PHARMA_THREE_PILLARS_OPERATIONAL_BLUEPRINT.html</x:v>
      </x:c>
    </x:row>
    <x:row r="1152" ht="42" customHeight="1">
      <x:c r="A1152" s="5" t="str">
        <x:v>D05</x:v>
      </x:c>
      <x:c r="B1152" s="5" t="str">
        <x:v>D05-T02</x:v>
      </x:c>
      <x:c r="C1152" s="5" t="str">
        <x:v>5. Comparative Capability Matrix &amp; Enterprise Alignment</x:v>
      </x:c>
      <x:c r="D1152" s="5" t="n">
        <x:v>282</x:v>
      </x:c>
      <x:c r="E1152" s="5" t="n">
        <x:v>3</x:v>
      </x:c>
      <x:c r="F1152" s="5" t="str">
        <x:v>2S Consulting &amp; Numantra Pillar Solution</x:v>
      </x:c>
      <x:c r="G1152" s="5" t="n">
        <x:v>1</x:v>
      </x:c>
      <x:c r="H1152" s="5" t="n">
        <x:v>1</x:v>
      </x:c>
      <x:c r="I1152" s="5" t="str">
        <x:v>Cleanroom Sanitization Cycle Compression: Unimark/Matix turnaround playbook standardizing CIP/SIP.</x:v>
      </x:c>
      <x:c r="J1152" s="5" t="str">
        <x:v>SOURCE QUOTE; unvalidated / superseded assessments</x:v>
      </x:c>
      <x:c r="L1152" s="31" t="str">
        <x:v>D05, Markdown line 282; http://nas-1.tail55d152.ts.net:4100/static/2S_PHARMA_THREE_PILLARS_OPERATIONAL_BLUEPRINT.html</x:v>
      </x:c>
    </x:row>
    <x:row r="1153" ht="42" customHeight="1">
      <x:c r="A1153" s="5" t="str">
        <x:v>D05</x:v>
      </x:c>
      <x:c r="B1153" s="5" t="str">
        <x:v>D05-T02</x:v>
      </x:c>
      <x:c r="C1153" s="5" t="str">
        <x:v>5. Comparative Capability Matrix &amp; Enterprise Alignment</x:v>
      </x:c>
      <x:c r="D1153" s="5" t="n">
        <x:v>282</x:v>
      </x:c>
      <x:c r="E1153" s="5" t="n">
        <x:v>4</x:v>
      </x:c>
      <x:c r="F1153" s="5" t="str">
        <x:v>Quantified Business Impact</x:v>
      </x:c>
      <x:c r="G1153" s="5" t="n">
        <x:v>1</x:v>
      </x:c>
      <x:c r="H1153" s="5" t="n">
        <x:v>1</x:v>
      </x:c>
      <x:c r="I1153" s="5" t="str">
        <x:v>Compresses changeover downtime by 25–40%; unlocks 15–25% latent plant capacity without capex.</x:v>
      </x:c>
      <x:c r="J1153" s="5" t="str">
        <x:v>SOURCE QUOTE; unvalidated / superseded assessments</x:v>
      </x:c>
      <x:c r="L1153" s="31" t="str">
        <x:v>D05, Markdown line 282; http://nas-1.tail55d152.ts.net:4100/static/2S_PHARMA_THREE_PILLARS_OPERATIONAL_BLUEPRINT.html</x:v>
      </x:c>
    </x:row>
    <x:row r="1154" ht="42" customHeight="1">
      <x:c r="A1154" s="5" t="str">
        <x:v>D05</x:v>
      </x:c>
      <x:c r="B1154" s="5" t="str">
        <x:v>D05-T02</x:v>
      </x:c>
      <x:c r="C1154" s="5" t="str">
        <x:v>5. Comparative Capability Matrix &amp; Enterprise Alignment</x:v>
      </x:c>
      <x:c r="D1154" s="5" t="n">
        <x:v>283</x:v>
      </x:c>
      <x:c r="E1154" s="5" t="n">
        <x:v>1</x:v>
      </x:c>
      <x:c r="F1154" s="5" t="str">
        <x:v>Operational Dimension</x:v>
      </x:c>
      <x:c r="G1154" s="5" t="n">
        <x:v>1</x:v>
      </x:c>
      <x:c r="H1154" s="5" t="n">
        <x:v>1</x:v>
      </x:c>
      <x:c r="I1154" s="5" t="str">
        <x:v>Chemical Synthesis Modality (Pillar 3)</x:v>
      </x:c>
      <x:c r="J1154" s="5" t="str">
        <x:v>SOURCE QUOTE; unvalidated / superseded assessments</x:v>
      </x:c>
      <x:c r="L1154" s="31" t="str">
        <x:v>D05, Markdown line 283; http://nas-1.tail55d152.ts.net:4100/static/2S_PHARMA_THREE_PILLARS_OPERATIONAL_BLUEPRINT.html</x:v>
      </x:c>
    </x:row>
    <x:row r="1155" ht="42" customHeight="1">
      <x:c r="A1155" s="5" t="str">
        <x:v>D05</x:v>
      </x:c>
      <x:c r="B1155" s="5" t="str">
        <x:v>D05-T02</x:v>
      </x:c>
      <x:c r="C1155" s="5" t="str">
        <x:v>5. Comparative Capability Matrix &amp; Enterprise Alignment</x:v>
      </x:c>
      <x:c r="D1155" s="5" t="n">
        <x:v>283</x:v>
      </x:c>
      <x:c r="E1155" s="5" t="n">
        <x:v>2</x:v>
      </x:c>
      <x:c r="F1155" s="5" t="str">
        <x:v>Status Quo / Legacy Practice</x:v>
      </x:c>
      <x:c r="G1155" s="5" t="n">
        <x:v>1</x:v>
      </x:c>
      <x:c r="H1155" s="5" t="n">
        <x:v>1</x:v>
      </x:c>
      <x:c r="I1155" s="5" t="str">
        <x:v>Legacy batch stirred-tank reactors; high solvent waste; PFAS/REACH regulatory exposure.</x:v>
      </x:c>
      <x:c r="J1155" s="5" t="str">
        <x:v>SOURCE QUOTE; unvalidated / superseded assessments</x:v>
      </x:c>
      <x:c r="L1155" s="31" t="str">
        <x:v>D05, Markdown line 283; http://nas-1.tail55d152.ts.net:4100/static/2S_PHARMA_THREE_PILLARS_OPERATIONAL_BLUEPRINT.html</x:v>
      </x:c>
    </x:row>
    <x:row r="1156" ht="42" customHeight="1">
      <x:c r="A1156" s="5" t="str">
        <x:v>D05</x:v>
      </x:c>
      <x:c r="B1156" s="5" t="str">
        <x:v>D05-T02</x:v>
      </x:c>
      <x:c r="C1156" s="5" t="str">
        <x:v>5. Comparative Capability Matrix &amp; Enterprise Alignment</x:v>
      </x:c>
      <x:c r="D1156" s="5" t="n">
        <x:v>283</x:v>
      </x:c>
      <x:c r="E1156" s="5" t="n">
        <x:v>3</x:v>
      </x:c>
      <x:c r="F1156" s="5" t="str">
        <x:v>2S Consulting &amp; Numantra Pillar Solution</x:v>
      </x:c>
      <x:c r="G1156" s="5" t="n">
        <x:v>1</x:v>
      </x:c>
      <x:c r="H1156" s="5" t="n">
        <x:v>1</x:v>
      </x:c>
      <x:c r="I1156" s="5" t="str">
        <x:v>Continuous Flow Synthesis Advisory: Engineering micro-reactor transition for high-energy reactions.</x:v>
      </x:c>
      <x:c r="J1156" s="5" t="str">
        <x:v>SOURCE QUOTE; unvalidated / superseded assessments</x:v>
      </x:c>
      <x:c r="L1156" s="31" t="str">
        <x:v>D05, Markdown line 283; http://nas-1.tail55d152.ts.net:4100/static/2S_PHARMA_THREE_PILLARS_OPERATIONAL_BLUEPRINT.html</x:v>
      </x:c>
    </x:row>
    <x:row r="1157" ht="42" customHeight="1">
      <x:c r="A1157" s="5" t="str">
        <x:v>D05</x:v>
      </x:c>
      <x:c r="B1157" s="5" t="str">
        <x:v>D05-T02</x:v>
      </x:c>
      <x:c r="C1157" s="5" t="str">
        <x:v>5. Comparative Capability Matrix &amp; Enterprise Alignment</x:v>
      </x:c>
      <x:c r="D1157" s="5" t="n">
        <x:v>283</x:v>
      </x:c>
      <x:c r="E1157" s="5" t="n">
        <x:v>4</x:v>
      </x:c>
      <x:c r="F1157" s="5" t="str">
        <x:v>Quantified Business Impact</x:v>
      </x:c>
      <x:c r="G1157" s="5" t="n">
        <x:v>1</x:v>
      </x:c>
      <x:c r="H1157" s="5" t="n">
        <x:v>1</x:v>
      </x:c>
      <x:c r="I1157" s="5" t="str">
        <x:v>Reduces chemical solvent waste by 40–60%; improves stoichiometric reaction yields by 8–15%.</x:v>
      </x:c>
      <x:c r="J1157" s="5" t="str">
        <x:v>SOURCE QUOTE; unvalidated / superseded assessments</x:v>
      </x:c>
      <x:c r="L1157" s="31" t="str">
        <x:v>D05, Markdown line 283; http://nas-1.tail55d152.ts.net:4100/static/2S_PHARMA_THREE_PILLARS_OPERATIONAL_BLUEPRINT.html</x:v>
      </x:c>
    </x:row>
    <x:row r="1158" ht="42" customHeight="1">
      <x:c r="A1158" s="5" t="str">
        <x:v>D06</x:v>
      </x:c>
      <x:c r="B1158" s="5" t="str">
        <x:v>D06-T01</x:v>
      </x:c>
      <x:c r="C1158" s="5" t="str">
        <x:v>5. Complete Company Financial Table (135 Facilities Analyzed)</x:v>
      </x:c>
      <x:c r="D1158" s="5" t="n">
        <x:v>182</x:v>
      </x:c>
      <x:c r="E1158" s="5" t="n">
        <x:v>1</x:v>
      </x:c>
      <x:c r="F1158" s="5" t="str">
        <x:v>#</x:v>
      </x:c>
      <x:c r="G1158" s="5" t="n">
        <x:v>1</x:v>
      </x:c>
      <x:c r="H1158" s="5" t="n">
        <x:v>1</x:v>
      </x:c>
      <x:c r="I1158" s="5" t="str">
        <x:v>1</x:v>
      </x:c>
      <x:c r="J1158" s="5" t="str">
        <x:v>SOURCE QUOTE; unvalidated / superseded assessments</x:v>
      </x:c>
      <x:c r="L1158" s="31" t="str">
        <x:v>D06, Markdown line 182; http://nas-1.tail55d152.ts.net:4100/static/MEDICAL_NORDICS_FINANCIALS_DOSSIER.html</x:v>
      </x:c>
    </x:row>
    <x:row r="1159" ht="42" customHeight="1">
      <x:c r="A1159" s="5" t="str">
        <x:v>D06</x:v>
      </x:c>
      <x:c r="B1159" s="5" t="str">
        <x:v>D06-T01</x:v>
      </x:c>
      <x:c r="C1159" s="5" t="str">
        <x:v>5. Complete Company Financial Table (135 Facilities Analyzed)</x:v>
      </x:c>
      <x:c r="D1159" s="5" t="n">
        <x:v>182</x:v>
      </x:c>
      <x:c r="E1159" s="5" t="n">
        <x:v>2</x:v>
      </x:c>
      <x:c r="F1159" s="5" t="str">
        <x:v>Company</x:v>
      </x:c>
      <x:c r="G1159" s="5" t="n">
        <x:v>1</x:v>
      </x:c>
      <x:c r="H1159" s="5" t="n">
        <x:v>1</x:v>
      </x:c>
      <x:c r="I1159" s="5" t="str">
        <x:v>HemoCue</x:v>
      </x:c>
      <x:c r="J1159" s="5" t="str">
        <x:v>SOURCE QUOTE; unvalidated / superseded assessments</x:v>
      </x:c>
      <x:c r="L1159" s="31" t="str">
        <x:v>D06, Markdown line 182; http://nas-1.tail55d152.ts.net:4100/static/MEDICAL_NORDICS_FINANCIALS_DOSSIER.html</x:v>
      </x:c>
    </x:row>
    <x:row r="1160" ht="42" customHeight="1">
      <x:c r="A1160" s="5" t="str">
        <x:v>D06</x:v>
      </x:c>
      <x:c r="B1160" s="5" t="str">
        <x:v>D06-T01</x:v>
      </x:c>
      <x:c r="C1160" s="5" t="str">
        <x:v>5. Complete Company Financial Table (135 Facilities Analyzed)</x:v>
      </x:c>
      <x:c r="D1160" s="5" t="n">
        <x:v>182</x:v>
      </x:c>
      <x:c r="E1160" s="5" t="n">
        <x:v>3</x:v>
      </x:c>
      <x:c r="F1160" s="5" t="str">
        <x:v>Location</x:v>
      </x:c>
      <x:c r="G1160" s="5" t="n">
        <x:v>1</x:v>
      </x:c>
      <x:c r="H1160" s="5" t="n">
        <x:v>1</x:v>
      </x:c>
      <x:c r="I1160" s="5" t="str">
        <x:v>Ängelholm, Sweden</x:v>
      </x:c>
      <x:c r="J1160" s="5" t="str">
        <x:v>SOURCE QUOTE; unvalidated / superseded assessments</x:v>
      </x:c>
      <x:c r="L1160" s="31" t="str">
        <x:v>D06, Markdown line 182; http://nas-1.tail55d152.ts.net:4100/static/MEDICAL_NORDICS_FINANCIALS_DOSSIER.html</x:v>
      </x:c>
    </x:row>
    <x:row r="1161" ht="42" customHeight="1">
      <x:c r="A1161" s="5" t="str">
        <x:v>D06</x:v>
      </x:c>
      <x:c r="B1161" s="5" t="str">
        <x:v>D06-T01</x:v>
      </x:c>
      <x:c r="C1161" s="5" t="str">
        <x:v>5. Complete Company Financial Table (135 Facilities Analyzed)</x:v>
      </x:c>
      <x:c r="D1161" s="5" t="n">
        <x:v>182</x:v>
      </x:c>
      <x:c r="E1161" s="5" t="n">
        <x:v>4</x:v>
      </x:c>
      <x:c r="F1161" s="5" t="str">
        <x:v>Focus Area</x:v>
      </x:c>
      <x:c r="G1161" s="5" t="n">
        <x:v>1</x:v>
      </x:c>
      <x:c r="H1161" s="5" t="n">
        <x:v>1</x:v>
      </x:c>
      <x:c r="I1161" s="5" t="str">
        <x:v>Point-of-Care Diagnostics</x:v>
      </x:c>
      <x:c r="J1161" s="5" t="str">
        <x:v>SOURCE QUOTE; unvalidated / superseded assessments</x:v>
      </x:c>
      <x:c r="L1161" s="31" t="str">
        <x:v>D06, Markdown line 182; http://nas-1.tail55d152.ts.net:4100/static/MEDICAL_NORDICS_FINANCIALS_DOSSIER.html</x:v>
      </x:c>
    </x:row>
    <x:row r="1162" ht="42" customHeight="1">
      <x:c r="A1162" s="5" t="str">
        <x:v>D06</x:v>
      </x:c>
      <x:c r="B1162" s="5" t="str">
        <x:v>D06-T01</x:v>
      </x:c>
      <x:c r="C1162" s="5" t="str">
        <x:v>5. Complete Company Financial Table (135 Facilities Analyzed)</x:v>
      </x:c>
      <x:c r="D1162" s="5" t="n">
        <x:v>182</x:v>
      </x:c>
      <x:c r="E1162" s="5" t="n">
        <x:v>5</x:v>
      </x:c>
      <x:c r="F1162" s="5" t="str">
        <x:v>Revenue / Net Sales</x:v>
      </x:c>
      <x:c r="G1162" s="5" t="n">
        <x:v>1</x:v>
      </x:c>
      <x:c r="H1162" s="5" t="n">
        <x:v>1</x:v>
      </x:c>
      <x:c r="I1162" s="5" t="str">
        <x:v>SEK 1,720.0M est. (Danaher Diagnostics $9.5B)</x:v>
      </x:c>
      <x:c r="J1162" s="5" t="str">
        <x:v>SOURCE QUOTE; unvalidated / superseded assessments</x:v>
      </x:c>
      <x:c r="L1162" s="31" t="str">
        <x:v>D06, Markdown line 182; http://nas-1.tail55d152.ts.net:4100/static/MEDICAL_NORDICS_FINANCIALS_DOSSIER.html</x:v>
      </x:c>
    </x:row>
    <x:row r="1163" ht="42" customHeight="1">
      <x:c r="A1163" s="5" t="str">
        <x:v>D06</x:v>
      </x:c>
      <x:c r="B1163" s="5" t="str">
        <x:v>D06-T01</x:v>
      </x:c>
      <x:c r="C1163" s="5" t="str">
        <x:v>5. Complete Company Financial Table (135 Facilities Analyzed)</x:v>
      </x:c>
      <x:c r="D1163" s="5" t="n">
        <x:v>182</x:v>
      </x:c>
      <x:c r="E1163" s="5" t="n">
        <x:v>6</x:v>
      </x:c>
      <x:c r="F1163" s="5" t="str">
        <x:v>R&amp;D Spend</x:v>
      </x:c>
      <x:c r="G1163" s="5" t="n">
        <x:v>1</x:v>
      </x:c>
      <x:c r="H1163" s="5" t="n">
        <x:v>1</x:v>
      </x:c>
      <x:c r="I1163" s="5" t="str">
        <x:v>SEK 135.0M est.</x:v>
      </x:c>
      <x:c r="J1163" s="5" t="str">
        <x:v>SOURCE QUOTE; unvalidated / superseded assessments</x:v>
      </x:c>
      <x:c r="L1163" s="31" t="str">
        <x:v>D06, Markdown line 182; http://nas-1.tail55d152.ts.net:4100/static/MEDICAL_NORDICS_FINANCIALS_DOSSIER.html</x:v>
      </x:c>
    </x:row>
    <x:row r="1164" ht="42" customHeight="1">
      <x:c r="A1164" s="5" t="str">
        <x:v>D06</x:v>
      </x:c>
      <x:c r="B1164" s="5" t="str">
        <x:v>D06-T01</x:v>
      </x:c>
      <x:c r="C1164" s="5" t="str">
        <x:v>5. Complete Company Financial Table (135 Facilities Analyzed)</x:v>
      </x:c>
      <x:c r="D1164" s="5" t="n">
        <x:v>182</x:v>
      </x:c>
      <x:c r="E1164" s="5" t="n">
        <x:v>7</x:v>
      </x:c>
      <x:c r="F1164" s="5" t="str">
        <x:v>Currency</x:v>
      </x:c>
      <x:c r="G1164" s="5" t="n">
        <x:v>1</x:v>
      </x:c>
      <x:c r="H1164" s="5" t="n">
        <x:v>1</x:v>
      </x:c>
      <x:c r="I1164" s="5" t="str">
        <x:v>SEK</x:v>
      </x:c>
      <x:c r="J1164" s="5" t="str">
        <x:v>SOURCE QUOTE; unvalidated / superseded assessments</x:v>
      </x:c>
      <x:c r="L1164" s="31" t="str">
        <x:v>D06, Markdown line 182; http://nas-1.tail55d152.ts.net:4100/static/MEDICAL_NORDICS_FINANCIALS_DOSSIER.html</x:v>
      </x:c>
    </x:row>
    <x:row r="1165" ht="42" customHeight="1">
      <x:c r="A1165" s="5" t="str">
        <x:v>D06</x:v>
      </x:c>
      <x:c r="B1165" s="5" t="str">
        <x:v>D06-T01</x:v>
      </x:c>
      <x:c r="C1165" s="5" t="str">
        <x:v>5. Complete Company Financial Table (135 Facilities Analyzed)</x:v>
      </x:c>
      <x:c r="D1165" s="5" t="n">
        <x:v>182</x:v>
      </x:c>
      <x:c r="E1165" s="5" t="n">
        <x:v>8</x:v>
      </x:c>
      <x:c r="F1165" s="5" t="str">
        <x:v>Fiscal Year</x:v>
      </x:c>
      <x:c r="G1165" s="5" t="n">
        <x:v>1</x:v>
      </x:c>
      <x:c r="H1165" s="5" t="n">
        <x:v>1</x:v>
      </x:c>
      <x:c r="I1165" s="5" t="str">
        <x:v>FY2023/24</x:v>
      </x:c>
      <x:c r="J1165" s="5" t="str">
        <x:v>SOURCE QUOTE; unvalidated / superseded assessments</x:v>
      </x:c>
      <x:c r="L1165" s="31" t="str">
        <x:v>D06, Markdown line 182; http://nas-1.tail55d152.ts.net:4100/static/MEDICAL_NORDICS_FINANCIALS_DOSSIER.html</x:v>
      </x:c>
    </x:row>
    <x:row r="1166" ht="42" customHeight="1">
      <x:c r="A1166" s="5" t="str">
        <x:v>D06</x:v>
      </x:c>
      <x:c r="B1166" s="5" t="str">
        <x:v>D06-T01</x:v>
      </x:c>
      <x:c r="C1166" s="5" t="str">
        <x:v>5. Complete Company Financial Table (135 Facilities Analyzed)</x:v>
      </x:c>
      <x:c r="D1166" s="5" t="n">
        <x:v>182</x:v>
      </x:c>
      <x:c r="E1166" s="5" t="n">
        <x:v>9</x:v>
      </x:c>
      <x:c r="F1166" s="5" t="str">
        <x:v>Status / Ownership / Strategic Service Alignment</x:v>
      </x:c>
      <x:c r="G1166" s="5" t="n">
        <x:v>1</x:v>
      </x:c>
      <x:c r="H1166" s="5" t="n">
        <x:v>1</x:v>
      </x:c>
      <x:c r="I1166" s="5" t="str">
        <x:v>Danaher (NYSE: DHR) subsidiary; Package A (HEOR POC calculators for clinic workflow)</x:v>
      </x:c>
      <x:c r="J1166" s="5" t="str">
        <x:v>SOURCE QUOTE; unvalidated / superseded assessments</x:v>
      </x:c>
      <x:c r="L1166" s="31" t="str">
        <x:v>D06, Markdown line 182; http://nas-1.tail55d152.ts.net:4100/static/MEDICAL_NORDICS_FINANCIALS_DOSSIER.html</x:v>
      </x:c>
    </x:row>
    <x:row r="1167" ht="42" customHeight="1">
      <x:c r="A1167" s="5" t="str">
        <x:v>D06</x:v>
      </x:c>
      <x:c r="B1167" s="5" t="str">
        <x:v>D06-T01</x:v>
      </x:c>
      <x:c r="C1167" s="5" t="str">
        <x:v>5. Complete Company Financial Table (135 Facilities Analyzed)</x:v>
      </x:c>
      <x:c r="D1167" s="5" t="n">
        <x:v>183</x:v>
      </x:c>
      <x:c r="E1167" s="5" t="n">
        <x:v>1</x:v>
      </x:c>
      <x:c r="F1167" s="5" t="str">
        <x:v>#</x:v>
      </x:c>
      <x:c r="G1167" s="5" t="n">
        <x:v>1</x:v>
      </x:c>
      <x:c r="H1167" s="5" t="n">
        <x:v>1</x:v>
      </x:c>
      <x:c r="I1167" s="5" t="str">
        <x:v>2</x:v>
      </x:c>
      <x:c r="J1167" s="5" t="str">
        <x:v>SOURCE QUOTE; unvalidated / superseded assessments</x:v>
      </x:c>
      <x:c r="L1167" s="31" t="str">
        <x:v>D06, Markdown line 183; http://nas-1.tail55d152.ts.net:4100/static/MEDICAL_NORDICS_FINANCIALS_DOSSIER.html</x:v>
      </x:c>
    </x:row>
    <x:row r="1168" ht="42" customHeight="1">
      <x:c r="A1168" s="5" t="str">
        <x:v>D06</x:v>
      </x:c>
      <x:c r="B1168" s="5" t="str">
        <x:v>D06-T01</x:v>
      </x:c>
      <x:c r="C1168" s="5" t="str">
        <x:v>5. Complete Company Financial Table (135 Facilities Analyzed)</x:v>
      </x:c>
      <x:c r="D1168" s="5" t="n">
        <x:v>183</x:v>
      </x:c>
      <x:c r="E1168" s="5" t="n">
        <x:v>2</x:v>
      </x:c>
      <x:c r="F1168" s="5" t="str">
        <x:v>Company</x:v>
      </x:c>
      <x:c r="G1168" s="5" t="n">
        <x:v>1</x:v>
      </x:c>
      <x:c r="H1168" s="5" t="n">
        <x:v>1</x:v>
      </x:c>
      <x:c r="I1168" s="5" t="str">
        <x:v>Devyser</x:v>
      </x:c>
      <x:c r="J1168" s="5" t="str">
        <x:v>SOURCE QUOTE; unvalidated / superseded assessments</x:v>
      </x:c>
      <x:c r="L1168" s="31" t="str">
        <x:v>D06, Markdown line 183; http://nas-1.tail55d152.ts.net:4100/static/MEDICAL_NORDICS_FINANCIALS_DOSSIER.html</x:v>
      </x:c>
    </x:row>
    <x:row r="1169" ht="42" customHeight="1">
      <x:c r="A1169" s="5" t="str">
        <x:v>D06</x:v>
      </x:c>
      <x:c r="B1169" s="5" t="str">
        <x:v>D06-T01</x:v>
      </x:c>
      <x:c r="C1169" s="5" t="str">
        <x:v>5. Complete Company Financial Table (135 Facilities Analyzed)</x:v>
      </x:c>
      <x:c r="D1169" s="5" t="n">
        <x:v>183</x:v>
      </x:c>
      <x:c r="E1169" s="5" t="n">
        <x:v>3</x:v>
      </x:c>
      <x:c r="F1169" s="5" t="str">
        <x:v>Location</x:v>
      </x:c>
      <x:c r="G1169" s="5" t="n">
        <x:v>1</x:v>
      </x:c>
      <x:c r="H1169" s="5" t="n">
        <x:v>1</x:v>
      </x:c>
      <x:c r="I1169" s="5" t="str">
        <x:v>Årsta, Sweden</x:v>
      </x:c>
      <x:c r="J1169" s="5" t="str">
        <x:v>SOURCE QUOTE; unvalidated / superseded assessments</x:v>
      </x:c>
      <x:c r="L1169" s="31" t="str">
        <x:v>D06, Markdown line 183; http://nas-1.tail55d152.ts.net:4100/static/MEDICAL_NORDICS_FINANCIALS_DOSSIER.html</x:v>
      </x:c>
    </x:row>
    <x:row r="1170" ht="42" customHeight="1">
      <x:c r="A1170" s="5" t="str">
        <x:v>D06</x:v>
      </x:c>
      <x:c r="B1170" s="5" t="str">
        <x:v>D06-T01</x:v>
      </x:c>
      <x:c r="C1170" s="5" t="str">
        <x:v>5. Complete Company Financial Table (135 Facilities Analyzed)</x:v>
      </x:c>
      <x:c r="D1170" s="5" t="n">
        <x:v>183</x:v>
      </x:c>
      <x:c r="E1170" s="5" t="n">
        <x:v>4</x:v>
      </x:c>
      <x:c r="F1170" s="5" t="str">
        <x:v>Focus Area</x:v>
      </x:c>
      <x:c r="G1170" s="5" t="n">
        <x:v>1</x:v>
      </x:c>
      <x:c r="H1170" s="5" t="n">
        <x:v>1</x:v>
      </x:c>
      <x:c r="I1170" s="5" t="str">
        <x:v>Genetic Diagnostics, NGS Analysis</x:v>
      </x:c>
      <x:c r="J1170" s="5" t="str">
        <x:v>SOURCE QUOTE; unvalidated / superseded assessments</x:v>
      </x:c>
      <x:c r="L1170" s="31" t="str">
        <x:v>D06, Markdown line 183; http://nas-1.tail55d152.ts.net:4100/static/MEDICAL_NORDICS_FINANCIALS_DOSSIER.html</x:v>
      </x:c>
    </x:row>
    <x:row r="1171" ht="42" customHeight="1">
      <x:c r="A1171" s="5" t="str">
        <x:v>D06</x:v>
      </x:c>
      <x:c r="B1171" s="5" t="str">
        <x:v>D06-T01</x:v>
      </x:c>
      <x:c r="C1171" s="5" t="str">
        <x:v>5. Complete Company Financial Table (135 Facilities Analyzed)</x:v>
      </x:c>
      <x:c r="D1171" s="5" t="n">
        <x:v>183</x:v>
      </x:c>
      <x:c r="E1171" s="5" t="n">
        <x:v>5</x:v>
      </x:c>
      <x:c r="F1171" s="5" t="str">
        <x:v>Revenue / Net Sales</x:v>
      </x:c>
      <x:c r="G1171" s="5" t="n">
        <x:v>1</x:v>
      </x:c>
      <x:c r="H1171" s="5" t="n">
        <x:v>1</x:v>
      </x:c>
      <x:c r="I1171" s="5" t="str">
        <x:v>SEK 216.9M (SEK 169.3M FY23)</x:v>
      </x:c>
      <x:c r="J1171" s="5" t="str">
        <x:v>SOURCE QUOTE; unvalidated / superseded assessments</x:v>
      </x:c>
      <x:c r="L1171" s="31" t="str">
        <x:v>D06, Markdown line 183; http://nas-1.tail55d152.ts.net:4100/static/MEDICAL_NORDICS_FINANCIALS_DOSSIER.html</x:v>
      </x:c>
    </x:row>
    <x:row r="1172" ht="42" customHeight="1">
      <x:c r="A1172" s="5" t="str">
        <x:v>D06</x:v>
      </x:c>
      <x:c r="B1172" s="5" t="str">
        <x:v>D06-T01</x:v>
      </x:c>
      <x:c r="C1172" s="5" t="str">
        <x:v>5. Complete Company Financial Table (135 Facilities Analyzed)</x:v>
      </x:c>
      <x:c r="D1172" s="5" t="n">
        <x:v>183</x:v>
      </x:c>
      <x:c r="E1172" s="5" t="n">
        <x:v>6</x:v>
      </x:c>
      <x:c r="F1172" s="5" t="str">
        <x:v>R&amp;D Spend</x:v>
      </x:c>
      <x:c r="G1172" s="5" t="n">
        <x:v>1</x:v>
      </x:c>
      <x:c r="H1172" s="5" t="n">
        <x:v>1</x:v>
      </x:c>
      <x:c r="I1172" s="5" t="str">
        <x:v>SEK 44.8M</x:v>
      </x:c>
      <x:c r="J1172" s="5" t="str">
        <x:v>SOURCE QUOTE; unvalidated / superseded assessments</x:v>
      </x:c>
      <x:c r="L1172" s="31" t="str">
        <x:v>D06, Markdown line 183; http://nas-1.tail55d152.ts.net:4100/static/MEDICAL_NORDICS_FINANCIALS_DOSSIER.html</x:v>
      </x:c>
    </x:row>
    <x:row r="1173" ht="42" customHeight="1">
      <x:c r="A1173" s="5" t="str">
        <x:v>D06</x:v>
      </x:c>
      <x:c r="B1173" s="5" t="str">
        <x:v>D06-T01</x:v>
      </x:c>
      <x:c r="C1173" s="5" t="str">
        <x:v>5. Complete Company Financial Table (135 Facilities Analyzed)</x:v>
      </x:c>
      <x:c r="D1173" s="5" t="n">
        <x:v>183</x:v>
      </x:c>
      <x:c r="E1173" s="5" t="n">
        <x:v>7</x:v>
      </x:c>
      <x:c r="F1173" s="5" t="str">
        <x:v>Currency</x:v>
      </x:c>
      <x:c r="G1173" s="5" t="n">
        <x:v>1</x:v>
      </x:c>
      <x:c r="H1173" s="5" t="n">
        <x:v>1</x:v>
      </x:c>
      <x:c r="I1173" s="5" t="str">
        <x:v>SEK</x:v>
      </x:c>
      <x:c r="J1173" s="5" t="str">
        <x:v>SOURCE QUOTE; unvalidated / superseded assessments</x:v>
      </x:c>
      <x:c r="L1173" s="31" t="str">
        <x:v>D06, Markdown line 183; http://nas-1.tail55d152.ts.net:4100/static/MEDICAL_NORDICS_FINANCIALS_DOSSIER.html</x:v>
      </x:c>
    </x:row>
    <x:row r="1174" ht="42" customHeight="1">
      <x:c r="A1174" s="5" t="str">
        <x:v>D06</x:v>
      </x:c>
      <x:c r="B1174" s="5" t="str">
        <x:v>D06-T01</x:v>
      </x:c>
      <x:c r="C1174" s="5" t="str">
        <x:v>5. Complete Company Financial Table (135 Facilities Analyzed)</x:v>
      </x:c>
      <x:c r="D1174" s="5" t="n">
        <x:v>183</x:v>
      </x:c>
      <x:c r="E1174" s="5" t="n">
        <x:v>8</x:v>
      </x:c>
      <x:c r="F1174" s="5" t="str">
        <x:v>Fiscal Year</x:v>
      </x:c>
      <x:c r="G1174" s="5" t="n">
        <x:v>1</x:v>
      </x:c>
      <x:c r="H1174" s="5" t="n">
        <x:v>1</x:v>
      </x:c>
      <x:c r="I1174" s="5" t="str">
        <x:v>FY2024</x:v>
      </x:c>
      <x:c r="J1174" s="5" t="str">
        <x:v>SOURCE QUOTE; unvalidated / superseded assessments</x:v>
      </x:c>
      <x:c r="L1174" s="31" t="str">
        <x:v>D06, Markdown line 183; http://nas-1.tail55d152.ts.net:4100/static/MEDICAL_NORDICS_FINANCIALS_DOSSIER.html</x:v>
      </x:c>
    </x:row>
    <x:row r="1175" ht="42" customHeight="1">
      <x:c r="A1175" s="5" t="str">
        <x:v>D06</x:v>
      </x:c>
      <x:c r="B1175" s="5" t="str">
        <x:v>D06-T01</x:v>
      </x:c>
      <x:c r="C1175" s="5" t="str">
        <x:v>5. Complete Company Financial Table (135 Facilities Analyzed)</x:v>
      </x:c>
      <x:c r="D1175" s="5" t="n">
        <x:v>183</x:v>
      </x:c>
      <x:c r="E1175" s="5" t="n">
        <x:v>9</x:v>
      </x:c>
      <x:c r="F1175" s="5" t="str">
        <x:v>Status / Ownership / Strategic Service Alignment</x:v>
      </x:c>
      <x:c r="G1175" s="5" t="n">
        <x:v>1</x:v>
      </x:c>
      <x:c r="H1175" s="5" t="n">
        <x:v>1</x:v>
      </x:c>
      <x:c r="I1175" s="5" t="str">
        <x:v>Listed (Nasdaq: DVYSR); Package A &amp; E (Lab technician labor reduction &amp; CE-IVDR)</x:v>
      </x:c>
      <x:c r="J1175" s="5" t="str">
        <x:v>SOURCE QUOTE; unvalidated / superseded assessments</x:v>
      </x:c>
      <x:c r="L1175" s="31" t="str">
        <x:v>D06, Markdown line 183; http://nas-1.tail55d152.ts.net:4100/static/MEDICAL_NORDICS_FINANCIALS_DOSSIER.html</x:v>
      </x:c>
    </x:row>
    <x:row r="1176" ht="42" customHeight="1">
      <x:c r="A1176" s="5" t="str">
        <x:v>D06</x:v>
      </x:c>
      <x:c r="B1176" s="5" t="str">
        <x:v>D06-T01</x:v>
      </x:c>
      <x:c r="C1176" s="5" t="str">
        <x:v>5. Complete Company Financial Table (135 Facilities Analyzed)</x:v>
      </x:c>
      <x:c r="D1176" s="5" t="n">
        <x:v>184</x:v>
      </x:c>
      <x:c r="E1176" s="5" t="n">
        <x:v>1</x:v>
      </x:c>
      <x:c r="F1176" s="5" t="str">
        <x:v>#</x:v>
      </x:c>
      <x:c r="G1176" s="5" t="n">
        <x:v>1</x:v>
      </x:c>
      <x:c r="H1176" s="5" t="n">
        <x:v>1</x:v>
      </x:c>
      <x:c r="I1176" s="5" t="str">
        <x:v>3</x:v>
      </x:c>
      <x:c r="J1176" s="5" t="str">
        <x:v>SOURCE QUOTE; unvalidated / superseded assessments</x:v>
      </x:c>
      <x:c r="L1176" s="31" t="str">
        <x:v>D06, Markdown line 184; http://nas-1.tail55d152.ts.net:4100/static/MEDICAL_NORDICS_FINANCIALS_DOSSIER.html</x:v>
      </x:c>
    </x:row>
    <x:row r="1177" ht="42" customHeight="1">
      <x:c r="A1177" s="5" t="str">
        <x:v>D06</x:v>
      </x:c>
      <x:c r="B1177" s="5" t="str">
        <x:v>D06-T01</x:v>
      </x:c>
      <x:c r="C1177" s="5" t="str">
        <x:v>5. Complete Company Financial Table (135 Facilities Analyzed)</x:v>
      </x:c>
      <x:c r="D1177" s="5" t="n">
        <x:v>184</x:v>
      </x:c>
      <x:c r="E1177" s="5" t="n">
        <x:v>2</x:v>
      </x:c>
      <x:c r="F1177" s="5" t="str">
        <x:v>Company</x:v>
      </x:c>
      <x:c r="G1177" s="5" t="n">
        <x:v>1</x:v>
      </x:c>
      <x:c r="H1177" s="5" t="n">
        <x:v>1</x:v>
      </x:c>
      <x:c r="I1177" s="5" t="str">
        <x:v>AOP Orphan Diseases</x:v>
      </x:c>
      <x:c r="J1177" s="5" t="str">
        <x:v>SOURCE QUOTE; unvalidated / superseded assessments</x:v>
      </x:c>
      <x:c r="L1177" s="31" t="str">
        <x:v>D06, Markdown line 184; http://nas-1.tail55d152.ts.net:4100/static/MEDICAL_NORDICS_FINANCIALS_DOSSIER.html</x:v>
      </x:c>
    </x:row>
    <x:row r="1178" ht="42" customHeight="1">
      <x:c r="A1178" s="5" t="str">
        <x:v>D06</x:v>
      </x:c>
      <x:c r="B1178" s="5" t="str">
        <x:v>D06-T01</x:v>
      </x:c>
      <x:c r="C1178" s="5" t="str">
        <x:v>5. Complete Company Financial Table (135 Facilities Analyzed)</x:v>
      </x:c>
      <x:c r="D1178" s="5" t="n">
        <x:v>184</x:v>
      </x:c>
      <x:c r="E1178" s="5" t="n">
        <x:v>3</x:v>
      </x:c>
      <x:c r="F1178" s="5" t="str">
        <x:v>Location</x:v>
      </x:c>
      <x:c r="G1178" s="5" t="n">
        <x:v>1</x:v>
      </x:c>
      <x:c r="H1178" s="5" t="n">
        <x:v>1</x:v>
      </x:c>
      <x:c r="I1178" s="5" t="str">
        <x:v>Bromma, Sweden</x:v>
      </x:c>
      <x:c r="J1178" s="5" t="str">
        <x:v>SOURCE QUOTE; unvalidated / superseded assessments</x:v>
      </x:c>
      <x:c r="L1178" s="31" t="str">
        <x:v>D06, Markdown line 184; http://nas-1.tail55d152.ts.net:4100/static/MEDICAL_NORDICS_FINANCIALS_DOSSIER.html</x:v>
      </x:c>
    </x:row>
    <x:row r="1179" ht="42" customHeight="1">
      <x:c r="A1179" s="5" t="str">
        <x:v>D06</x:v>
      </x:c>
      <x:c r="B1179" s="5" t="str">
        <x:v>D06-T01</x:v>
      </x:c>
      <x:c r="C1179" s="5" t="str">
        <x:v>5. Complete Company Financial Table (135 Facilities Analyzed)</x:v>
      </x:c>
      <x:c r="D1179" s="5" t="n">
        <x:v>184</x:v>
      </x:c>
      <x:c r="E1179" s="5" t="n">
        <x:v>4</x:v>
      </x:c>
      <x:c r="F1179" s="5" t="str">
        <x:v>Focus Area</x:v>
      </x:c>
      <x:c r="G1179" s="5" t="n">
        <x:v>1</x:v>
      </x:c>
      <x:c r="H1179" s="5" t="n">
        <x:v>1</x:v>
      </x:c>
      <x:c r="I1179" s="5" t="str">
        <x:v>Orphan Disease Treatments</x:v>
      </x:c>
      <x:c r="J1179" s="5" t="str">
        <x:v>SOURCE QUOTE; unvalidated / superseded assessments</x:v>
      </x:c>
      <x:c r="L1179" s="31" t="str">
        <x:v>D06, Markdown line 184; http://nas-1.tail55d152.ts.net:4100/static/MEDICAL_NORDICS_FINANCIALS_DOSSIER.html</x:v>
      </x:c>
    </x:row>
    <x:row r="1180" ht="42" customHeight="1">
      <x:c r="A1180" s="5" t="str">
        <x:v>D06</x:v>
      </x:c>
      <x:c r="B1180" s="5" t="str">
        <x:v>D06-T01</x:v>
      </x:c>
      <x:c r="C1180" s="5" t="str">
        <x:v>5. Complete Company Financial Table (135 Facilities Analyzed)</x:v>
      </x:c>
      <x:c r="D1180" s="5" t="n">
        <x:v>184</x:v>
      </x:c>
      <x:c r="E1180" s="5" t="n">
        <x:v>5</x:v>
      </x:c>
      <x:c r="F1180" s="5" t="str">
        <x:v>Revenue / Net Sales</x:v>
      </x:c>
      <x:c r="G1180" s="5" t="n">
        <x:v>1</x:v>
      </x:c>
      <x:c r="H1180" s="5" t="n">
        <x:v>1</x:v>
      </x:c>
      <x:c r="I1180" s="5" t="str">
        <x:v>EUR 450.0M</x:v>
      </x:c>
      <x:c r="J1180" s="5" t="str">
        <x:v>SOURCE QUOTE; unvalidated / superseded assessments</x:v>
      </x:c>
      <x:c r="L1180" s="31" t="str">
        <x:v>D06, Markdown line 184; http://nas-1.tail55d152.ts.net:4100/static/MEDICAL_NORDICS_FINANCIALS_DOSSIER.html</x:v>
      </x:c>
    </x:row>
    <x:row r="1181" ht="42" customHeight="1">
      <x:c r="A1181" s="5" t="str">
        <x:v>D06</x:v>
      </x:c>
      <x:c r="B1181" s="5" t="str">
        <x:v>D06-T01</x:v>
      </x:c>
      <x:c r="C1181" s="5" t="str">
        <x:v>5. Complete Company Financial Table (135 Facilities Analyzed)</x:v>
      </x:c>
      <x:c r="D1181" s="5" t="n">
        <x:v>184</x:v>
      </x:c>
      <x:c r="E1181" s="5" t="n">
        <x:v>6</x:v>
      </x:c>
      <x:c r="F1181" s="5" t="str">
        <x:v>R&amp;D Spend</x:v>
      </x:c>
      <x:c r="G1181" s="5" t="n">
        <x:v>1</x:v>
      </x:c>
      <x:c r="H1181" s="5" t="n">
        <x:v>1</x:v>
      </x:c>
      <x:c r="I1181" s="5" t="str">
        <x:v>EUR 85.0M (~19% sales)</x:v>
      </x:c>
      <x:c r="J1181" s="5" t="str">
        <x:v>SOURCE QUOTE; unvalidated / superseded assessments</x:v>
      </x:c>
      <x:c r="L1181" s="31" t="str">
        <x:v>D06, Markdown line 184; http://nas-1.tail55d152.ts.net:4100/static/MEDICAL_NORDICS_FINANCIALS_DOSSIER.html</x:v>
      </x:c>
    </x:row>
    <x:row r="1182" ht="42" customHeight="1">
      <x:c r="A1182" s="5" t="str">
        <x:v>D06</x:v>
      </x:c>
      <x:c r="B1182" s="5" t="str">
        <x:v>D06-T01</x:v>
      </x:c>
      <x:c r="C1182" s="5" t="str">
        <x:v>5. Complete Company Financial Table (135 Facilities Analyzed)</x:v>
      </x:c>
      <x:c r="D1182" s="5" t="n">
        <x:v>184</x:v>
      </x:c>
      <x:c r="E1182" s="5" t="n">
        <x:v>7</x:v>
      </x:c>
      <x:c r="F1182" s="5" t="str">
        <x:v>Currency</x:v>
      </x:c>
      <x:c r="G1182" s="5" t="n">
        <x:v>1</x:v>
      </x:c>
      <x:c r="H1182" s="5" t="n">
        <x:v>1</x:v>
      </x:c>
      <x:c r="I1182" s="5" t="str">
        <x:v>EUR</x:v>
      </x:c>
      <x:c r="J1182" s="5" t="str">
        <x:v>SOURCE QUOTE; unvalidated / superseded assessments</x:v>
      </x:c>
      <x:c r="L1182" s="31" t="str">
        <x:v>D06, Markdown line 184; http://nas-1.tail55d152.ts.net:4100/static/MEDICAL_NORDICS_FINANCIALS_DOSSIER.html</x:v>
      </x:c>
    </x:row>
    <x:row r="1183" ht="42" customHeight="1">
      <x:c r="A1183" s="5" t="str">
        <x:v>D06</x:v>
      </x:c>
      <x:c r="B1183" s="5" t="str">
        <x:v>D06-T01</x:v>
      </x:c>
      <x:c r="C1183" s="5" t="str">
        <x:v>5. Complete Company Financial Table (135 Facilities Analyzed)</x:v>
      </x:c>
      <x:c r="D1183" s="5" t="n">
        <x:v>184</x:v>
      </x:c>
      <x:c r="E1183" s="5" t="n">
        <x:v>8</x:v>
      </x:c>
      <x:c r="F1183" s="5" t="str">
        <x:v>Fiscal Year</x:v>
      </x:c>
      <x:c r="G1183" s="5" t="n">
        <x:v>1</x:v>
      </x:c>
      <x:c r="H1183" s="5" t="n">
        <x:v>1</x:v>
      </x:c>
      <x:c r="I1183" s="5" t="str">
        <x:v>FY2024/25</x:v>
      </x:c>
      <x:c r="J1183" s="5" t="str">
        <x:v>SOURCE QUOTE; unvalidated / superseded assessments</x:v>
      </x:c>
      <x:c r="L1183" s="31" t="str">
        <x:v>D06, Markdown line 184; http://nas-1.tail55d152.ts.net:4100/static/MEDICAL_NORDICS_FINANCIALS_DOSSIER.html</x:v>
      </x:c>
    </x:row>
    <x:row r="1184" ht="42" customHeight="1">
      <x:c r="A1184" s="5" t="str">
        <x:v>D06</x:v>
      </x:c>
      <x:c r="B1184" s="5" t="str">
        <x:v>D06-T01</x:v>
      </x:c>
      <x:c r="C1184" s="5" t="str">
        <x:v>5. Complete Company Financial Table (135 Facilities Analyzed)</x:v>
      </x:c>
      <x:c r="D1184" s="5" t="n">
        <x:v>184</x:v>
      </x:c>
      <x:c r="E1184" s="5" t="n">
        <x:v>9</x:v>
      </x:c>
      <x:c r="F1184" s="5" t="str">
        <x:v>Status / Ownership / Strategic Service Alignment</x:v>
      </x:c>
      <x:c r="G1184" s="5" t="n">
        <x:v>1</x:v>
      </x:c>
      <x:c r="H1184" s="5" t="n">
        <x:v>1</x:v>
      </x:c>
      <x:c r="I1184" s="5" t="str">
        <x:v>AOP Health Group; Package C (Rare disease tender and commercial stockist portal)</x:v>
      </x:c>
      <x:c r="J1184" s="5" t="str">
        <x:v>SOURCE QUOTE; unvalidated / superseded assessments</x:v>
      </x:c>
      <x:c r="L1184" s="31" t="str">
        <x:v>D06, Markdown line 184; http://nas-1.tail55d152.ts.net:4100/static/MEDICAL_NORDICS_FINANCIALS_DOSSIER.html</x:v>
      </x:c>
    </x:row>
    <x:row r="1185" ht="42" customHeight="1">
      <x:c r="A1185" s="5" t="str">
        <x:v>D06</x:v>
      </x:c>
      <x:c r="B1185" s="5" t="str">
        <x:v>D06-T01</x:v>
      </x:c>
      <x:c r="C1185" s="5" t="str">
        <x:v>5. Complete Company Financial Table (135 Facilities Analyzed)</x:v>
      </x:c>
      <x:c r="D1185" s="5" t="n">
        <x:v>185</x:v>
      </x:c>
      <x:c r="E1185" s="5" t="n">
        <x:v>1</x:v>
      </x:c>
      <x:c r="F1185" s="5" t="str">
        <x:v>#</x:v>
      </x:c>
      <x:c r="G1185" s="5" t="n">
        <x:v>1</x:v>
      </x:c>
      <x:c r="H1185" s="5" t="n">
        <x:v>1</x:v>
      </x:c>
      <x:c r="I1185" s="5" t="str">
        <x:v>4</x:v>
      </x:c>
      <x:c r="J1185" s="5" t="str">
        <x:v>SOURCE QUOTE; unvalidated / superseded assessments</x:v>
      </x:c>
      <x:c r="L1185" s="31" t="str">
        <x:v>D06, Markdown line 185; http://nas-1.tail55d152.ts.net:4100/static/MEDICAL_NORDICS_FINANCIALS_DOSSIER.html</x:v>
      </x:c>
    </x:row>
    <x:row r="1186" ht="42" customHeight="1">
      <x:c r="A1186" s="5" t="str">
        <x:v>D06</x:v>
      </x:c>
      <x:c r="B1186" s="5" t="str">
        <x:v>D06-T01</x:v>
      </x:c>
      <x:c r="C1186" s="5" t="str">
        <x:v>5. Complete Company Financial Table (135 Facilities Analyzed)</x:v>
      </x:c>
      <x:c r="D1186" s="5" t="n">
        <x:v>185</x:v>
      </x:c>
      <x:c r="E1186" s="5" t="n">
        <x:v>2</x:v>
      </x:c>
      <x:c r="F1186" s="5" t="str">
        <x:v>Company</x:v>
      </x:c>
      <x:c r="G1186" s="5" t="n">
        <x:v>1</x:v>
      </x:c>
      <x:c r="H1186" s="5" t="n">
        <x:v>1</x:v>
      </x:c>
      <x:c r="I1186" s="5" t="str">
        <x:v>Fresenius Kabi</x:v>
      </x:c>
      <x:c r="J1186" s="5" t="str">
        <x:v>SOURCE QUOTE; unvalidated / superseded assessments</x:v>
      </x:c>
      <x:c r="L1186" s="31" t="str">
        <x:v>D06, Markdown line 185; http://nas-1.tail55d152.ts.net:4100/static/MEDICAL_NORDICS_FINANCIALS_DOSSIER.html</x:v>
      </x:c>
    </x:row>
    <x:row r="1187" ht="42" customHeight="1">
      <x:c r="A1187" s="5" t="str">
        <x:v>D06</x:v>
      </x:c>
      <x:c r="B1187" s="5" t="str">
        <x:v>D06-T01</x:v>
      </x:c>
      <x:c r="C1187" s="5" t="str">
        <x:v>5. Complete Company Financial Table (135 Facilities Analyzed)</x:v>
      </x:c>
      <x:c r="D1187" s="5" t="n">
        <x:v>185</x:v>
      </x:c>
      <x:c r="E1187" s="5" t="n">
        <x:v>3</x:v>
      </x:c>
      <x:c r="F1187" s="5" t="str">
        <x:v>Location</x:v>
      </x:c>
      <x:c r="G1187" s="5" t="n">
        <x:v>1</x:v>
      </x:c>
      <x:c r="H1187" s="5" t="n">
        <x:v>1</x:v>
      </x:c>
      <x:c r="I1187" s="5" t="str">
        <x:v>Brunna, Sweden</x:v>
      </x:c>
      <x:c r="J1187" s="5" t="str">
        <x:v>SOURCE QUOTE; unvalidated / superseded assessments</x:v>
      </x:c>
      <x:c r="L1187" s="31" t="str">
        <x:v>D06, Markdown line 185; http://nas-1.tail55d152.ts.net:4100/static/MEDICAL_NORDICS_FINANCIALS_DOSSIER.html</x:v>
      </x:c>
    </x:row>
    <x:row r="1188" ht="42" customHeight="1">
      <x:c r="A1188" s="5" t="str">
        <x:v>D06</x:v>
      </x:c>
      <x:c r="B1188" s="5" t="str">
        <x:v>D06-T01</x:v>
      </x:c>
      <x:c r="C1188" s="5" t="str">
        <x:v>5. Complete Company Financial Table (135 Facilities Analyzed)</x:v>
      </x:c>
      <x:c r="D1188" s="5" t="n">
        <x:v>185</x:v>
      </x:c>
      <x:c r="E1188" s="5" t="n">
        <x:v>4</x:v>
      </x:c>
      <x:c r="F1188" s="5" t="str">
        <x:v>Focus Area</x:v>
      </x:c>
      <x:c r="G1188" s="5" t="n">
        <x:v>1</x:v>
      </x:c>
      <x:c r="H1188" s="5" t="n">
        <x:v>1</x:v>
      </x:c>
      <x:c r="I1188" s="5" t="str">
        <x:v>Sterile Parenterals &amp; CDMO</x:v>
      </x:c>
      <x:c r="J1188" s="5" t="str">
        <x:v>SOURCE QUOTE; unvalidated / superseded assessments</x:v>
      </x:c>
      <x:c r="L1188" s="31" t="str">
        <x:v>D06, Markdown line 185; http://nas-1.tail55d152.ts.net:4100/static/MEDICAL_NORDICS_FINANCIALS_DOSSIER.html</x:v>
      </x:c>
    </x:row>
    <x:row r="1189" ht="42" customHeight="1">
      <x:c r="A1189" s="5" t="str">
        <x:v>D06</x:v>
      </x:c>
      <x:c r="B1189" s="5" t="str">
        <x:v>D06-T01</x:v>
      </x:c>
      <x:c r="C1189" s="5" t="str">
        <x:v>5. Complete Company Financial Table (135 Facilities Analyzed)</x:v>
      </x:c>
      <x:c r="D1189" s="5" t="n">
        <x:v>185</x:v>
      </x:c>
      <x:c r="E1189" s="5" t="n">
        <x:v>5</x:v>
      </x:c>
      <x:c r="F1189" s="5" t="str">
        <x:v>Revenue / Net Sales</x:v>
      </x:c>
      <x:c r="G1189" s="5" t="n">
        <x:v>1</x:v>
      </x:c>
      <x:c r="H1189" s="5" t="n">
        <x:v>1</x:v>
      </x:c>
      <x:c r="I1189" s="5" t="str">
        <x:v>EUR 8,414.0M (Sweden ~SEK 4.8B)</x:v>
      </x:c>
      <x:c r="J1189" s="5" t="str">
        <x:v>SOURCE QUOTE; unvalidated / superseded assessments</x:v>
      </x:c>
      <x:c r="L1189" s="31" t="str">
        <x:v>D06, Markdown line 185; http://nas-1.tail55d152.ts.net:4100/static/MEDICAL_NORDICS_FINANCIALS_DOSSIER.html</x:v>
      </x:c>
    </x:row>
    <x:row r="1190" ht="42" customHeight="1">
      <x:c r="A1190" s="5" t="str">
        <x:v>D06</x:v>
      </x:c>
      <x:c r="B1190" s="5" t="str">
        <x:v>D06-T01</x:v>
      </x:c>
      <x:c r="C1190" s="5" t="str">
        <x:v>5. Complete Company Financial Table (135 Facilities Analyzed)</x:v>
      </x:c>
      <x:c r="D1190" s="5" t="n">
        <x:v>185</x:v>
      </x:c>
      <x:c r="E1190" s="5" t="n">
        <x:v>6</x:v>
      </x:c>
      <x:c r="F1190" s="5" t="str">
        <x:v>R&amp;D Spend</x:v>
      </x:c>
      <x:c r="G1190" s="5" t="n">
        <x:v>1</x:v>
      </x:c>
      <x:c r="H1190" s="5" t="n">
        <x:v>1</x:v>
      </x:c>
      <x:c r="I1190" s="5" t="str">
        <x:v>EUR 636.0M (~SEK 7.2B group)</x:v>
      </x:c>
      <x:c r="J1190" s="5" t="str">
        <x:v>SOURCE QUOTE; unvalidated / superseded assessments</x:v>
      </x:c>
      <x:c r="L1190" s="31" t="str">
        <x:v>D06, Markdown line 185; http://nas-1.tail55d152.ts.net:4100/static/MEDICAL_NORDICS_FINANCIALS_DOSSIER.html</x:v>
      </x:c>
    </x:row>
    <x:row r="1191" ht="42" customHeight="1">
      <x:c r="A1191" s="5" t="str">
        <x:v>D06</x:v>
      </x:c>
      <x:c r="B1191" s="5" t="str">
        <x:v>D06-T01</x:v>
      </x:c>
      <x:c r="C1191" s="5" t="str">
        <x:v>5. Complete Company Financial Table (135 Facilities Analyzed)</x:v>
      </x:c>
      <x:c r="D1191" s="5" t="n">
        <x:v>185</x:v>
      </x:c>
      <x:c r="E1191" s="5" t="n">
        <x:v>7</x:v>
      </x:c>
      <x:c r="F1191" s="5" t="str">
        <x:v>Currency</x:v>
      </x:c>
      <x:c r="G1191" s="5" t="n">
        <x:v>1</x:v>
      </x:c>
      <x:c r="H1191" s="5" t="n">
        <x:v>1</x:v>
      </x:c>
      <x:c r="I1191" s="5" t="str">
        <x:v>EUR</x:v>
      </x:c>
      <x:c r="J1191" s="5" t="str">
        <x:v>SOURCE QUOTE; unvalidated / superseded assessments</x:v>
      </x:c>
      <x:c r="L1191" s="31" t="str">
        <x:v>D06, Markdown line 185; http://nas-1.tail55d152.ts.net:4100/static/MEDICAL_NORDICS_FINANCIALS_DOSSIER.html</x:v>
      </x:c>
    </x:row>
    <x:row r="1192" ht="42" customHeight="1">
      <x:c r="A1192" s="5" t="str">
        <x:v>D06</x:v>
      </x:c>
      <x:c r="B1192" s="5" t="str">
        <x:v>D06-T01</x:v>
      </x:c>
      <x:c r="C1192" s="5" t="str">
        <x:v>5. Complete Company Financial Table (135 Facilities Analyzed)</x:v>
      </x:c>
      <x:c r="D1192" s="5" t="n">
        <x:v>185</x:v>
      </x:c>
      <x:c r="E1192" s="5" t="n">
        <x:v>8</x:v>
      </x:c>
      <x:c r="F1192" s="5" t="str">
        <x:v>Fiscal Year</x:v>
      </x:c>
      <x:c r="G1192" s="5" t="n">
        <x:v>1</x:v>
      </x:c>
      <x:c r="H1192" s="5" t="n">
        <x:v>1</x:v>
      </x:c>
      <x:c r="I1192" s="5" t="str">
        <x:v>FY2024</x:v>
      </x:c>
      <x:c r="J1192" s="5" t="str">
        <x:v>SOURCE QUOTE; unvalidated / superseded assessments</x:v>
      </x:c>
      <x:c r="L1192" s="31" t="str">
        <x:v>D06, Markdown line 185; http://nas-1.tail55d152.ts.net:4100/static/MEDICAL_NORDICS_FINANCIALS_DOSSIER.html</x:v>
      </x:c>
    </x:row>
    <x:row r="1193" ht="42" customHeight="1">
      <x:c r="A1193" s="5" t="str">
        <x:v>D06</x:v>
      </x:c>
      <x:c r="B1193" s="5" t="str">
        <x:v>D06-T01</x:v>
      </x:c>
      <x:c r="C1193" s="5" t="str">
        <x:v>5. Complete Company Financial Table (135 Facilities Analyzed)</x:v>
      </x:c>
      <x:c r="D1193" s="5" t="n">
        <x:v>185</x:v>
      </x:c>
      <x:c r="E1193" s="5" t="n">
        <x:v>9</x:v>
      </x:c>
      <x:c r="F1193" s="5" t="str">
        <x:v>Status / Ownership / Strategic Service Alignment</x:v>
      </x:c>
      <x:c r="G1193" s="5" t="n">
        <x:v>1</x:v>
      </x:c>
      <x:c r="H1193" s="5" t="n">
        <x:v>1</x:v>
      </x:c>
      <x:c r="I1193" s="5" t="str">
        <x:v>Fresenius SE (DAX: FRE); Package D (Aseptic batch scheduling &amp; changeover speedup)</x:v>
      </x:c>
      <x:c r="J1193" s="5" t="str">
        <x:v>SOURCE QUOTE; unvalidated / superseded assessments</x:v>
      </x:c>
      <x:c r="L1193" s="31" t="str">
        <x:v>D06, Markdown line 185; http://nas-1.tail55d152.ts.net:4100/static/MEDICAL_NORDICS_FINANCIALS_DOSSIER.html</x:v>
      </x:c>
    </x:row>
    <x:row r="1194" ht="42" customHeight="1">
      <x:c r="A1194" s="5" t="str">
        <x:v>D06</x:v>
      </x:c>
      <x:c r="B1194" s="5" t="str">
        <x:v>D06-T01</x:v>
      </x:c>
      <x:c r="C1194" s="5" t="str">
        <x:v>5. Complete Company Financial Table (135 Facilities Analyzed)</x:v>
      </x:c>
      <x:c r="D1194" s="5" t="n">
        <x:v>186</x:v>
      </x:c>
      <x:c r="E1194" s="5" t="n">
        <x:v>1</x:v>
      </x:c>
      <x:c r="F1194" s="5" t="str">
        <x:v>#</x:v>
      </x:c>
      <x:c r="G1194" s="5" t="n">
        <x:v>1</x:v>
      </x:c>
      <x:c r="H1194" s="5" t="n">
        <x:v>1</x:v>
      </x:c>
      <x:c r="I1194" s="5" t="str">
        <x:v>5</x:v>
      </x:c>
      <x:c r="J1194" s="5" t="str">
        <x:v>SOURCE QUOTE; unvalidated / superseded assessments</x:v>
      </x:c>
      <x:c r="L1194" s="31" t="str">
        <x:v>D06, Markdown line 186; http://nas-1.tail55d152.ts.net:4100/static/MEDICAL_NORDICS_FINANCIALS_DOSSIER.html</x:v>
      </x:c>
    </x:row>
    <x:row r="1195" ht="42" customHeight="1">
      <x:c r="A1195" s="5" t="str">
        <x:v>D06</x:v>
      </x:c>
      <x:c r="B1195" s="5" t="str">
        <x:v>D06-T01</x:v>
      </x:c>
      <x:c r="C1195" s="5" t="str">
        <x:v>5. Complete Company Financial Table (135 Facilities Analyzed)</x:v>
      </x:c>
      <x:c r="D1195" s="5" t="n">
        <x:v>186</x:v>
      </x:c>
      <x:c r="E1195" s="5" t="n">
        <x:v>2</x:v>
      </x:c>
      <x:c r="F1195" s="5" t="str">
        <x:v>Company</x:v>
      </x:c>
      <x:c r="G1195" s="5" t="n">
        <x:v>1</x:v>
      </x:c>
      <x:c r="H1195" s="5" t="n">
        <x:v>1</x:v>
      </x:c>
      <x:c r="I1195" s="5" t="str">
        <x:v>Getinge</x:v>
      </x:c>
      <x:c r="J1195" s="5" t="str">
        <x:v>SOURCE QUOTE; unvalidated / superseded assessments</x:v>
      </x:c>
      <x:c r="L1195" s="31" t="str">
        <x:v>D06, Markdown line 186; http://nas-1.tail55d152.ts.net:4100/static/MEDICAL_NORDICS_FINANCIALS_DOSSIER.html</x:v>
      </x:c>
    </x:row>
    <x:row r="1196" ht="42" customHeight="1">
      <x:c r="A1196" s="5" t="str">
        <x:v>D06</x:v>
      </x:c>
      <x:c r="B1196" s="5" t="str">
        <x:v>D06-T01</x:v>
      </x:c>
      <x:c r="C1196" s="5" t="str">
        <x:v>5. Complete Company Financial Table (135 Facilities Analyzed)</x:v>
      </x:c>
      <x:c r="D1196" s="5" t="n">
        <x:v>186</x:v>
      </x:c>
      <x:c r="E1196" s="5" t="n">
        <x:v>3</x:v>
      </x:c>
      <x:c r="F1196" s="5" t="str">
        <x:v>Location</x:v>
      </x:c>
      <x:c r="G1196" s="5" t="n">
        <x:v>1</x:v>
      </x:c>
      <x:c r="H1196" s="5" t="n">
        <x:v>1</x:v>
      </x:c>
      <x:c r="I1196" s="5" t="str">
        <x:v>Getinge, Sweden</x:v>
      </x:c>
      <x:c r="J1196" s="5" t="str">
        <x:v>SOURCE QUOTE; unvalidated / superseded assessments</x:v>
      </x:c>
      <x:c r="L1196" s="31" t="str">
        <x:v>D06, Markdown line 186; http://nas-1.tail55d152.ts.net:4100/static/MEDICAL_NORDICS_FINANCIALS_DOSSIER.html</x:v>
      </x:c>
    </x:row>
    <x:row r="1197" ht="42" customHeight="1">
      <x:c r="A1197" s="5" t="str">
        <x:v>D06</x:v>
      </x:c>
      <x:c r="B1197" s="5" t="str">
        <x:v>D06-T01</x:v>
      </x:c>
      <x:c r="C1197" s="5" t="str">
        <x:v>5. Complete Company Financial Table (135 Facilities Analyzed)</x:v>
      </x:c>
      <x:c r="D1197" s="5" t="n">
        <x:v>186</x:v>
      </x:c>
      <x:c r="E1197" s="5" t="n">
        <x:v>4</x:v>
      </x:c>
      <x:c r="F1197" s="5" t="str">
        <x:v>Focus Area</x:v>
      </x:c>
      <x:c r="G1197" s="5" t="n">
        <x:v>1</x:v>
      </x:c>
      <x:c r="H1197" s="5" t="n">
        <x:v>1</x:v>
      </x:c>
      <x:c r="I1197" s="5" t="str">
        <x:v>Intensive Care &amp; MedTech</x:v>
      </x:c>
      <x:c r="J1197" s="5" t="str">
        <x:v>SOURCE QUOTE; unvalidated / superseded assessments</x:v>
      </x:c>
      <x:c r="L1197" s="31" t="str">
        <x:v>D06, Markdown line 186; http://nas-1.tail55d152.ts.net:4100/static/MEDICAL_NORDICS_FINANCIALS_DOSSIER.html</x:v>
      </x:c>
    </x:row>
    <x:row r="1198" ht="42" customHeight="1">
      <x:c r="A1198" s="5" t="str">
        <x:v>D06</x:v>
      </x:c>
      <x:c r="B1198" s="5" t="str">
        <x:v>D06-T01</x:v>
      </x:c>
      <x:c r="C1198" s="5" t="str">
        <x:v>5. Complete Company Financial Table (135 Facilities Analyzed)</x:v>
      </x:c>
      <x:c r="D1198" s="5" t="n">
        <x:v>186</x:v>
      </x:c>
      <x:c r="E1198" s="5" t="n">
        <x:v>5</x:v>
      </x:c>
      <x:c r="F1198" s="5" t="str">
        <x:v>Revenue / Net Sales</x:v>
      </x:c>
      <x:c r="G1198" s="5" t="n">
        <x:v>1</x:v>
      </x:c>
      <x:c r="H1198" s="5" t="n">
        <x:v>1</x:v>
      </x:c>
      <x:c r="I1198" s="5" t="str">
        <x:v>SEK 34,759.0M (SEK 34.76B)</x:v>
      </x:c>
      <x:c r="J1198" s="5" t="str">
        <x:v>SOURCE QUOTE; unvalidated / superseded assessments</x:v>
      </x:c>
      <x:c r="L1198" s="31" t="str">
        <x:v>D06, Markdown line 186; http://nas-1.tail55d152.ts.net:4100/static/MEDICAL_NORDICS_FINANCIALS_DOSSIER.html</x:v>
      </x:c>
    </x:row>
    <x:row r="1199" ht="42" customHeight="1">
      <x:c r="A1199" s="5" t="str">
        <x:v>D06</x:v>
      </x:c>
      <x:c r="B1199" s="5" t="str">
        <x:v>D06-T01</x:v>
      </x:c>
      <x:c r="C1199" s="5" t="str">
        <x:v>5. Complete Company Financial Table (135 Facilities Analyzed)</x:v>
      </x:c>
      <x:c r="D1199" s="5" t="n">
        <x:v>186</x:v>
      </x:c>
      <x:c r="E1199" s="5" t="n">
        <x:v>6</x:v>
      </x:c>
      <x:c r="F1199" s="5" t="str">
        <x:v>R&amp;D Spend</x:v>
      </x:c>
      <x:c r="G1199" s="5" t="n">
        <x:v>1</x:v>
      </x:c>
      <x:c r="H1199" s="5" t="n">
        <x:v>1</x:v>
      </x:c>
      <x:c r="I1199" s="5" t="str">
        <x:v>SEK 1,745.0M (~5.0% sales)</x:v>
      </x:c>
      <x:c r="J1199" s="5" t="str">
        <x:v>SOURCE QUOTE; unvalidated / superseded assessments</x:v>
      </x:c>
      <x:c r="L1199" s="31" t="str">
        <x:v>D06, Markdown line 186; http://nas-1.tail55d152.ts.net:4100/static/MEDICAL_NORDICS_FINANCIALS_DOSSIER.html</x:v>
      </x:c>
    </x:row>
    <x:row r="1200" ht="42" customHeight="1">
      <x:c r="A1200" s="5" t="str">
        <x:v>D06</x:v>
      </x:c>
      <x:c r="B1200" s="5" t="str">
        <x:v>D06-T01</x:v>
      </x:c>
      <x:c r="C1200" s="5" t="str">
        <x:v>5. Complete Company Financial Table (135 Facilities Analyzed)</x:v>
      </x:c>
      <x:c r="D1200" s="5" t="n">
        <x:v>186</x:v>
      </x:c>
      <x:c r="E1200" s="5" t="n">
        <x:v>7</x:v>
      </x:c>
      <x:c r="F1200" s="5" t="str">
        <x:v>Currency</x:v>
      </x:c>
      <x:c r="G1200" s="5" t="n">
        <x:v>1</x:v>
      </x:c>
      <x:c r="H1200" s="5" t="n">
        <x:v>1</x:v>
      </x:c>
      <x:c r="I1200" s="5" t="str">
        <x:v>SEK</x:v>
      </x:c>
      <x:c r="J1200" s="5" t="str">
        <x:v>SOURCE QUOTE; unvalidated / superseded assessments</x:v>
      </x:c>
      <x:c r="L1200" s="31" t="str">
        <x:v>D06, Markdown line 186; http://nas-1.tail55d152.ts.net:4100/static/MEDICAL_NORDICS_FINANCIALS_DOSSIER.html</x:v>
      </x:c>
    </x:row>
    <x:row r="1201" ht="42" customHeight="1">
      <x:c r="A1201" s="5" t="str">
        <x:v>D06</x:v>
      </x:c>
      <x:c r="B1201" s="5" t="str">
        <x:v>D06-T01</x:v>
      </x:c>
      <x:c r="C1201" s="5" t="str">
        <x:v>5. Complete Company Financial Table (135 Facilities Analyzed)</x:v>
      </x:c>
      <x:c r="D1201" s="5" t="n">
        <x:v>186</x:v>
      </x:c>
      <x:c r="E1201" s="5" t="n">
        <x:v>8</x:v>
      </x:c>
      <x:c r="F1201" s="5" t="str">
        <x:v>Fiscal Year</x:v>
      </x:c>
      <x:c r="G1201" s="5" t="n">
        <x:v>1</x:v>
      </x:c>
      <x:c r="H1201" s="5" t="n">
        <x:v>1</x:v>
      </x:c>
      <x:c r="I1201" s="5" t="str">
        <x:v>FY2024</x:v>
      </x:c>
      <x:c r="J1201" s="5" t="str">
        <x:v>SOURCE QUOTE; unvalidated / superseded assessments</x:v>
      </x:c>
      <x:c r="L1201" s="31" t="str">
        <x:v>D06, Markdown line 186; http://nas-1.tail55d152.ts.net:4100/static/MEDICAL_NORDICS_FINANCIALS_DOSSIER.html</x:v>
      </x:c>
    </x:row>
    <x:row r="1202" ht="42" customHeight="1">
      <x:c r="A1202" s="5" t="str">
        <x:v>D06</x:v>
      </x:c>
      <x:c r="B1202" s="5" t="str">
        <x:v>D06-T01</x:v>
      </x:c>
      <x:c r="C1202" s="5" t="str">
        <x:v>5. Complete Company Financial Table (135 Facilities Analyzed)</x:v>
      </x:c>
      <x:c r="D1202" s="5" t="n">
        <x:v>186</x:v>
      </x:c>
      <x:c r="E1202" s="5" t="n">
        <x:v>9</x:v>
      </x:c>
      <x:c r="F1202" s="5" t="str">
        <x:v>Status / Ownership / Strategic Service Alignment</x:v>
      </x:c>
      <x:c r="G1202" s="5" t="n">
        <x:v>1</x:v>
      </x:c>
      <x:c r="H1202" s="5" t="n">
        <x:v>1</x:v>
      </x:c>
      <x:c r="I1202" s="5" t="str">
        <x:v>Listed (Nasdaq: GETI B); Package A (CathLab/OR DaaS managed care financial models)</x:v>
      </x:c>
      <x:c r="J1202" s="5" t="str">
        <x:v>SOURCE QUOTE; unvalidated / superseded assessments</x:v>
      </x:c>
      <x:c r="L1202" s="31" t="str">
        <x:v>D06, Markdown line 186; http://nas-1.tail55d152.ts.net:4100/static/MEDICAL_NORDICS_FINANCIALS_DOSSIER.html</x:v>
      </x:c>
    </x:row>
    <x:row r="1203" ht="42" customHeight="1">
      <x:c r="A1203" s="5" t="str">
        <x:v>D06</x:v>
      </x:c>
      <x:c r="B1203" s="5" t="str">
        <x:v>D06-T01</x:v>
      </x:c>
      <x:c r="C1203" s="5" t="str">
        <x:v>5. Complete Company Financial Table (135 Facilities Analyzed)</x:v>
      </x:c>
      <x:c r="D1203" s="5" t="n">
        <x:v>187</x:v>
      </x:c>
      <x:c r="E1203" s="5" t="n">
        <x:v>1</x:v>
      </x:c>
      <x:c r="F1203" s="5" t="str">
        <x:v>#</x:v>
      </x:c>
      <x:c r="G1203" s="5" t="n">
        <x:v>1</x:v>
      </x:c>
      <x:c r="H1203" s="5" t="n">
        <x:v>1</x:v>
      </x:c>
      <x:c r="I1203" s="5" t="str">
        <x:v>6</x:v>
      </x:c>
      <x:c r="J1203" s="5" t="str">
        <x:v>SOURCE QUOTE; unvalidated / superseded assessments</x:v>
      </x:c>
      <x:c r="L1203" s="31" t="str">
        <x:v>D06, Markdown line 187; http://nas-1.tail55d152.ts.net:4100/static/MEDICAL_NORDICS_FINANCIALS_DOSSIER.html</x:v>
      </x:c>
    </x:row>
    <x:row r="1204" ht="42" customHeight="1">
      <x:c r="A1204" s="5" t="str">
        <x:v>D06</x:v>
      </x:c>
      <x:c r="B1204" s="5" t="str">
        <x:v>D06-T01</x:v>
      </x:c>
      <x:c r="C1204" s="5" t="str">
        <x:v>5. Complete Company Financial Table (135 Facilities Analyzed)</x:v>
      </x:c>
      <x:c r="D1204" s="5" t="n">
        <x:v>187</x:v>
      </x:c>
      <x:c r="E1204" s="5" t="n">
        <x:v>2</x:v>
      </x:c>
      <x:c r="F1204" s="5" t="str">
        <x:v>Company</x:v>
      </x:c>
      <x:c r="G1204" s="5" t="n">
        <x:v>1</x:v>
      </x:c>
      <x:c r="H1204" s="5" t="n">
        <x:v>1</x:v>
      </x:c>
      <x:c r="I1204" s="5" t="str">
        <x:v>Simsen Diagnostics</x:v>
      </x:c>
      <x:c r="J1204" s="5" t="str">
        <x:v>SOURCE QUOTE; unvalidated / superseded assessments</x:v>
      </x:c>
      <x:c r="L1204" s="31" t="str">
        <x:v>D06, Markdown line 187; http://nas-1.tail55d152.ts.net:4100/static/MEDICAL_NORDICS_FINANCIALS_DOSSIER.html</x:v>
      </x:c>
    </x:row>
    <x:row r="1205" ht="42" customHeight="1">
      <x:c r="A1205" s="5" t="str">
        <x:v>D06</x:v>
      </x:c>
      <x:c r="B1205" s="5" t="str">
        <x:v>D06-T01</x:v>
      </x:c>
      <x:c r="C1205" s="5" t="str">
        <x:v>5. Complete Company Financial Table (135 Facilities Analyzed)</x:v>
      </x:c>
      <x:c r="D1205" s="5" t="n">
        <x:v>187</x:v>
      </x:c>
      <x:c r="E1205" s="5" t="n">
        <x:v>3</x:v>
      </x:c>
      <x:c r="F1205" s="5" t="str">
        <x:v>Location</x:v>
      </x:c>
      <x:c r="G1205" s="5" t="n">
        <x:v>1</x:v>
      </x:c>
      <x:c r="H1205" s="5" t="n">
        <x:v>1</x:v>
      </x:c>
      <x:c r="I1205" s="5" t="str">
        <x:v>Göteborg, Sweden</x:v>
      </x:c>
      <x:c r="J1205" s="5" t="str">
        <x:v>SOURCE QUOTE; unvalidated / superseded assessments</x:v>
      </x:c>
      <x:c r="L1205" s="31" t="str">
        <x:v>D06, Markdown line 187; http://nas-1.tail55d152.ts.net:4100/static/MEDICAL_NORDICS_FINANCIALS_DOSSIER.html</x:v>
      </x:c>
    </x:row>
    <x:row r="1206" ht="42" customHeight="1">
      <x:c r="A1206" s="5" t="str">
        <x:v>D06</x:v>
      </x:c>
      <x:c r="B1206" s="5" t="str">
        <x:v>D06-T01</x:v>
      </x:c>
      <x:c r="C1206" s="5" t="str">
        <x:v>5. Complete Company Financial Table (135 Facilities Analyzed)</x:v>
      </x:c>
      <x:c r="D1206" s="5" t="n">
        <x:v>187</x:v>
      </x:c>
      <x:c r="E1206" s="5" t="n">
        <x:v>4</x:v>
      </x:c>
      <x:c r="F1206" s="5" t="str">
        <x:v>Focus Area</x:v>
      </x:c>
      <x:c r="G1206" s="5" t="n">
        <x:v>1</x:v>
      </x:c>
      <x:c r="H1206" s="5" t="n">
        <x:v>1</x:v>
      </x:c>
      <x:c r="I1206" s="5" t="str">
        <x:v>Ultra-sensitive ctDNA Biopsy</x:v>
      </x:c>
      <x:c r="J1206" s="5" t="str">
        <x:v>SOURCE QUOTE; unvalidated / superseded assessments</x:v>
      </x:c>
      <x:c r="L1206" s="31" t="str">
        <x:v>D06, Markdown line 187; http://nas-1.tail55d152.ts.net:4100/static/MEDICAL_NORDICS_FINANCIALS_DOSSIER.html</x:v>
      </x:c>
    </x:row>
    <x:row r="1207" ht="42" customHeight="1">
      <x:c r="A1207" s="5" t="str">
        <x:v>D06</x:v>
      </x:c>
      <x:c r="B1207" s="5" t="str">
        <x:v>D06-T01</x:v>
      </x:c>
      <x:c r="C1207" s="5" t="str">
        <x:v>5. Complete Company Financial Table (135 Facilities Analyzed)</x:v>
      </x:c>
      <x:c r="D1207" s="5" t="n">
        <x:v>187</x:v>
      </x:c>
      <x:c r="E1207" s="5" t="n">
        <x:v>5</x:v>
      </x:c>
      <x:c r="F1207" s="5" t="str">
        <x:v>Revenue / Net Sales</x:v>
      </x:c>
      <x:c r="G1207" s="5" t="n">
        <x:v>1</x:v>
      </x:c>
      <x:c r="H1207" s="5" t="n">
        <x:v>1</x:v>
      </x:c>
      <x:c r="I1207" s="5" t="str">
        <x:v>SEK 4.5M</x:v>
      </x:c>
      <x:c r="J1207" s="5" t="str">
        <x:v>SOURCE QUOTE; unvalidated / superseded assessments</x:v>
      </x:c>
      <x:c r="L1207" s="31" t="str">
        <x:v>D06, Markdown line 187; http://nas-1.tail55d152.ts.net:4100/static/MEDICAL_NORDICS_FINANCIALS_DOSSIER.html</x:v>
      </x:c>
    </x:row>
    <x:row r="1208" ht="42" customHeight="1">
      <x:c r="A1208" s="5" t="str">
        <x:v>D06</x:v>
      </x:c>
      <x:c r="B1208" s="5" t="str">
        <x:v>D06-T01</x:v>
      </x:c>
      <x:c r="C1208" s="5" t="str">
        <x:v>5. Complete Company Financial Table (135 Facilities Analyzed)</x:v>
      </x:c>
      <x:c r="D1208" s="5" t="n">
        <x:v>187</x:v>
      </x:c>
      <x:c r="E1208" s="5" t="n">
        <x:v>6</x:v>
      </x:c>
      <x:c r="F1208" s="5" t="str">
        <x:v>R&amp;D Spend</x:v>
      </x:c>
      <x:c r="G1208" s="5" t="n">
        <x:v>1</x:v>
      </x:c>
      <x:c r="H1208" s="5" t="n">
        <x:v>1</x:v>
      </x:c>
      <x:c r="I1208" s="5" t="str">
        <x:v>SEK 15.5M</x:v>
      </x:c>
      <x:c r="J1208" s="5" t="str">
        <x:v>SOURCE QUOTE; unvalidated / superseded assessments</x:v>
      </x:c>
      <x:c r="L1208" s="31" t="str">
        <x:v>D06, Markdown line 187; http://nas-1.tail55d152.ts.net:4100/static/MEDICAL_NORDICS_FINANCIALS_DOSSIER.html</x:v>
      </x:c>
    </x:row>
    <x:row r="1209" ht="42" customHeight="1">
      <x:c r="A1209" s="5" t="str">
        <x:v>D06</x:v>
      </x:c>
      <x:c r="B1209" s="5" t="str">
        <x:v>D06-T01</x:v>
      </x:c>
      <x:c r="C1209" s="5" t="str">
        <x:v>5. Complete Company Financial Table (135 Facilities Analyzed)</x:v>
      </x:c>
      <x:c r="D1209" s="5" t="n">
        <x:v>187</x:v>
      </x:c>
      <x:c r="E1209" s="5" t="n">
        <x:v>7</x:v>
      </x:c>
      <x:c r="F1209" s="5" t="str">
        <x:v>Currency</x:v>
      </x:c>
      <x:c r="G1209" s="5" t="n">
        <x:v>1</x:v>
      </x:c>
      <x:c r="H1209" s="5" t="n">
        <x:v>1</x:v>
      </x:c>
      <x:c r="I1209" s="5" t="str">
        <x:v>SEK</x:v>
      </x:c>
      <x:c r="J1209" s="5" t="str">
        <x:v>SOURCE QUOTE; unvalidated / superseded assessments</x:v>
      </x:c>
      <x:c r="L1209" s="31" t="str">
        <x:v>D06, Markdown line 187; http://nas-1.tail55d152.ts.net:4100/static/MEDICAL_NORDICS_FINANCIALS_DOSSIER.html</x:v>
      </x:c>
    </x:row>
    <x:row r="1210" ht="42" customHeight="1">
      <x:c r="A1210" s="5" t="str">
        <x:v>D06</x:v>
      </x:c>
      <x:c r="B1210" s="5" t="str">
        <x:v>D06-T01</x:v>
      </x:c>
      <x:c r="C1210" s="5" t="str">
        <x:v>5. Complete Company Financial Table (135 Facilities Analyzed)</x:v>
      </x:c>
      <x:c r="D1210" s="5" t="n">
        <x:v>187</x:v>
      </x:c>
      <x:c r="E1210" s="5" t="n">
        <x:v>8</x:v>
      </x:c>
      <x:c r="F1210" s="5" t="str">
        <x:v>Fiscal Year</x:v>
      </x:c>
      <x:c r="G1210" s="5" t="n">
        <x:v>1</x:v>
      </x:c>
      <x:c r="H1210" s="5" t="n">
        <x:v>1</x:v>
      </x:c>
      <x:c r="I1210" s="5" t="str">
        <x:v>FY2024</x:v>
      </x:c>
      <x:c r="J1210" s="5" t="str">
        <x:v>SOURCE QUOTE; unvalidated / superseded assessments</x:v>
      </x:c>
      <x:c r="L1210" s="31" t="str">
        <x:v>D06, Markdown line 187; http://nas-1.tail55d152.ts.net:4100/static/MEDICAL_NORDICS_FINANCIALS_DOSSIER.html</x:v>
      </x:c>
    </x:row>
    <x:row r="1211" ht="42" customHeight="1">
      <x:c r="A1211" s="5" t="str">
        <x:v>D06</x:v>
      </x:c>
      <x:c r="B1211" s="5" t="str">
        <x:v>D06-T01</x:v>
      </x:c>
      <x:c r="C1211" s="5" t="str">
        <x:v>5. Complete Company Financial Table (135 Facilities Analyzed)</x:v>
      </x:c>
      <x:c r="D1211" s="5" t="n">
        <x:v>187</x:v>
      </x:c>
      <x:c r="E1211" s="5" t="n">
        <x:v>9</x:v>
      </x:c>
      <x:c r="F1211" s="5" t="str">
        <x:v>Status / Ownership / Strategic Service Alignment</x:v>
      </x:c>
      <x:c r="G1211" s="5" t="n">
        <x:v>1</x:v>
      </x:c>
      <x:c r="H1211" s="5" t="n">
        <x:v>1</x:v>
      </x:c>
      <x:c r="I1211" s="5" t="str">
        <x:v>Private liquid biopsy; Package E (Bioinformatics pipeline validation &amp; ISO 27001)</x:v>
      </x:c>
      <x:c r="J1211" s="5" t="str">
        <x:v>SOURCE QUOTE; unvalidated / superseded assessments</x:v>
      </x:c>
      <x:c r="L1211" s="31" t="str">
        <x:v>D06, Markdown line 187; http://nas-1.tail55d152.ts.net:4100/static/MEDICAL_NORDICS_FINANCIALS_DOSSIER.html</x:v>
      </x:c>
    </x:row>
    <x:row r="1212" ht="42" customHeight="1">
      <x:c r="A1212" s="5" t="str">
        <x:v>D06</x:v>
      </x:c>
      <x:c r="B1212" s="5" t="str">
        <x:v>D06-T01</x:v>
      </x:c>
      <x:c r="C1212" s="5" t="str">
        <x:v>5. Complete Company Financial Table (135 Facilities Analyzed)</x:v>
      </x:c>
      <x:c r="D1212" s="5" t="n">
        <x:v>188</x:v>
      </x:c>
      <x:c r="E1212" s="5" t="n">
        <x:v>1</x:v>
      </x:c>
      <x:c r="F1212" s="5" t="str">
        <x:v>#</x:v>
      </x:c>
      <x:c r="G1212" s="5" t="n">
        <x:v>1</x:v>
      </x:c>
      <x:c r="H1212" s="5" t="n">
        <x:v>1</x:v>
      </x:c>
      <x:c r="I1212" s="5" t="str">
        <x:v>7</x:v>
      </x:c>
      <x:c r="J1212" s="5" t="str">
        <x:v>SOURCE QUOTE; unvalidated / superseded assessments</x:v>
      </x:c>
      <x:c r="L1212" s="31" t="str">
        <x:v>D06, Markdown line 188; http://nas-1.tail55d152.ts.net:4100/static/MEDICAL_NORDICS_FINANCIALS_DOSSIER.html</x:v>
      </x:c>
    </x:row>
    <x:row r="1213" ht="42" customHeight="1">
      <x:c r="A1213" s="5" t="str">
        <x:v>D06</x:v>
      </x:c>
      <x:c r="B1213" s="5" t="str">
        <x:v>D06-T01</x:v>
      </x:c>
      <x:c r="C1213" s="5" t="str">
        <x:v>5. Complete Company Financial Table (135 Facilities Analyzed)</x:v>
      </x:c>
      <x:c r="D1213" s="5" t="n">
        <x:v>188</x:v>
      </x:c>
      <x:c r="E1213" s="5" t="n">
        <x:v>2</x:v>
      </x:c>
      <x:c r="F1213" s="5" t="str">
        <x:v>Company</x:v>
      </x:c>
      <x:c r="G1213" s="5" t="n">
        <x:v>1</x:v>
      </x:c>
      <x:c r="H1213" s="5" t="n">
        <x:v>1</x:v>
      </x:c>
      <x:c r="I1213" s="5" t="str">
        <x:v>ANYO Labs</x:v>
      </x:c>
      <x:c r="J1213" s="5" t="str">
        <x:v>SOURCE QUOTE; unvalidated / superseded assessments</x:v>
      </x:c>
      <x:c r="L1213" s="31" t="str">
        <x:v>D06, Markdown line 188; http://nas-1.tail55d152.ts.net:4100/static/MEDICAL_NORDICS_FINANCIALS_DOSSIER.html</x:v>
      </x:c>
    </x:row>
    <x:row r="1214" ht="42" customHeight="1">
      <x:c r="A1214" s="5" t="str">
        <x:v>D06</x:v>
      </x:c>
      <x:c r="B1214" s="5" t="str">
        <x:v>D06-T01</x:v>
      </x:c>
      <x:c r="C1214" s="5" t="str">
        <x:v>5. Complete Company Financial Table (135 Facilities Analyzed)</x:v>
      </x:c>
      <x:c r="D1214" s="5" t="n">
        <x:v>188</x:v>
      </x:c>
      <x:c r="E1214" s="5" t="n">
        <x:v>3</x:v>
      </x:c>
      <x:c r="F1214" s="5" t="str">
        <x:v>Location</x:v>
      </x:c>
      <x:c r="G1214" s="5" t="n">
        <x:v>1</x:v>
      </x:c>
      <x:c r="H1214" s="5" t="n">
        <x:v>1</x:v>
      </x:c>
      <x:c r="I1214" s="5" t="str">
        <x:v>Gothenburg, Sweden</x:v>
      </x:c>
      <x:c r="J1214" s="5" t="str">
        <x:v>SOURCE QUOTE; unvalidated / superseded assessments</x:v>
      </x:c>
      <x:c r="L1214" s="31" t="str">
        <x:v>D06, Markdown line 188; http://nas-1.tail55d152.ts.net:4100/static/MEDICAL_NORDICS_FINANCIALS_DOSSIER.html</x:v>
      </x:c>
    </x:row>
    <x:row r="1215" ht="42" customHeight="1">
      <x:c r="A1215" s="5" t="str">
        <x:v>D06</x:v>
      </x:c>
      <x:c r="B1215" s="5" t="str">
        <x:v>D06-T01</x:v>
      </x:c>
      <x:c r="C1215" s="5" t="str">
        <x:v>5. Complete Company Financial Table (135 Facilities Analyzed)</x:v>
      </x:c>
      <x:c r="D1215" s="5" t="n">
        <x:v>188</x:v>
      </x:c>
      <x:c r="E1215" s="5" t="n">
        <x:v>4</x:v>
      </x:c>
      <x:c r="F1215" s="5" t="str">
        <x:v>Focus Area</x:v>
      </x:c>
      <x:c r="G1215" s="5" t="n">
        <x:v>1</x:v>
      </x:c>
      <x:c r="H1215" s="5" t="n">
        <x:v>1</x:v>
      </x:c>
      <x:c r="I1215" s="5" t="str">
        <x:v>AI Small Molecule Discovery</x:v>
      </x:c>
      <x:c r="J1215" s="5" t="str">
        <x:v>SOURCE QUOTE; unvalidated / superseded assessments</x:v>
      </x:c>
      <x:c r="L1215" s="31" t="str">
        <x:v>D06, Markdown line 188; http://nas-1.tail55d152.ts.net:4100/static/MEDICAL_NORDICS_FINANCIALS_DOSSIER.html</x:v>
      </x:c>
    </x:row>
    <x:row r="1216" ht="42" customHeight="1">
      <x:c r="A1216" s="5" t="str">
        <x:v>D06</x:v>
      </x:c>
      <x:c r="B1216" s="5" t="str">
        <x:v>D06-T01</x:v>
      </x:c>
      <x:c r="C1216" s="5" t="str">
        <x:v>5. Complete Company Financial Table (135 Facilities Analyzed)</x:v>
      </x:c>
      <x:c r="D1216" s="5" t="n">
        <x:v>188</x:v>
      </x:c>
      <x:c r="E1216" s="5" t="n">
        <x:v>5</x:v>
      </x:c>
      <x:c r="F1216" s="5" t="str">
        <x:v>Revenue / Net Sales</x:v>
      </x:c>
      <x:c r="G1216" s="5" t="n">
        <x:v>1</x:v>
      </x:c>
      <x:c r="H1216" s="5" t="n">
        <x:v>1</x:v>
      </x:c>
      <x:c r="I1216" s="5" t="str">
        <x:v>SEK 2.0M est.</x:v>
      </x:c>
      <x:c r="J1216" s="5" t="str">
        <x:v>SOURCE QUOTE; unvalidated / superseded assessments</x:v>
      </x:c>
      <x:c r="L1216" s="31" t="str">
        <x:v>D06, Markdown line 188; http://nas-1.tail55d152.ts.net:4100/static/MEDICAL_NORDICS_FINANCIALS_DOSSIER.html</x:v>
      </x:c>
    </x:row>
    <x:row r="1217" ht="42" customHeight="1">
      <x:c r="A1217" s="5" t="str">
        <x:v>D06</x:v>
      </x:c>
      <x:c r="B1217" s="5" t="str">
        <x:v>D06-T01</x:v>
      </x:c>
      <x:c r="C1217" s="5" t="str">
        <x:v>5. Complete Company Financial Table (135 Facilities Analyzed)</x:v>
      </x:c>
      <x:c r="D1217" s="5" t="n">
        <x:v>188</x:v>
      </x:c>
      <x:c r="E1217" s="5" t="n">
        <x:v>6</x:v>
      </x:c>
      <x:c r="F1217" s="5" t="str">
        <x:v>R&amp;D Spend</x:v>
      </x:c>
      <x:c r="G1217" s="5" t="n">
        <x:v>1</x:v>
      </x:c>
      <x:c r="H1217" s="5" t="n">
        <x:v>1</x:v>
      </x:c>
      <x:c r="I1217" s="5" t="str">
        <x:v>SEK 5.2M</x:v>
      </x:c>
      <x:c r="J1217" s="5" t="str">
        <x:v>SOURCE QUOTE; unvalidated / superseded assessments</x:v>
      </x:c>
      <x:c r="L1217" s="31" t="str">
        <x:v>D06, Markdown line 188; http://nas-1.tail55d152.ts.net:4100/static/MEDICAL_NORDICS_FINANCIALS_DOSSIER.html</x:v>
      </x:c>
    </x:row>
    <x:row r="1218" ht="42" customHeight="1">
      <x:c r="A1218" s="5" t="str">
        <x:v>D06</x:v>
      </x:c>
      <x:c r="B1218" s="5" t="str">
        <x:v>D06-T01</x:v>
      </x:c>
      <x:c r="C1218" s="5" t="str">
        <x:v>5. Complete Company Financial Table (135 Facilities Analyzed)</x:v>
      </x:c>
      <x:c r="D1218" s="5" t="n">
        <x:v>188</x:v>
      </x:c>
      <x:c r="E1218" s="5" t="n">
        <x:v>7</x:v>
      </x:c>
      <x:c r="F1218" s="5" t="str">
        <x:v>Currency</x:v>
      </x:c>
      <x:c r="G1218" s="5" t="n">
        <x:v>1</x:v>
      </x:c>
      <x:c r="H1218" s="5" t="n">
        <x:v>1</x:v>
      </x:c>
      <x:c r="I1218" s="5" t="str">
        <x:v>SEK</x:v>
      </x:c>
      <x:c r="J1218" s="5" t="str">
        <x:v>SOURCE QUOTE; unvalidated / superseded assessments</x:v>
      </x:c>
      <x:c r="L1218" s="31" t="str">
        <x:v>D06, Markdown line 188; http://nas-1.tail55d152.ts.net:4100/static/MEDICAL_NORDICS_FINANCIALS_DOSSIER.html</x:v>
      </x:c>
    </x:row>
    <x:row r="1219" ht="42" customHeight="1">
      <x:c r="A1219" s="5" t="str">
        <x:v>D06</x:v>
      </x:c>
      <x:c r="B1219" s="5" t="str">
        <x:v>D06-T01</x:v>
      </x:c>
      <x:c r="C1219" s="5" t="str">
        <x:v>5. Complete Company Financial Table (135 Facilities Analyzed)</x:v>
      </x:c>
      <x:c r="D1219" s="5" t="n">
        <x:v>188</x:v>
      </x:c>
      <x:c r="E1219" s="5" t="n">
        <x:v>8</x:v>
      </x:c>
      <x:c r="F1219" s="5" t="str">
        <x:v>Fiscal Year</x:v>
      </x:c>
      <x:c r="G1219" s="5" t="n">
        <x:v>1</x:v>
      </x:c>
      <x:c r="H1219" s="5" t="n">
        <x:v>1</x:v>
      </x:c>
      <x:c r="I1219" s="5" t="str">
        <x:v>FY2023/24</x:v>
      </x:c>
      <x:c r="J1219" s="5" t="str">
        <x:v>SOURCE QUOTE; unvalidated / superseded assessments</x:v>
      </x:c>
      <x:c r="L1219" s="31" t="str">
        <x:v>D06, Markdown line 188; http://nas-1.tail55d152.ts.net:4100/static/MEDICAL_NORDICS_FINANCIALS_DOSSIER.html</x:v>
      </x:c>
    </x:row>
    <x:row r="1220" ht="42" customHeight="1">
      <x:c r="A1220" s="5" t="str">
        <x:v>D06</x:v>
      </x:c>
      <x:c r="B1220" s="5" t="str">
        <x:v>D06-T01</x:v>
      </x:c>
      <x:c r="C1220" s="5" t="str">
        <x:v>5. Complete Company Financial Table (135 Facilities Analyzed)</x:v>
      </x:c>
      <x:c r="D1220" s="5" t="n">
        <x:v>188</x:v>
      </x:c>
      <x:c r="E1220" s="5" t="n">
        <x:v>9</x:v>
      </x:c>
      <x:c r="F1220" s="5" t="str">
        <x:v>Status / Ownership / Strategic Service Alignment</x:v>
      </x:c>
      <x:c r="G1220" s="5" t="n">
        <x:v>1</x:v>
      </x:c>
      <x:c r="H1220" s="5" t="n">
        <x:v>1</x:v>
      </x:c>
      <x:c r="I1220" s="5" t="str">
        <x:v>Private AI discovery; Package E (Explainable AI audit &amp; pharma out-licensing models)</x:v>
      </x:c>
      <x:c r="J1220" s="5" t="str">
        <x:v>SOURCE QUOTE; unvalidated / superseded assessments</x:v>
      </x:c>
      <x:c r="L1220" s="31" t="str">
        <x:v>D06, Markdown line 188; http://nas-1.tail55d152.ts.net:4100/static/MEDICAL_NORDICS_FINANCIALS_DOSSIER.html</x:v>
      </x:c>
    </x:row>
    <x:row r="1221" ht="42" customHeight="1">
      <x:c r="A1221" s="5" t="str">
        <x:v>D06</x:v>
      </x:c>
      <x:c r="B1221" s="5" t="str">
        <x:v>D06-T01</x:v>
      </x:c>
      <x:c r="C1221" s="5" t="str">
        <x:v>5. Complete Company Financial Table (135 Facilities Analyzed)</x:v>
      </x:c>
      <x:c r="D1221" s="5" t="n">
        <x:v>189</x:v>
      </x:c>
      <x:c r="E1221" s="5" t="n">
        <x:v>1</x:v>
      </x:c>
      <x:c r="F1221" s="5" t="str">
        <x:v>#</x:v>
      </x:c>
      <x:c r="G1221" s="5" t="n">
        <x:v>1</x:v>
      </x:c>
      <x:c r="H1221" s="5" t="n">
        <x:v>1</x:v>
      </x:c>
      <x:c r="I1221" s="5" t="str">
        <x:v>8</x:v>
      </x:c>
      <x:c r="J1221" s="5" t="str">
        <x:v>SOURCE QUOTE; unvalidated / superseded assessments</x:v>
      </x:c>
      <x:c r="L1221" s="31" t="str">
        <x:v>D06, Markdown line 189; http://nas-1.tail55d152.ts.net:4100/static/MEDICAL_NORDICS_FINANCIALS_DOSSIER.html</x:v>
      </x:c>
    </x:row>
    <x:row r="1222" ht="42" customHeight="1">
      <x:c r="A1222" s="5" t="str">
        <x:v>D06</x:v>
      </x:c>
      <x:c r="B1222" s="5" t="str">
        <x:v>D06-T01</x:v>
      </x:c>
      <x:c r="C1222" s="5" t="str">
        <x:v>5. Complete Company Financial Table (135 Facilities Analyzed)</x:v>
      </x:c>
      <x:c r="D1222" s="5" t="n">
        <x:v>189</x:v>
      </x:c>
      <x:c r="E1222" s="5" t="n">
        <x:v>2</x:v>
      </x:c>
      <x:c r="F1222" s="5" t="str">
        <x:v>Company</x:v>
      </x:c>
      <x:c r="G1222" s="5" t="n">
        <x:v>1</x:v>
      </x:c>
      <x:c r="H1222" s="5" t="n">
        <x:v>1</x:v>
      </x:c>
      <x:c r="I1222" s="5" t="str">
        <x:v>AstraZeneca</x:v>
      </x:c>
      <x:c r="J1222" s="5" t="str">
        <x:v>SOURCE QUOTE; unvalidated / superseded assessments</x:v>
      </x:c>
      <x:c r="L1222" s="31" t="str">
        <x:v>D06, Markdown line 189; http://nas-1.tail55d152.ts.net:4100/static/MEDICAL_NORDICS_FINANCIALS_DOSSIER.html</x:v>
      </x:c>
    </x:row>
    <x:row r="1223" ht="42" customHeight="1">
      <x:c r="A1223" s="5" t="str">
        <x:v>D06</x:v>
      </x:c>
      <x:c r="B1223" s="5" t="str">
        <x:v>D06-T01</x:v>
      </x:c>
      <x:c r="C1223" s="5" t="str">
        <x:v>5. Complete Company Financial Table (135 Facilities Analyzed)</x:v>
      </x:c>
      <x:c r="D1223" s="5" t="n">
        <x:v>189</x:v>
      </x:c>
      <x:c r="E1223" s="5" t="n">
        <x:v>3</x:v>
      </x:c>
      <x:c r="F1223" s="5" t="str">
        <x:v>Location</x:v>
      </x:c>
      <x:c r="G1223" s="5" t="n">
        <x:v>1</x:v>
      </x:c>
      <x:c r="H1223" s="5" t="n">
        <x:v>1</x:v>
      </x:c>
      <x:c r="I1223" s="5" t="str">
        <x:v>Gothenburg, Sweden</x:v>
      </x:c>
      <x:c r="J1223" s="5" t="str">
        <x:v>SOURCE QUOTE; unvalidated / superseded assessments</x:v>
      </x:c>
      <x:c r="L1223" s="31" t="str">
        <x:v>D06, Markdown line 189; http://nas-1.tail55d152.ts.net:4100/static/MEDICAL_NORDICS_FINANCIALS_DOSSIER.html</x:v>
      </x:c>
    </x:row>
    <x:row r="1224" ht="42" customHeight="1">
      <x:c r="A1224" s="5" t="str">
        <x:v>D06</x:v>
      </x:c>
      <x:c r="B1224" s="5" t="str">
        <x:v>D06-T01</x:v>
      </x:c>
      <x:c r="C1224" s="5" t="str">
        <x:v>5. Complete Company Financial Table (135 Facilities Analyzed)</x:v>
      </x:c>
      <x:c r="D1224" s="5" t="n">
        <x:v>189</x:v>
      </x:c>
      <x:c r="E1224" s="5" t="n">
        <x:v>4</x:v>
      </x:c>
      <x:c r="F1224" s="5" t="str">
        <x:v>Focus Area</x:v>
      </x:c>
      <x:c r="G1224" s="5" t="n">
        <x:v>1</x:v>
      </x:c>
      <x:c r="H1224" s="5" t="n">
        <x:v>1</x:v>
      </x:c>
      <x:c r="I1224" s="5" t="str">
        <x:v>Biologics &amp; Vaccines Flagship</x:v>
      </x:c>
      <x:c r="J1224" s="5" t="str">
        <x:v>SOURCE QUOTE; unvalidated / superseded assessments</x:v>
      </x:c>
      <x:c r="L1224" s="31" t="str">
        <x:v>D06, Markdown line 189; http://nas-1.tail55d152.ts.net:4100/static/MEDICAL_NORDICS_FINANCIALS_DOSSIER.html</x:v>
      </x:c>
    </x:row>
    <x:row r="1225" ht="42" customHeight="1">
      <x:c r="A1225" s="5" t="str">
        <x:v>D06</x:v>
      </x:c>
      <x:c r="B1225" s="5" t="str">
        <x:v>D06-T01</x:v>
      </x:c>
      <x:c r="C1225" s="5" t="str">
        <x:v>5. Complete Company Financial Table (135 Facilities Analyzed)</x:v>
      </x:c>
      <x:c r="D1225" s="5" t="n">
        <x:v>189</x:v>
      </x:c>
      <x:c r="E1225" s="5" t="n">
        <x:v>5</x:v>
      </x:c>
      <x:c r="F1225" s="5" t="str">
        <x:v>Revenue / Net Sales</x:v>
      </x:c>
      <x:c r="G1225" s="5" t="n">
        <x:v>1</x:v>
      </x:c>
      <x:c r="H1225" s="5" t="n">
        <x:v>1</x:v>
      </x:c>
      <x:c r="I1225" s="5" t="str">
        <x:v>USD 54,100.0M ($54.1B)</x:v>
      </x:c>
      <x:c r="J1225" s="5" t="str">
        <x:v>SOURCE QUOTE; unvalidated / superseded assessments</x:v>
      </x:c>
      <x:c r="L1225" s="31" t="str">
        <x:v>D06, Markdown line 189; http://nas-1.tail55d152.ts.net:4100/static/MEDICAL_NORDICS_FINANCIALS_DOSSIER.html</x:v>
      </x:c>
    </x:row>
    <x:row r="1226" ht="42" customHeight="1">
      <x:c r="A1226" s="5" t="str">
        <x:v>D06</x:v>
      </x:c>
      <x:c r="B1226" s="5" t="str">
        <x:v>D06-T01</x:v>
      </x:c>
      <x:c r="C1226" s="5" t="str">
        <x:v>5. Complete Company Financial Table (135 Facilities Analyzed)</x:v>
      </x:c>
      <x:c r="D1226" s="5" t="n">
        <x:v>189</x:v>
      </x:c>
      <x:c r="E1226" s="5" t="n">
        <x:v>6</x:v>
      </x:c>
      <x:c r="F1226" s="5" t="str">
        <x:v>R&amp;D Spend</x:v>
      </x:c>
      <x:c r="G1226" s="5" t="n">
        <x:v>1</x:v>
      </x:c>
      <x:c r="H1226" s="5" t="n">
        <x:v>1</x:v>
      </x:c>
      <x:c r="I1226" s="5" t="str">
        <x:v>USD 13,600.0M ($13.6B)</x:v>
      </x:c>
      <x:c r="J1226" s="5" t="str">
        <x:v>SOURCE QUOTE; unvalidated / superseded assessments</x:v>
      </x:c>
      <x:c r="L1226" s="31" t="str">
        <x:v>D06, Markdown line 189; http://nas-1.tail55d152.ts.net:4100/static/MEDICAL_NORDICS_FINANCIALS_DOSSIER.html</x:v>
      </x:c>
    </x:row>
    <x:row r="1227" ht="42" customHeight="1">
      <x:c r="A1227" s="5" t="str">
        <x:v>D06</x:v>
      </x:c>
      <x:c r="B1227" s="5" t="str">
        <x:v>D06-T01</x:v>
      </x:c>
      <x:c r="C1227" s="5" t="str">
        <x:v>5. Complete Company Financial Table (135 Facilities Analyzed)</x:v>
      </x:c>
      <x:c r="D1227" s="5" t="n">
        <x:v>189</x:v>
      </x:c>
      <x:c r="E1227" s="5" t="n">
        <x:v>7</x:v>
      </x:c>
      <x:c r="F1227" s="5" t="str">
        <x:v>Currency</x:v>
      </x:c>
      <x:c r="G1227" s="5" t="n">
        <x:v>1</x:v>
      </x:c>
      <x:c r="H1227" s="5" t="n">
        <x:v>1</x:v>
      </x:c>
      <x:c r="I1227" s="5" t="str">
        <x:v>USD</x:v>
      </x:c>
      <x:c r="J1227" s="5" t="str">
        <x:v>SOURCE QUOTE; unvalidated / superseded assessments</x:v>
      </x:c>
      <x:c r="L1227" s="31" t="str">
        <x:v>D06, Markdown line 189; http://nas-1.tail55d152.ts.net:4100/static/MEDICAL_NORDICS_FINANCIALS_DOSSIER.html</x:v>
      </x:c>
    </x:row>
    <x:row r="1228" ht="42" customHeight="1">
      <x:c r="A1228" s="5" t="str">
        <x:v>D06</x:v>
      </x:c>
      <x:c r="B1228" s="5" t="str">
        <x:v>D06-T01</x:v>
      </x:c>
      <x:c r="C1228" s="5" t="str">
        <x:v>5. Complete Company Financial Table (135 Facilities Analyzed)</x:v>
      </x:c>
      <x:c r="D1228" s="5" t="n">
        <x:v>189</x:v>
      </x:c>
      <x:c r="E1228" s="5" t="n">
        <x:v>8</x:v>
      </x:c>
      <x:c r="F1228" s="5" t="str">
        <x:v>Fiscal Year</x:v>
      </x:c>
      <x:c r="G1228" s="5" t="n">
        <x:v>1</x:v>
      </x:c>
      <x:c r="H1228" s="5" t="n">
        <x:v>1</x:v>
      </x:c>
      <x:c r="I1228" s="5" t="str">
        <x:v>FY2024</x:v>
      </x:c>
      <x:c r="J1228" s="5" t="str">
        <x:v>SOURCE QUOTE; unvalidated / superseded assessments</x:v>
      </x:c>
      <x:c r="L1228" s="31" t="str">
        <x:v>D06, Markdown line 189; http://nas-1.tail55d152.ts.net:4100/static/MEDICAL_NORDICS_FINANCIALS_DOSSIER.html</x:v>
      </x:c>
    </x:row>
    <x:row r="1229" ht="42" customHeight="1">
      <x:c r="A1229" s="5" t="str">
        <x:v>D06</x:v>
      </x:c>
      <x:c r="B1229" s="5" t="str">
        <x:v>D06-T01</x:v>
      </x:c>
      <x:c r="C1229" s="5" t="str">
        <x:v>5. Complete Company Financial Table (135 Facilities Analyzed)</x:v>
      </x:c>
      <x:c r="D1229" s="5" t="n">
        <x:v>189</x:v>
      </x:c>
      <x:c r="E1229" s="5" t="n">
        <x:v>9</x:v>
      </x:c>
      <x:c r="F1229" s="5" t="str">
        <x:v>Status / Ownership / Strategic Service Alignment</x:v>
      </x:c>
      <x:c r="G1229" s="5" t="n">
        <x:v>1</x:v>
      </x:c>
      <x:c r="H1229" s="5" t="n">
        <x:v>1</x:v>
      </x:c>
      <x:c r="I1229" s="5" t="str">
        <x:v>Listed (AZN); Package B &amp; D (Clinical NLP screening &amp; Södertälje plant yield defense)</x:v>
      </x:c>
      <x:c r="J1229" s="5" t="str">
        <x:v>SOURCE QUOTE; unvalidated / superseded assessments</x:v>
      </x:c>
      <x:c r="L1229" s="31" t="str">
        <x:v>D06, Markdown line 189; http://nas-1.tail55d152.ts.net:4100/static/MEDICAL_NORDICS_FINANCIALS_DOSSIER.html</x:v>
      </x:c>
    </x:row>
    <x:row r="1230" ht="42" customHeight="1">
      <x:c r="A1230" s="5" t="str">
        <x:v>D06</x:v>
      </x:c>
      <x:c r="B1230" s="5" t="str">
        <x:v>D06-T01</x:v>
      </x:c>
      <x:c r="C1230" s="5" t="str">
        <x:v>5. Complete Company Financial Table (135 Facilities Analyzed)</x:v>
      </x:c>
      <x:c r="D1230" s="5" t="n">
        <x:v>190</x:v>
      </x:c>
      <x:c r="E1230" s="5" t="n">
        <x:v>1</x:v>
      </x:c>
      <x:c r="F1230" s="5" t="str">
        <x:v>#</x:v>
      </x:c>
      <x:c r="G1230" s="5" t="n">
        <x:v>1</x:v>
      </x:c>
      <x:c r="H1230" s="5" t="n">
        <x:v>1</x:v>
      </x:c>
      <x:c r="I1230" s="5" t="str">
        <x:v>9</x:v>
      </x:c>
      <x:c r="J1230" s="5" t="str">
        <x:v>SOURCE QUOTE; unvalidated / superseded assessments</x:v>
      </x:c>
      <x:c r="L1230" s="31" t="str">
        <x:v>D06, Markdown line 190; http://nas-1.tail55d152.ts.net:4100/static/MEDICAL_NORDICS_FINANCIALS_DOSSIER.html</x:v>
      </x:c>
    </x:row>
    <x:row r="1231" ht="42" customHeight="1">
      <x:c r="A1231" s="5" t="str">
        <x:v>D06</x:v>
      </x:c>
      <x:c r="B1231" s="5" t="str">
        <x:v>D06-T01</x:v>
      </x:c>
      <x:c r="C1231" s="5" t="str">
        <x:v>5. Complete Company Financial Table (135 Facilities Analyzed)</x:v>
      </x:c>
      <x:c r="D1231" s="5" t="n">
        <x:v>190</x:v>
      </x:c>
      <x:c r="E1231" s="5" t="n">
        <x:v>2</x:v>
      </x:c>
      <x:c r="F1231" s="5" t="str">
        <x:v>Company</x:v>
      </x:c>
      <x:c r="G1231" s="5" t="n">
        <x:v>1</x:v>
      </x:c>
      <x:c r="H1231" s="5" t="n">
        <x:v>1</x:v>
      </x:c>
      <x:c r="I1231" s="5" t="str">
        <x:v>Cellenion</x:v>
      </x:c>
      <x:c r="J1231" s="5" t="str">
        <x:v>SOURCE QUOTE; unvalidated / superseded assessments</x:v>
      </x:c>
      <x:c r="L1231" s="31" t="str">
        <x:v>D06, Markdown line 190; http://nas-1.tail55d152.ts.net:4100/static/MEDICAL_NORDICS_FINANCIALS_DOSSIER.html</x:v>
      </x:c>
    </x:row>
    <x:row r="1232" ht="42" customHeight="1">
      <x:c r="A1232" s="5" t="str">
        <x:v>D06</x:v>
      </x:c>
      <x:c r="B1232" s="5" t="str">
        <x:v>D06-T01</x:v>
      </x:c>
      <x:c r="C1232" s="5" t="str">
        <x:v>5. Complete Company Financial Table (135 Facilities Analyzed)</x:v>
      </x:c>
      <x:c r="D1232" s="5" t="n">
        <x:v>190</x:v>
      </x:c>
      <x:c r="E1232" s="5" t="n">
        <x:v>3</x:v>
      </x:c>
      <x:c r="F1232" s="5" t="str">
        <x:v>Location</x:v>
      </x:c>
      <x:c r="G1232" s="5" t="n">
        <x:v>1</x:v>
      </x:c>
      <x:c r="H1232" s="5" t="n">
        <x:v>1</x:v>
      </x:c>
      <x:c r="I1232" s="5" t="str">
        <x:v>Gothenburg, Sweden</x:v>
      </x:c>
      <x:c r="J1232" s="5" t="str">
        <x:v>SOURCE QUOTE; unvalidated / superseded assessments</x:v>
      </x:c>
      <x:c r="L1232" s="31" t="str">
        <x:v>D06, Markdown line 190; http://nas-1.tail55d152.ts.net:4100/static/MEDICAL_NORDICS_FINANCIALS_DOSSIER.html</x:v>
      </x:c>
    </x:row>
    <x:row r="1233" ht="42" customHeight="1">
      <x:c r="A1233" s="5" t="str">
        <x:v>D06</x:v>
      </x:c>
      <x:c r="B1233" s="5" t="str">
        <x:v>D06-T01</x:v>
      </x:c>
      <x:c r="C1233" s="5" t="str">
        <x:v>5. Complete Company Financial Table (135 Facilities Analyzed)</x:v>
      </x:c>
      <x:c r="D1233" s="5" t="n">
        <x:v>190</x:v>
      </x:c>
      <x:c r="E1233" s="5" t="n">
        <x:v>4</x:v>
      </x:c>
      <x:c r="F1233" s="5" t="str">
        <x:v>Focus Area</x:v>
      </x:c>
      <x:c r="G1233" s="5" t="n">
        <x:v>1</x:v>
      </x:c>
      <x:c r="H1233" s="5" t="n">
        <x:v>1</x:v>
      </x:c>
      <x:c r="I1233" s="5" t="str">
        <x:v>Single Cell Isolation &amp; Picoliter</x:v>
      </x:c>
      <x:c r="J1233" s="5" t="str">
        <x:v>SOURCE QUOTE; unvalidated / superseded assessments</x:v>
      </x:c>
      <x:c r="L1233" s="31" t="str">
        <x:v>D06, Markdown line 190; http://nas-1.tail55d152.ts.net:4100/static/MEDICAL_NORDICS_FINANCIALS_DOSSIER.html</x:v>
      </x:c>
    </x:row>
    <x:row r="1234" ht="42" customHeight="1">
      <x:c r="A1234" s="5" t="str">
        <x:v>D06</x:v>
      </x:c>
      <x:c r="B1234" s="5" t="str">
        <x:v>D06-T01</x:v>
      </x:c>
      <x:c r="C1234" s="5" t="str">
        <x:v>5. Complete Company Financial Table (135 Facilities Analyzed)</x:v>
      </x:c>
      <x:c r="D1234" s="5" t="n">
        <x:v>190</x:v>
      </x:c>
      <x:c r="E1234" s="5" t="n">
        <x:v>5</x:v>
      </x:c>
      <x:c r="F1234" s="5" t="str">
        <x:v>Revenue / Net Sales</x:v>
      </x:c>
      <x:c r="G1234" s="5" t="n">
        <x:v>1</x:v>
      </x:c>
      <x:c r="H1234" s="5" t="n">
        <x:v>1</x:v>
      </x:c>
      <x:c r="I1234" s="5" t="str">
        <x:v>EUR 18.0M est. (~SEK 205M)</x:v>
      </x:c>
      <x:c r="J1234" s="5" t="str">
        <x:v>SOURCE QUOTE; unvalidated / superseded assessments</x:v>
      </x:c>
      <x:c r="L1234" s="31" t="str">
        <x:v>D06, Markdown line 190; http://nas-1.tail55d152.ts.net:4100/static/MEDICAL_NORDICS_FINANCIALS_DOSSIER.html</x:v>
      </x:c>
    </x:row>
    <x:row r="1235" ht="42" customHeight="1">
      <x:c r="A1235" s="5" t="str">
        <x:v>D06</x:v>
      </x:c>
      <x:c r="B1235" s="5" t="str">
        <x:v>D06-T01</x:v>
      </x:c>
      <x:c r="C1235" s="5" t="str">
        <x:v>5. Complete Company Financial Table (135 Facilities Analyzed)</x:v>
      </x:c>
      <x:c r="D1235" s="5" t="n">
        <x:v>190</x:v>
      </x:c>
      <x:c r="E1235" s="5" t="n">
        <x:v>6</x:v>
      </x:c>
      <x:c r="F1235" s="5" t="str">
        <x:v>R&amp;D Spend</x:v>
      </x:c>
      <x:c r="G1235" s="5" t="n">
        <x:v>1</x:v>
      </x:c>
      <x:c r="H1235" s="5" t="n">
        <x:v>1</x:v>
      </x:c>
      <x:c r="I1235" s="5" t="str">
        <x:v>EUR 4.2M (~SEK 48M)</x:v>
      </x:c>
      <x:c r="J1235" s="5" t="str">
        <x:v>SOURCE QUOTE; unvalidated / superseded assessments</x:v>
      </x:c>
      <x:c r="L1235" s="31" t="str">
        <x:v>D06, Markdown line 190; http://nas-1.tail55d152.ts.net:4100/static/MEDICAL_NORDICS_FINANCIALS_DOSSIER.html</x:v>
      </x:c>
    </x:row>
    <x:row r="1236" ht="42" customHeight="1">
      <x:c r="A1236" s="5" t="str">
        <x:v>D06</x:v>
      </x:c>
      <x:c r="B1236" s="5" t="str">
        <x:v>D06-T01</x:v>
      </x:c>
      <x:c r="C1236" s="5" t="str">
        <x:v>5. Complete Company Financial Table (135 Facilities Analyzed)</x:v>
      </x:c>
      <x:c r="D1236" s="5" t="n">
        <x:v>190</x:v>
      </x:c>
      <x:c r="E1236" s="5" t="n">
        <x:v>7</x:v>
      </x:c>
      <x:c r="F1236" s="5" t="str">
        <x:v>Currency</x:v>
      </x:c>
      <x:c r="G1236" s="5" t="n">
        <x:v>1</x:v>
      </x:c>
      <x:c r="H1236" s="5" t="n">
        <x:v>1</x:v>
      </x:c>
      <x:c r="I1236" s="5" t="str">
        <x:v>EUR</x:v>
      </x:c>
      <x:c r="J1236" s="5" t="str">
        <x:v>SOURCE QUOTE; unvalidated / superseded assessments</x:v>
      </x:c>
      <x:c r="L1236" s="31" t="str">
        <x:v>D06, Markdown line 190; http://nas-1.tail55d152.ts.net:4100/static/MEDICAL_NORDICS_FINANCIALS_DOSSIER.html</x:v>
      </x:c>
    </x:row>
    <x:row r="1237" ht="42" customHeight="1">
      <x:c r="A1237" s="5" t="str">
        <x:v>D06</x:v>
      </x:c>
      <x:c r="B1237" s="5" t="str">
        <x:v>D06-T01</x:v>
      </x:c>
      <x:c r="C1237" s="5" t="str">
        <x:v>5. Complete Company Financial Table (135 Facilities Analyzed)</x:v>
      </x:c>
      <x:c r="D1237" s="5" t="n">
        <x:v>190</x:v>
      </x:c>
      <x:c r="E1237" s="5" t="n">
        <x:v>8</x:v>
      </x:c>
      <x:c r="F1237" s="5" t="str">
        <x:v>Fiscal Year</x:v>
      </x:c>
      <x:c r="G1237" s="5" t="n">
        <x:v>1</x:v>
      </x:c>
      <x:c r="H1237" s="5" t="n">
        <x:v>1</x:v>
      </x:c>
      <x:c r="I1237" s="5" t="str">
        <x:v>FY2023/24</x:v>
      </x:c>
      <x:c r="J1237" s="5" t="str">
        <x:v>SOURCE QUOTE; unvalidated / superseded assessments</x:v>
      </x:c>
      <x:c r="L1237" s="31" t="str">
        <x:v>D06, Markdown line 190; http://nas-1.tail55d152.ts.net:4100/static/MEDICAL_NORDICS_FINANCIALS_DOSSIER.html</x:v>
      </x:c>
    </x:row>
    <x:row r="1238" ht="42" customHeight="1">
      <x:c r="A1238" s="5" t="str">
        <x:v>D06</x:v>
      </x:c>
      <x:c r="B1238" s="5" t="str">
        <x:v>D06-T01</x:v>
      </x:c>
      <x:c r="C1238" s="5" t="str">
        <x:v>5. Complete Company Financial Table (135 Facilities Analyzed)</x:v>
      </x:c>
      <x:c r="D1238" s="5" t="n">
        <x:v>190</x:v>
      </x:c>
      <x:c r="E1238" s="5" t="n">
        <x:v>9</x:v>
      </x:c>
      <x:c r="F1238" s="5" t="str">
        <x:v>Status / Ownership / Strategic Service Alignment</x:v>
      </x:c>
      <x:c r="G1238" s="5" t="n">
        <x:v>1</x:v>
      </x:c>
      <x:c r="H1238" s="5" t="n">
        <x:v>1</x:v>
      </x:c>
      <x:c r="I1238" s="5" t="str">
        <x:v>BICO Group division; Package A (Precision dispenser hardware-to-cloud DaaS)</x:v>
      </x:c>
      <x:c r="J1238" s="5" t="str">
        <x:v>SOURCE QUOTE; unvalidated / superseded assessments</x:v>
      </x:c>
      <x:c r="L1238" s="31" t="str">
        <x:v>D06, Markdown line 190; http://nas-1.tail55d152.ts.net:4100/static/MEDICAL_NORDICS_FINANCIALS_DOSSIER.html</x:v>
      </x:c>
    </x:row>
    <x:row r="1239" ht="42" customHeight="1">
      <x:c r="A1239" s="5" t="str">
        <x:v>D06</x:v>
      </x:c>
      <x:c r="B1239" s="5" t="str">
        <x:v>D06-T01</x:v>
      </x:c>
      <x:c r="C1239" s="5" t="str">
        <x:v>5. Complete Company Financial Table (135 Facilities Analyzed)</x:v>
      </x:c>
      <x:c r="D1239" s="5" t="n">
        <x:v>191</x:v>
      </x:c>
      <x:c r="E1239" s="5" t="n">
        <x:v>1</x:v>
      </x:c>
      <x:c r="F1239" s="5" t="str">
        <x:v>#</x:v>
      </x:c>
      <x:c r="G1239" s="5" t="n">
        <x:v>1</x:v>
      </x:c>
      <x:c r="H1239" s="5" t="n">
        <x:v>1</x:v>
      </x:c>
      <x:c r="I1239" s="5" t="str">
        <x:v>10</x:v>
      </x:c>
      <x:c r="J1239" s="5" t="str">
        <x:v>SOURCE QUOTE; unvalidated / superseded assessments</x:v>
      </x:c>
      <x:c r="L1239" s="31" t="str">
        <x:v>D06, Markdown line 191; http://nas-1.tail55d152.ts.net:4100/static/MEDICAL_NORDICS_FINANCIALS_DOSSIER.html</x:v>
      </x:c>
    </x:row>
    <x:row r="1240" ht="42" customHeight="1">
      <x:c r="A1240" s="5" t="str">
        <x:v>D06</x:v>
      </x:c>
      <x:c r="B1240" s="5" t="str">
        <x:v>D06-T01</x:v>
      </x:c>
      <x:c r="C1240" s="5" t="str">
        <x:v>5. Complete Company Financial Table (135 Facilities Analyzed)</x:v>
      </x:c>
      <x:c r="D1240" s="5" t="n">
        <x:v>191</x:v>
      </x:c>
      <x:c r="E1240" s="5" t="n">
        <x:v>2</x:v>
      </x:c>
      <x:c r="F1240" s="5" t="str">
        <x:v>Company</x:v>
      </x:c>
      <x:c r="G1240" s="5" t="n">
        <x:v>1</x:v>
      </x:c>
      <x:c r="H1240" s="5" t="n">
        <x:v>1</x:v>
      </x:c>
      <x:c r="I1240" s="5" t="str">
        <x:v>Cellink</x:v>
      </x:c>
      <x:c r="J1240" s="5" t="str">
        <x:v>SOURCE QUOTE; unvalidated / superseded assessments</x:v>
      </x:c>
      <x:c r="L1240" s="31" t="str">
        <x:v>D06, Markdown line 191; http://nas-1.tail55d152.ts.net:4100/static/MEDICAL_NORDICS_FINANCIALS_DOSSIER.html</x:v>
      </x:c>
    </x:row>
    <x:row r="1241" ht="42" customHeight="1">
      <x:c r="A1241" s="5" t="str">
        <x:v>D06</x:v>
      </x:c>
      <x:c r="B1241" s="5" t="str">
        <x:v>D06-T01</x:v>
      </x:c>
      <x:c r="C1241" s="5" t="str">
        <x:v>5. Complete Company Financial Table (135 Facilities Analyzed)</x:v>
      </x:c>
      <x:c r="D1241" s="5" t="n">
        <x:v>191</x:v>
      </x:c>
      <x:c r="E1241" s="5" t="n">
        <x:v>3</x:v>
      </x:c>
      <x:c r="F1241" s="5" t="str">
        <x:v>Location</x:v>
      </x:c>
      <x:c r="G1241" s="5" t="n">
        <x:v>1</x:v>
      </x:c>
      <x:c r="H1241" s="5" t="n">
        <x:v>1</x:v>
      </x:c>
      <x:c r="I1241" s="5" t="str">
        <x:v>Gothenburg, Sweden</x:v>
      </x:c>
      <x:c r="J1241" s="5" t="str">
        <x:v>SOURCE QUOTE; unvalidated / superseded assessments</x:v>
      </x:c>
      <x:c r="L1241" s="31" t="str">
        <x:v>D06, Markdown line 191; http://nas-1.tail55d152.ts.net:4100/static/MEDICAL_NORDICS_FINANCIALS_DOSSIER.html</x:v>
      </x:c>
    </x:row>
    <x:row r="1242" ht="42" customHeight="1">
      <x:c r="A1242" s="5" t="str">
        <x:v>D06</x:v>
      </x:c>
      <x:c r="B1242" s="5" t="str">
        <x:v>D06-T01</x:v>
      </x:c>
      <x:c r="C1242" s="5" t="str">
        <x:v>5. Complete Company Financial Table (135 Facilities Analyzed)</x:v>
      </x:c>
      <x:c r="D1242" s="5" t="n">
        <x:v>191</x:v>
      </x:c>
      <x:c r="E1242" s="5" t="n">
        <x:v>4</x:v>
      </x:c>
      <x:c r="F1242" s="5" t="str">
        <x:v>Focus Area</x:v>
      </x:c>
      <x:c r="G1242" s="5" t="n">
        <x:v>1</x:v>
      </x:c>
      <x:c r="H1242" s="5" t="n">
        <x:v>1</x:v>
      </x:c>
      <x:c r="I1242" s="5" t="str">
        <x:v>3D Bioprinting Systems</x:v>
      </x:c>
      <x:c r="J1242" s="5" t="str">
        <x:v>SOURCE QUOTE; unvalidated / superseded assessments</x:v>
      </x:c>
      <x:c r="L1242" s="31" t="str">
        <x:v>D06, Markdown line 191; http://nas-1.tail55d152.ts.net:4100/static/MEDICAL_NORDICS_FINANCIALS_DOSSIER.html</x:v>
      </x:c>
    </x:row>
    <x:row r="1243" ht="42" customHeight="1">
      <x:c r="A1243" s="5" t="str">
        <x:v>D06</x:v>
      </x:c>
      <x:c r="B1243" s="5" t="str">
        <x:v>D06-T01</x:v>
      </x:c>
      <x:c r="C1243" s="5" t="str">
        <x:v>5. Complete Company Financial Table (135 Facilities Analyzed)</x:v>
      </x:c>
      <x:c r="D1243" s="5" t="n">
        <x:v>191</x:v>
      </x:c>
      <x:c r="E1243" s="5" t="n">
        <x:v>5</x:v>
      </x:c>
      <x:c r="F1243" s="5" t="str">
        <x:v>Revenue / Net Sales</x:v>
      </x:c>
      <x:c r="G1243" s="5" t="n">
        <x:v>1</x:v>
      </x:c>
      <x:c r="H1243" s="5" t="n">
        <x:v>1</x:v>
      </x:c>
      <x:c r="I1243" s="5" t="str">
        <x:v>SEK 2,240.0M (BICO Group; Cellink ~600M)</x:v>
      </x:c>
      <x:c r="J1243" s="5" t="str">
        <x:v>SOURCE QUOTE; unvalidated / superseded assessments</x:v>
      </x:c>
      <x:c r="L1243" s="31" t="str">
        <x:v>D06, Markdown line 191; http://nas-1.tail55d152.ts.net:4100/static/MEDICAL_NORDICS_FINANCIALS_DOSSIER.html</x:v>
      </x:c>
    </x:row>
    <x:row r="1244" ht="42" customHeight="1">
      <x:c r="A1244" s="5" t="str">
        <x:v>D06</x:v>
      </x:c>
      <x:c r="B1244" s="5" t="str">
        <x:v>D06-T01</x:v>
      </x:c>
      <x:c r="C1244" s="5" t="str">
        <x:v>5. Complete Company Financial Table (135 Facilities Analyzed)</x:v>
      </x:c>
      <x:c r="D1244" s="5" t="n">
        <x:v>191</x:v>
      </x:c>
      <x:c r="E1244" s="5" t="n">
        <x:v>6</x:v>
      </x:c>
      <x:c r="F1244" s="5" t="str">
        <x:v>R&amp;D Spend</x:v>
      </x:c>
      <x:c r="G1244" s="5" t="n">
        <x:v>1</x:v>
      </x:c>
      <x:c r="H1244" s="5" t="n">
        <x:v>1</x:v>
      </x:c>
      <x:c r="I1244" s="5" t="str">
        <x:v>SEK 215.0M (BICO Group R&amp;D)</x:v>
      </x:c>
      <x:c r="J1244" s="5" t="str">
        <x:v>SOURCE QUOTE; unvalidated / superseded assessments</x:v>
      </x:c>
      <x:c r="L1244" s="31" t="str">
        <x:v>D06, Markdown line 191; http://nas-1.tail55d152.ts.net:4100/static/MEDICAL_NORDICS_FINANCIALS_DOSSIER.html</x:v>
      </x:c>
    </x:row>
    <x:row r="1245" ht="42" customHeight="1">
      <x:c r="A1245" s="5" t="str">
        <x:v>D06</x:v>
      </x:c>
      <x:c r="B1245" s="5" t="str">
        <x:v>D06-T01</x:v>
      </x:c>
      <x:c r="C1245" s="5" t="str">
        <x:v>5. Complete Company Financial Table (135 Facilities Analyzed)</x:v>
      </x:c>
      <x:c r="D1245" s="5" t="n">
        <x:v>191</x:v>
      </x:c>
      <x:c r="E1245" s="5" t="n">
        <x:v>7</x:v>
      </x:c>
      <x:c r="F1245" s="5" t="str">
        <x:v>Currency</x:v>
      </x:c>
      <x:c r="G1245" s="5" t="n">
        <x:v>1</x:v>
      </x:c>
      <x:c r="H1245" s="5" t="n">
        <x:v>1</x:v>
      </x:c>
      <x:c r="I1245" s="5" t="str">
        <x:v>SEK</x:v>
      </x:c>
      <x:c r="J1245" s="5" t="str">
        <x:v>SOURCE QUOTE; unvalidated / superseded assessments</x:v>
      </x:c>
      <x:c r="L1245" s="31" t="str">
        <x:v>D06, Markdown line 191; http://nas-1.tail55d152.ts.net:4100/static/MEDICAL_NORDICS_FINANCIALS_DOSSIER.html</x:v>
      </x:c>
    </x:row>
    <x:row r="1246" ht="42" customHeight="1">
      <x:c r="A1246" s="5" t="str">
        <x:v>D06</x:v>
      </x:c>
      <x:c r="B1246" s="5" t="str">
        <x:v>D06-T01</x:v>
      </x:c>
      <x:c r="C1246" s="5" t="str">
        <x:v>5. Complete Company Financial Table (135 Facilities Analyzed)</x:v>
      </x:c>
      <x:c r="D1246" s="5" t="n">
        <x:v>191</x:v>
      </x:c>
      <x:c r="E1246" s="5" t="n">
        <x:v>8</x:v>
      </x:c>
      <x:c r="F1246" s="5" t="str">
        <x:v>Fiscal Year</x:v>
      </x:c>
      <x:c r="G1246" s="5" t="n">
        <x:v>1</x:v>
      </x:c>
      <x:c r="H1246" s="5" t="n">
        <x:v>1</x:v>
      </x:c>
      <x:c r="I1246" s="5" t="str">
        <x:v>FY2023/24</x:v>
      </x:c>
      <x:c r="J1246" s="5" t="str">
        <x:v>SOURCE QUOTE; unvalidated / superseded assessments</x:v>
      </x:c>
      <x:c r="L1246" s="31" t="str">
        <x:v>D06, Markdown line 191; http://nas-1.tail55d152.ts.net:4100/static/MEDICAL_NORDICS_FINANCIALS_DOSSIER.html</x:v>
      </x:c>
    </x:row>
    <x:row r="1247" ht="42" customHeight="1">
      <x:c r="A1247" s="5" t="str">
        <x:v>D06</x:v>
      </x:c>
      <x:c r="B1247" s="5" t="str">
        <x:v>D06-T01</x:v>
      </x:c>
      <x:c r="C1247" s="5" t="str">
        <x:v>5. Complete Company Financial Table (135 Facilities Analyzed)</x:v>
      </x:c>
      <x:c r="D1247" s="5" t="n">
        <x:v>191</x:v>
      </x:c>
      <x:c r="E1247" s="5" t="n">
        <x:v>9</x:v>
      </x:c>
      <x:c r="F1247" s="5" t="str">
        <x:v>Status / Ownership / Strategic Service Alignment</x:v>
      </x:c>
      <x:c r="G1247" s="5" t="n">
        <x:v>1</x:v>
      </x:c>
      <x:c r="H1247" s="5" t="n">
        <x:v>1</x:v>
      </x:c>
      <x:c r="I1247" s="5" t="str">
        <x:v>BICO Group (Nasdaq: BICO); Package A (Bio-ink consumable subscription portal)</x:v>
      </x:c>
      <x:c r="J1247" s="5" t="str">
        <x:v>SOURCE QUOTE; unvalidated / superseded assessments</x:v>
      </x:c>
      <x:c r="L1247" s="31" t="str">
        <x:v>D06, Markdown line 191; http://nas-1.tail55d152.ts.net:4100/static/MEDICAL_NORDICS_FINANCIALS_DOSSIER.html</x:v>
      </x:c>
    </x:row>
    <x:row r="1248" ht="42" customHeight="1">
      <x:c r="A1248" s="5" t="str">
        <x:v>D06</x:v>
      </x:c>
      <x:c r="B1248" s="5" t="str">
        <x:v>D06-T01</x:v>
      </x:c>
      <x:c r="C1248" s="5" t="str">
        <x:v>5. Complete Company Financial Table (135 Facilities Analyzed)</x:v>
      </x:c>
      <x:c r="D1248" s="5" t="n">
        <x:v>192</x:v>
      </x:c>
      <x:c r="E1248" s="5" t="n">
        <x:v>1</x:v>
      </x:c>
      <x:c r="F1248" s="5" t="str">
        <x:v>#</x:v>
      </x:c>
      <x:c r="G1248" s="5" t="n">
        <x:v>1</x:v>
      </x:c>
      <x:c r="H1248" s="5" t="n">
        <x:v>1</x:v>
      </x:c>
      <x:c r="I1248" s="5" t="str">
        <x:v>11</x:v>
      </x:c>
      <x:c r="J1248" s="5" t="str">
        <x:v>SOURCE QUOTE; unvalidated / superseded assessments</x:v>
      </x:c>
      <x:c r="L1248" s="31" t="str">
        <x:v>D06, Markdown line 192; http://nas-1.tail55d152.ts.net:4100/static/MEDICAL_NORDICS_FINANCIALS_DOSSIER.html</x:v>
      </x:c>
    </x:row>
    <x:row r="1249" ht="42" customHeight="1">
      <x:c r="A1249" s="5" t="str">
        <x:v>D06</x:v>
      </x:c>
      <x:c r="B1249" s="5" t="str">
        <x:v>D06-T01</x:v>
      </x:c>
      <x:c r="C1249" s="5" t="str">
        <x:v>5. Complete Company Financial Table (135 Facilities Analyzed)</x:v>
      </x:c>
      <x:c r="D1249" s="5" t="n">
        <x:v>192</x:v>
      </x:c>
      <x:c r="E1249" s="5" t="n">
        <x:v>2</x:v>
      </x:c>
      <x:c r="F1249" s="5" t="str">
        <x:v>Company</x:v>
      </x:c>
      <x:c r="G1249" s="5" t="n">
        <x:v>1</x:v>
      </x:c>
      <x:c r="H1249" s="5" t="n">
        <x:v>1</x:v>
      </x:c>
      <x:c r="I1249" s="5" t="str">
        <x:v>Getinge</x:v>
      </x:c>
      <x:c r="J1249" s="5" t="str">
        <x:v>SOURCE QUOTE; unvalidated / superseded assessments</x:v>
      </x:c>
      <x:c r="L1249" s="31" t="str">
        <x:v>D06, Markdown line 192; http://nas-1.tail55d152.ts.net:4100/static/MEDICAL_NORDICS_FINANCIALS_DOSSIER.html</x:v>
      </x:c>
    </x:row>
    <x:row r="1250" ht="42" customHeight="1">
      <x:c r="A1250" s="5" t="str">
        <x:v>D06</x:v>
      </x:c>
      <x:c r="B1250" s="5" t="str">
        <x:v>D06-T01</x:v>
      </x:c>
      <x:c r="C1250" s="5" t="str">
        <x:v>5. Complete Company Financial Table (135 Facilities Analyzed)</x:v>
      </x:c>
      <x:c r="D1250" s="5" t="n">
        <x:v>192</x:v>
      </x:c>
      <x:c r="E1250" s="5" t="n">
        <x:v>3</x:v>
      </x:c>
      <x:c r="F1250" s="5" t="str">
        <x:v>Location</x:v>
      </x:c>
      <x:c r="G1250" s="5" t="n">
        <x:v>1</x:v>
      </x:c>
      <x:c r="H1250" s="5" t="n">
        <x:v>1</x:v>
      </x:c>
      <x:c r="I1250" s="5" t="str">
        <x:v>Gothenburg, Sweden</x:v>
      </x:c>
      <x:c r="J1250" s="5" t="str">
        <x:v>SOURCE QUOTE; unvalidated / superseded assessments</x:v>
      </x:c>
      <x:c r="L1250" s="31" t="str">
        <x:v>D06, Markdown line 192; http://nas-1.tail55d152.ts.net:4100/static/MEDICAL_NORDICS_FINANCIALS_DOSSIER.html</x:v>
      </x:c>
    </x:row>
    <x:row r="1251" ht="42" customHeight="1">
      <x:c r="A1251" s="5" t="str">
        <x:v>D06</x:v>
      </x:c>
      <x:c r="B1251" s="5" t="str">
        <x:v>D06-T01</x:v>
      </x:c>
      <x:c r="C1251" s="5" t="str">
        <x:v>5. Complete Company Financial Table (135 Facilities Analyzed)</x:v>
      </x:c>
      <x:c r="D1251" s="5" t="n">
        <x:v>192</x:v>
      </x:c>
      <x:c r="E1251" s="5" t="n">
        <x:v>4</x:v>
      </x:c>
      <x:c r="F1251" s="5" t="str">
        <x:v>Focus Area</x:v>
      </x:c>
      <x:c r="G1251" s="5" t="n">
        <x:v>1</x:v>
      </x:c>
      <x:c r="H1251" s="5" t="n">
        <x:v>1</x:v>
      </x:c>
      <x:c r="I1251" s="5" t="str">
        <x:v>Cardiopulmonary Systems</x:v>
      </x:c>
      <x:c r="J1251" s="5" t="str">
        <x:v>SOURCE QUOTE; unvalidated / superseded assessments</x:v>
      </x:c>
      <x:c r="L1251" s="31" t="str">
        <x:v>D06, Markdown line 192; http://nas-1.tail55d152.ts.net:4100/static/MEDICAL_NORDICS_FINANCIALS_DOSSIER.html</x:v>
      </x:c>
    </x:row>
    <x:row r="1252" ht="42" customHeight="1">
      <x:c r="A1252" s="5" t="str">
        <x:v>D06</x:v>
      </x:c>
      <x:c r="B1252" s="5" t="str">
        <x:v>D06-T01</x:v>
      </x:c>
      <x:c r="C1252" s="5" t="str">
        <x:v>5. Complete Company Financial Table (135 Facilities Analyzed)</x:v>
      </x:c>
      <x:c r="D1252" s="5" t="n">
        <x:v>192</x:v>
      </x:c>
      <x:c r="E1252" s="5" t="n">
        <x:v>5</x:v>
      </x:c>
      <x:c r="F1252" s="5" t="str">
        <x:v>Revenue / Net Sales</x:v>
      </x:c>
      <x:c r="G1252" s="5" t="n">
        <x:v>1</x:v>
      </x:c>
      <x:c r="H1252" s="5" t="n">
        <x:v>1</x:v>
      </x:c>
      <x:c r="I1252" s="5" t="str">
        <x:v>SEK 34,759.0M (SEK 34.76B)</x:v>
      </x:c>
      <x:c r="J1252" s="5" t="str">
        <x:v>SOURCE QUOTE; unvalidated / superseded assessments</x:v>
      </x:c>
      <x:c r="L1252" s="31" t="str">
        <x:v>D06, Markdown line 192; http://nas-1.tail55d152.ts.net:4100/static/MEDICAL_NORDICS_FINANCIALS_DOSSIER.html</x:v>
      </x:c>
    </x:row>
    <x:row r="1253" ht="42" customHeight="1">
      <x:c r="A1253" s="5" t="str">
        <x:v>D06</x:v>
      </x:c>
      <x:c r="B1253" s="5" t="str">
        <x:v>D06-T01</x:v>
      </x:c>
      <x:c r="C1253" s="5" t="str">
        <x:v>5. Complete Company Financial Table (135 Facilities Analyzed)</x:v>
      </x:c>
      <x:c r="D1253" s="5" t="n">
        <x:v>192</x:v>
      </x:c>
      <x:c r="E1253" s="5" t="n">
        <x:v>6</x:v>
      </x:c>
      <x:c r="F1253" s="5" t="str">
        <x:v>R&amp;D Spend</x:v>
      </x:c>
      <x:c r="G1253" s="5" t="n">
        <x:v>1</x:v>
      </x:c>
      <x:c r="H1253" s="5" t="n">
        <x:v>1</x:v>
      </x:c>
      <x:c r="I1253" s="5" t="str">
        <x:v>SEK 1,745.0M (~5.0% sales)</x:v>
      </x:c>
      <x:c r="J1253" s="5" t="str">
        <x:v>SOURCE QUOTE; unvalidated / superseded assessments</x:v>
      </x:c>
      <x:c r="L1253" s="31" t="str">
        <x:v>D06, Markdown line 192; http://nas-1.tail55d152.ts.net:4100/static/MEDICAL_NORDICS_FINANCIALS_DOSSIER.html</x:v>
      </x:c>
    </x:row>
    <x:row r="1254" ht="42" customHeight="1">
      <x:c r="A1254" s="5" t="str">
        <x:v>D06</x:v>
      </x:c>
      <x:c r="B1254" s="5" t="str">
        <x:v>D06-T01</x:v>
      </x:c>
      <x:c r="C1254" s="5" t="str">
        <x:v>5. Complete Company Financial Table (135 Facilities Analyzed)</x:v>
      </x:c>
      <x:c r="D1254" s="5" t="n">
        <x:v>192</x:v>
      </x:c>
      <x:c r="E1254" s="5" t="n">
        <x:v>7</x:v>
      </x:c>
      <x:c r="F1254" s="5" t="str">
        <x:v>Currency</x:v>
      </x:c>
      <x:c r="G1254" s="5" t="n">
        <x:v>1</x:v>
      </x:c>
      <x:c r="H1254" s="5" t="n">
        <x:v>1</x:v>
      </x:c>
      <x:c r="I1254" s="5" t="str">
        <x:v>SEK</x:v>
      </x:c>
      <x:c r="J1254" s="5" t="str">
        <x:v>SOURCE QUOTE; unvalidated / superseded assessments</x:v>
      </x:c>
      <x:c r="L1254" s="31" t="str">
        <x:v>D06, Markdown line 192; http://nas-1.tail55d152.ts.net:4100/static/MEDICAL_NORDICS_FINANCIALS_DOSSIER.html</x:v>
      </x:c>
    </x:row>
    <x:row r="1255" ht="42" customHeight="1">
      <x:c r="A1255" s="5" t="str">
        <x:v>D06</x:v>
      </x:c>
      <x:c r="B1255" s="5" t="str">
        <x:v>D06-T01</x:v>
      </x:c>
      <x:c r="C1255" s="5" t="str">
        <x:v>5. Complete Company Financial Table (135 Facilities Analyzed)</x:v>
      </x:c>
      <x:c r="D1255" s="5" t="n">
        <x:v>192</x:v>
      </x:c>
      <x:c r="E1255" s="5" t="n">
        <x:v>8</x:v>
      </x:c>
      <x:c r="F1255" s="5" t="str">
        <x:v>Fiscal Year</x:v>
      </x:c>
      <x:c r="G1255" s="5" t="n">
        <x:v>1</x:v>
      </x:c>
      <x:c r="H1255" s="5" t="n">
        <x:v>1</x:v>
      </x:c>
      <x:c r="I1255" s="5" t="str">
        <x:v>FY2024</x:v>
      </x:c>
      <x:c r="J1255" s="5" t="str">
        <x:v>SOURCE QUOTE; unvalidated / superseded assessments</x:v>
      </x:c>
      <x:c r="L1255" s="31" t="str">
        <x:v>D06, Markdown line 192; http://nas-1.tail55d152.ts.net:4100/static/MEDICAL_NORDICS_FINANCIALS_DOSSIER.html</x:v>
      </x:c>
    </x:row>
    <x:row r="1256" ht="42" customHeight="1">
      <x:c r="A1256" s="5" t="str">
        <x:v>D06</x:v>
      </x:c>
      <x:c r="B1256" s="5" t="str">
        <x:v>D06-T01</x:v>
      </x:c>
      <x:c r="C1256" s="5" t="str">
        <x:v>5. Complete Company Financial Table (135 Facilities Analyzed)</x:v>
      </x:c>
      <x:c r="D1256" s="5" t="n">
        <x:v>192</x:v>
      </x:c>
      <x:c r="E1256" s="5" t="n">
        <x:v>9</x:v>
      </x:c>
      <x:c r="F1256" s="5" t="str">
        <x:v>Status / Ownership / Strategic Service Alignment</x:v>
      </x:c>
      <x:c r="G1256" s="5" t="n">
        <x:v>1</x:v>
      </x:c>
      <x:c r="H1256" s="5" t="n">
        <x:v>1</x:v>
      </x:c>
      <x:c r="I1256" s="5" t="str">
        <x:v>Listed (Nasdaq: GETI B); Package A (ECMO &amp; perfusion equipment hospital NPV models)</x:v>
      </x:c>
      <x:c r="J1256" s="5" t="str">
        <x:v>SOURCE QUOTE; unvalidated / superseded assessments</x:v>
      </x:c>
      <x:c r="L1256" s="31" t="str">
        <x:v>D06, Markdown line 192; http://nas-1.tail55d152.ts.net:4100/static/MEDICAL_NORDICS_FINANCIALS_DOSSIER.html</x:v>
      </x:c>
    </x:row>
    <x:row r="1257" ht="42" customHeight="1">
      <x:c r="A1257" s="5" t="str">
        <x:v>D06</x:v>
      </x:c>
      <x:c r="B1257" s="5" t="str">
        <x:v>D06-T01</x:v>
      </x:c>
      <x:c r="C1257" s="5" t="str">
        <x:v>5. Complete Company Financial Table (135 Facilities Analyzed)</x:v>
      </x:c>
      <x:c r="D1257" s="5" t="n">
        <x:v>193</x:v>
      </x:c>
      <x:c r="E1257" s="5" t="n">
        <x:v>1</x:v>
      </x:c>
      <x:c r="F1257" s="5" t="str">
        <x:v>#</x:v>
      </x:c>
      <x:c r="G1257" s="5" t="n">
        <x:v>1</x:v>
      </x:c>
      <x:c r="H1257" s="5" t="n">
        <x:v>1</x:v>
      </x:c>
      <x:c r="I1257" s="5" t="str">
        <x:v>12</x:v>
      </x:c>
      <x:c r="J1257" s="5" t="str">
        <x:v>SOURCE QUOTE; unvalidated / superseded assessments</x:v>
      </x:c>
      <x:c r="L1257" s="31" t="str">
        <x:v>D06, Markdown line 193; http://nas-1.tail55d152.ts.net:4100/static/MEDICAL_NORDICS_FINANCIALS_DOSSIER.html</x:v>
      </x:c>
    </x:row>
    <x:row r="1258" ht="42" customHeight="1">
      <x:c r="A1258" s="5" t="str">
        <x:v>D06</x:v>
      </x:c>
      <x:c r="B1258" s="5" t="str">
        <x:v>D06-T01</x:v>
      </x:c>
      <x:c r="C1258" s="5" t="str">
        <x:v>5. Complete Company Financial Table (135 Facilities Analyzed)</x:v>
      </x:c>
      <x:c r="D1258" s="5" t="n">
        <x:v>193</x:v>
      </x:c>
      <x:c r="E1258" s="5" t="n">
        <x:v>2</x:v>
      </x:c>
      <x:c r="F1258" s="5" t="str">
        <x:v>Company</x:v>
      </x:c>
      <x:c r="G1258" s="5" t="n">
        <x:v>1</x:v>
      </x:c>
      <x:c r="H1258" s="5" t="n">
        <x:v>1</x:v>
      </x:c>
      <x:c r="I1258" s="5" t="str">
        <x:v>Isofol Medical</x:v>
      </x:c>
      <x:c r="J1258" s="5" t="str">
        <x:v>SOURCE QUOTE; unvalidated / superseded assessments</x:v>
      </x:c>
      <x:c r="L1258" s="31" t="str">
        <x:v>D06, Markdown line 193; http://nas-1.tail55d152.ts.net:4100/static/MEDICAL_NORDICS_FINANCIALS_DOSSIER.html</x:v>
      </x:c>
    </x:row>
    <x:row r="1259" ht="42" customHeight="1">
      <x:c r="A1259" s="5" t="str">
        <x:v>D06</x:v>
      </x:c>
      <x:c r="B1259" s="5" t="str">
        <x:v>D06-T01</x:v>
      </x:c>
      <x:c r="C1259" s="5" t="str">
        <x:v>5. Complete Company Financial Table (135 Facilities Analyzed)</x:v>
      </x:c>
      <x:c r="D1259" s="5" t="n">
        <x:v>193</x:v>
      </x:c>
      <x:c r="E1259" s="5" t="n">
        <x:v>3</x:v>
      </x:c>
      <x:c r="F1259" s="5" t="str">
        <x:v>Location</x:v>
      </x:c>
      <x:c r="G1259" s="5" t="n">
        <x:v>1</x:v>
      </x:c>
      <x:c r="H1259" s="5" t="n">
        <x:v>1</x:v>
      </x:c>
      <x:c r="I1259" s="5" t="str">
        <x:v>Gothenburg, Sweden</x:v>
      </x:c>
      <x:c r="J1259" s="5" t="str">
        <x:v>SOURCE QUOTE; unvalidated / superseded assessments</x:v>
      </x:c>
      <x:c r="L1259" s="31" t="str">
        <x:v>D06, Markdown line 193; http://nas-1.tail55d152.ts.net:4100/static/MEDICAL_NORDICS_FINANCIALS_DOSSIER.html</x:v>
      </x:c>
    </x:row>
    <x:row r="1260" ht="42" customHeight="1">
      <x:c r="A1260" s="5" t="str">
        <x:v>D06</x:v>
      </x:c>
      <x:c r="B1260" s="5" t="str">
        <x:v>D06-T01</x:v>
      </x:c>
      <x:c r="C1260" s="5" t="str">
        <x:v>5. Complete Company Financial Table (135 Facilities Analyzed)</x:v>
      </x:c>
      <x:c r="D1260" s="5" t="n">
        <x:v>193</x:v>
      </x:c>
      <x:c r="E1260" s="5" t="n">
        <x:v>4</x:v>
      </x:c>
      <x:c r="F1260" s="5" t="str">
        <x:v>Focus Area</x:v>
      </x:c>
      <x:c r="G1260" s="5" t="n">
        <x:v>1</x:v>
      </x:c>
      <x:c r="H1260" s="5" t="n">
        <x:v>1</x:v>
      </x:c>
      <x:c r="I1260" s="5" t="str">
        <x:v>Arfolitixorin Folate Therapy</x:v>
      </x:c>
      <x:c r="J1260" s="5" t="str">
        <x:v>SOURCE QUOTE; unvalidated / superseded assessments</x:v>
      </x:c>
      <x:c r="L1260" s="31" t="str">
        <x:v>D06, Markdown line 193; http://nas-1.tail55d152.ts.net:4100/static/MEDICAL_NORDICS_FINANCIALS_DOSSIER.html</x:v>
      </x:c>
    </x:row>
    <x:row r="1261" ht="42" customHeight="1">
      <x:c r="A1261" s="5" t="str">
        <x:v>D06</x:v>
      </x:c>
      <x:c r="B1261" s="5" t="str">
        <x:v>D06-T01</x:v>
      </x:c>
      <x:c r="C1261" s="5" t="str">
        <x:v>5. Complete Company Financial Table (135 Facilities Analyzed)</x:v>
      </x:c>
      <x:c r="D1261" s="5" t="n">
        <x:v>193</x:v>
      </x:c>
      <x:c r="E1261" s="5" t="n">
        <x:v>5</x:v>
      </x:c>
      <x:c r="F1261" s="5" t="str">
        <x:v>Revenue / Net Sales</x:v>
      </x:c>
      <x:c r="G1261" s="5" t="n">
        <x:v>1</x:v>
      </x:c>
      <x:c r="H1261" s="5" t="n">
        <x:v>1</x:v>
      </x:c>
      <x:c r="I1261" s="5" t="str">
        <x:v>SEK 0M (Clinical stage)</x:v>
      </x:c>
      <x:c r="J1261" s="5" t="str">
        <x:v>SOURCE QUOTE; unvalidated / superseded assessments</x:v>
      </x:c>
      <x:c r="L1261" s="31" t="str">
        <x:v>D06, Markdown line 193; http://nas-1.tail55d152.ts.net:4100/static/MEDICAL_NORDICS_FINANCIALS_DOSSIER.html</x:v>
      </x:c>
    </x:row>
    <x:row r="1262" ht="42" customHeight="1">
      <x:c r="A1262" s="5" t="str">
        <x:v>D06</x:v>
      </x:c>
      <x:c r="B1262" s="5" t="str">
        <x:v>D06-T01</x:v>
      </x:c>
      <x:c r="C1262" s="5" t="str">
        <x:v>5. Complete Company Financial Table (135 Facilities Analyzed)</x:v>
      </x:c>
      <x:c r="D1262" s="5" t="n">
        <x:v>193</x:v>
      </x:c>
      <x:c r="E1262" s="5" t="n">
        <x:v>6</x:v>
      </x:c>
      <x:c r="F1262" s="5" t="str">
        <x:v>R&amp;D Spend</x:v>
      </x:c>
      <x:c r="G1262" s="5" t="n">
        <x:v>1</x:v>
      </x:c>
      <x:c r="H1262" s="5" t="n">
        <x:v>1</x:v>
      </x:c>
      <x:c r="I1262" s="5" t="str">
        <x:v>SEK 32.1M</x:v>
      </x:c>
      <x:c r="J1262" s="5" t="str">
        <x:v>SOURCE QUOTE; unvalidated / superseded assessments</x:v>
      </x:c>
      <x:c r="L1262" s="31" t="str">
        <x:v>D06, Markdown line 193; http://nas-1.tail55d152.ts.net:4100/static/MEDICAL_NORDICS_FINANCIALS_DOSSIER.html</x:v>
      </x:c>
    </x:row>
    <x:row r="1263" ht="42" customHeight="1">
      <x:c r="A1263" s="5" t="str">
        <x:v>D06</x:v>
      </x:c>
      <x:c r="B1263" s="5" t="str">
        <x:v>D06-T01</x:v>
      </x:c>
      <x:c r="C1263" s="5" t="str">
        <x:v>5. Complete Company Financial Table (135 Facilities Analyzed)</x:v>
      </x:c>
      <x:c r="D1263" s="5" t="n">
        <x:v>193</x:v>
      </x:c>
      <x:c r="E1263" s="5" t="n">
        <x:v>7</x:v>
      </x:c>
      <x:c r="F1263" s="5" t="str">
        <x:v>Currency</x:v>
      </x:c>
      <x:c r="G1263" s="5" t="n">
        <x:v>1</x:v>
      </x:c>
      <x:c r="H1263" s="5" t="n">
        <x:v>1</x:v>
      </x:c>
      <x:c r="I1263" s="5" t="str">
        <x:v>SEK</x:v>
      </x:c>
      <x:c r="J1263" s="5" t="str">
        <x:v>SOURCE QUOTE; unvalidated / superseded assessments</x:v>
      </x:c>
      <x:c r="L1263" s="31" t="str">
        <x:v>D06, Markdown line 193; http://nas-1.tail55d152.ts.net:4100/static/MEDICAL_NORDICS_FINANCIALS_DOSSIER.html</x:v>
      </x:c>
    </x:row>
    <x:row r="1264" ht="42" customHeight="1">
      <x:c r="A1264" s="5" t="str">
        <x:v>D06</x:v>
      </x:c>
      <x:c r="B1264" s="5" t="str">
        <x:v>D06-T01</x:v>
      </x:c>
      <x:c r="C1264" s="5" t="str">
        <x:v>5. Complete Company Financial Table (135 Facilities Analyzed)</x:v>
      </x:c>
      <x:c r="D1264" s="5" t="n">
        <x:v>193</x:v>
      </x:c>
      <x:c r="E1264" s="5" t="n">
        <x:v>8</x:v>
      </x:c>
      <x:c r="F1264" s="5" t="str">
        <x:v>Fiscal Year</x:v>
      </x:c>
      <x:c r="G1264" s="5" t="n">
        <x:v>1</x:v>
      </x:c>
      <x:c r="H1264" s="5" t="n">
        <x:v>1</x:v>
      </x:c>
      <x:c r="I1264" s="5" t="str">
        <x:v>FY2023/24</x:v>
      </x:c>
      <x:c r="J1264" s="5" t="str">
        <x:v>SOURCE QUOTE; unvalidated / superseded assessments</x:v>
      </x:c>
      <x:c r="L1264" s="31" t="str">
        <x:v>D06, Markdown line 193; http://nas-1.tail55d152.ts.net:4100/static/MEDICAL_NORDICS_FINANCIALS_DOSSIER.html</x:v>
      </x:c>
    </x:row>
    <x:row r="1265" ht="42" customHeight="1">
      <x:c r="A1265" s="5" t="str">
        <x:v>D06</x:v>
      </x:c>
      <x:c r="B1265" s="5" t="str">
        <x:v>D06-T01</x:v>
      </x:c>
      <x:c r="C1265" s="5" t="str">
        <x:v>5. Complete Company Financial Table (135 Facilities Analyzed)</x:v>
      </x:c>
      <x:c r="D1265" s="5" t="n">
        <x:v>193</x:v>
      </x:c>
      <x:c r="E1265" s="5" t="n">
        <x:v>9</x:v>
      </x:c>
      <x:c r="F1265" s="5" t="str">
        <x:v>Status / Ownership / Strategic Service Alignment</x:v>
      </x:c>
      <x:c r="G1265" s="5" t="n">
        <x:v>1</x:v>
      </x:c>
      <x:c r="H1265" s="5" t="n">
        <x:v>1</x:v>
      </x:c>
      <x:c r="I1265" s="5" t="str">
        <x:v>Listed (Nasdaq: ISOFOL); Package B (Colorectal cancer Phase II/III protocol analytics)</x:v>
      </x:c>
      <x:c r="J1265" s="5" t="str">
        <x:v>SOURCE QUOTE; unvalidated / superseded assessments</x:v>
      </x:c>
      <x:c r="L1265" s="31" t="str">
        <x:v>D06, Markdown line 193; http://nas-1.tail55d152.ts.net:4100/static/MEDICAL_NORDICS_FINANCIALS_DOSSIER.html</x:v>
      </x:c>
    </x:row>
    <x:row r="1266" ht="42" customHeight="1">
      <x:c r="A1266" s="5" t="str">
        <x:v>D06</x:v>
      </x:c>
      <x:c r="B1266" s="5" t="str">
        <x:v>D06-T01</x:v>
      </x:c>
      <x:c r="C1266" s="5" t="str">
        <x:v>5. Complete Company Financial Table (135 Facilities Analyzed)</x:v>
      </x:c>
      <x:c r="D1266" s="5" t="n">
        <x:v>194</x:v>
      </x:c>
      <x:c r="E1266" s="5" t="n">
        <x:v>1</x:v>
      </x:c>
      <x:c r="F1266" s="5" t="str">
        <x:v>#</x:v>
      </x:c>
      <x:c r="G1266" s="5" t="n">
        <x:v>1</x:v>
      </x:c>
      <x:c r="H1266" s="5" t="n">
        <x:v>1</x:v>
      </x:c>
      <x:c r="I1266" s="5" t="str">
        <x:v>13</x:v>
      </x:c>
      <x:c r="J1266" s="5" t="str">
        <x:v>SOURCE QUOTE; unvalidated / superseded assessments</x:v>
      </x:c>
      <x:c r="L1266" s="31" t="str">
        <x:v>D06, Markdown line 194; http://nas-1.tail55d152.ts.net:4100/static/MEDICAL_NORDICS_FINANCIALS_DOSSIER.html</x:v>
      </x:c>
    </x:row>
    <x:row r="1267" ht="42" customHeight="1">
      <x:c r="A1267" s="5" t="str">
        <x:v>D06</x:v>
      </x:c>
      <x:c r="B1267" s="5" t="str">
        <x:v>D06-T01</x:v>
      </x:c>
      <x:c r="C1267" s="5" t="str">
        <x:v>5. Complete Company Financial Table (135 Facilities Analyzed)</x:v>
      </x:c>
      <x:c r="D1267" s="5" t="n">
        <x:v>194</x:v>
      </x:c>
      <x:c r="E1267" s="5" t="n">
        <x:v>2</x:v>
      </x:c>
      <x:c r="F1267" s="5" t="str">
        <x:v>Company</x:v>
      </x:c>
      <x:c r="G1267" s="5" t="n">
        <x:v>1</x:v>
      </x:c>
      <x:c r="H1267" s="5" t="n">
        <x:v>1</x:v>
      </x:c>
      <x:c r="I1267" s="5" t="str">
        <x:v>Mentice</x:v>
      </x:c>
      <x:c r="J1267" s="5" t="str">
        <x:v>SOURCE QUOTE; unvalidated / superseded assessments</x:v>
      </x:c>
      <x:c r="L1267" s="31" t="str">
        <x:v>D06, Markdown line 194; http://nas-1.tail55d152.ts.net:4100/static/MEDICAL_NORDICS_FINANCIALS_DOSSIER.html</x:v>
      </x:c>
    </x:row>
    <x:row r="1268" ht="42" customHeight="1">
      <x:c r="A1268" s="5" t="str">
        <x:v>D06</x:v>
      </x:c>
      <x:c r="B1268" s="5" t="str">
        <x:v>D06-T01</x:v>
      </x:c>
      <x:c r="C1268" s="5" t="str">
        <x:v>5. Complete Company Financial Table (135 Facilities Analyzed)</x:v>
      </x:c>
      <x:c r="D1268" s="5" t="n">
        <x:v>194</x:v>
      </x:c>
      <x:c r="E1268" s="5" t="n">
        <x:v>3</x:v>
      </x:c>
      <x:c r="F1268" s="5" t="str">
        <x:v>Location</x:v>
      </x:c>
      <x:c r="G1268" s="5" t="n">
        <x:v>1</x:v>
      </x:c>
      <x:c r="H1268" s="5" t="n">
        <x:v>1</x:v>
      </x:c>
      <x:c r="I1268" s="5" t="str">
        <x:v>Gothenburg, Sweden</x:v>
      </x:c>
      <x:c r="J1268" s="5" t="str">
        <x:v>SOURCE QUOTE; unvalidated / superseded assessments</x:v>
      </x:c>
      <x:c r="L1268" s="31" t="str">
        <x:v>D06, Markdown line 194; http://nas-1.tail55d152.ts.net:4100/static/MEDICAL_NORDICS_FINANCIALS_DOSSIER.html</x:v>
      </x:c>
    </x:row>
    <x:row r="1269" ht="42" customHeight="1">
      <x:c r="A1269" s="5" t="str">
        <x:v>D06</x:v>
      </x:c>
      <x:c r="B1269" s="5" t="str">
        <x:v>D06-T01</x:v>
      </x:c>
      <x:c r="C1269" s="5" t="str">
        <x:v>5. Complete Company Financial Table (135 Facilities Analyzed)</x:v>
      </x:c>
      <x:c r="D1269" s="5" t="n">
        <x:v>194</x:v>
      </x:c>
      <x:c r="E1269" s="5" t="n">
        <x:v>4</x:v>
      </x:c>
      <x:c r="F1269" s="5" t="str">
        <x:v>Focus Area</x:v>
      </x:c>
      <x:c r="G1269" s="5" t="n">
        <x:v>1</x:v>
      </x:c>
      <x:c r="H1269" s="5" t="n">
        <x:v>1</x:v>
      </x:c>
      <x:c r="I1269" s="5" t="str">
        <x:v>Endovascular Virtual Simulators</x:v>
      </x:c>
      <x:c r="J1269" s="5" t="str">
        <x:v>SOURCE QUOTE; unvalidated / superseded assessments</x:v>
      </x:c>
      <x:c r="L1269" s="31" t="str">
        <x:v>D06, Markdown line 194; http://nas-1.tail55d152.ts.net:4100/static/MEDICAL_NORDICS_FINANCIALS_DOSSIER.html</x:v>
      </x:c>
    </x:row>
    <x:row r="1270" ht="42" customHeight="1">
      <x:c r="A1270" s="5" t="str">
        <x:v>D06</x:v>
      </x:c>
      <x:c r="B1270" s="5" t="str">
        <x:v>D06-T01</x:v>
      </x:c>
      <x:c r="C1270" s="5" t="str">
        <x:v>5. Complete Company Financial Table (135 Facilities Analyzed)</x:v>
      </x:c>
      <x:c r="D1270" s="5" t="n">
        <x:v>194</x:v>
      </x:c>
      <x:c r="E1270" s="5" t="n">
        <x:v>5</x:v>
      </x:c>
      <x:c r="F1270" s="5" t="str">
        <x:v>Revenue / Net Sales</x:v>
      </x:c>
      <x:c r="G1270" s="5" t="n">
        <x:v>1</x:v>
      </x:c>
      <x:c r="H1270" s="5" t="n">
        <x:v>1</x:v>
      </x:c>
      <x:c r="I1270" s="5" t="str">
        <x:v>SEK 290.3M (SEK 265.4M FY23)</x:v>
      </x:c>
      <x:c r="J1270" s="5" t="str">
        <x:v>SOURCE QUOTE; unvalidated / superseded assessments</x:v>
      </x:c>
      <x:c r="L1270" s="31" t="str">
        <x:v>D06, Markdown line 194; http://nas-1.tail55d152.ts.net:4100/static/MEDICAL_NORDICS_FINANCIALS_DOSSIER.html</x:v>
      </x:c>
    </x:row>
    <x:row r="1271" ht="42" customHeight="1">
      <x:c r="A1271" s="5" t="str">
        <x:v>D06</x:v>
      </x:c>
      <x:c r="B1271" s="5" t="str">
        <x:v>D06-T01</x:v>
      </x:c>
      <x:c r="C1271" s="5" t="str">
        <x:v>5. Complete Company Financial Table (135 Facilities Analyzed)</x:v>
      </x:c>
      <x:c r="D1271" s="5" t="n">
        <x:v>194</x:v>
      </x:c>
      <x:c r="E1271" s="5" t="n">
        <x:v>6</x:v>
      </x:c>
      <x:c r="F1271" s="5" t="str">
        <x:v>R&amp;D Spend</x:v>
      </x:c>
      <x:c r="G1271" s="5" t="n">
        <x:v>1</x:v>
      </x:c>
      <x:c r="H1271" s="5" t="n">
        <x:v>1</x:v>
      </x:c>
      <x:c r="I1271" s="5" t="str">
        <x:v>SEK 42.1M</x:v>
      </x:c>
      <x:c r="J1271" s="5" t="str">
        <x:v>SOURCE QUOTE; unvalidated / superseded assessments</x:v>
      </x:c>
      <x:c r="L1271" s="31" t="str">
        <x:v>D06, Markdown line 194; http://nas-1.tail55d152.ts.net:4100/static/MEDICAL_NORDICS_FINANCIALS_DOSSIER.html</x:v>
      </x:c>
    </x:row>
    <x:row r="1272" ht="42" customHeight="1">
      <x:c r="A1272" s="5" t="str">
        <x:v>D06</x:v>
      </x:c>
      <x:c r="B1272" s="5" t="str">
        <x:v>D06-T01</x:v>
      </x:c>
      <x:c r="C1272" s="5" t="str">
        <x:v>5. Complete Company Financial Table (135 Facilities Analyzed)</x:v>
      </x:c>
      <x:c r="D1272" s="5" t="n">
        <x:v>194</x:v>
      </x:c>
      <x:c r="E1272" s="5" t="n">
        <x:v>7</x:v>
      </x:c>
      <x:c r="F1272" s="5" t="str">
        <x:v>Currency</x:v>
      </x:c>
      <x:c r="G1272" s="5" t="n">
        <x:v>1</x:v>
      </x:c>
      <x:c r="H1272" s="5" t="n">
        <x:v>1</x:v>
      </x:c>
      <x:c r="I1272" s="5" t="str">
        <x:v>SEK</x:v>
      </x:c>
      <x:c r="J1272" s="5" t="str">
        <x:v>SOURCE QUOTE; unvalidated / superseded assessments</x:v>
      </x:c>
      <x:c r="L1272" s="31" t="str">
        <x:v>D06, Markdown line 194; http://nas-1.tail55d152.ts.net:4100/static/MEDICAL_NORDICS_FINANCIALS_DOSSIER.html</x:v>
      </x:c>
    </x:row>
    <x:row r="1273" ht="42" customHeight="1">
      <x:c r="A1273" s="5" t="str">
        <x:v>D06</x:v>
      </x:c>
      <x:c r="B1273" s="5" t="str">
        <x:v>D06-T01</x:v>
      </x:c>
      <x:c r="C1273" s="5" t="str">
        <x:v>5. Complete Company Financial Table (135 Facilities Analyzed)</x:v>
      </x:c>
      <x:c r="D1273" s="5" t="n">
        <x:v>194</x:v>
      </x:c>
      <x:c r="E1273" s="5" t="n">
        <x:v>8</x:v>
      </x:c>
      <x:c r="F1273" s="5" t="str">
        <x:v>Fiscal Year</x:v>
      </x:c>
      <x:c r="G1273" s="5" t="n">
        <x:v>1</x:v>
      </x:c>
      <x:c r="H1273" s="5" t="n">
        <x:v>1</x:v>
      </x:c>
      <x:c r="I1273" s="5" t="str">
        <x:v>FY2024</x:v>
      </x:c>
      <x:c r="J1273" s="5" t="str">
        <x:v>SOURCE QUOTE; unvalidated / superseded assessments</x:v>
      </x:c>
      <x:c r="L1273" s="31" t="str">
        <x:v>D06, Markdown line 194; http://nas-1.tail55d152.ts.net:4100/static/MEDICAL_NORDICS_FINANCIALS_DOSSIER.html</x:v>
      </x:c>
    </x:row>
    <x:row r="1274" ht="42" customHeight="1">
      <x:c r="A1274" s="5" t="str">
        <x:v>D06</x:v>
      </x:c>
      <x:c r="B1274" s="5" t="str">
        <x:v>D06-T01</x:v>
      </x:c>
      <x:c r="C1274" s="5" t="str">
        <x:v>5. Complete Company Financial Table (135 Facilities Analyzed)</x:v>
      </x:c>
      <x:c r="D1274" s="5" t="n">
        <x:v>194</x:v>
      </x:c>
      <x:c r="E1274" s="5" t="n">
        <x:v>9</x:v>
      </x:c>
      <x:c r="F1274" s="5" t="str">
        <x:v>Status / Ownership / Strategic Service Alignment</x:v>
      </x:c>
      <x:c r="G1274" s="5" t="n">
        <x:v>1</x:v>
      </x:c>
      <x:c r="H1274" s="5" t="n">
        <x:v>1</x:v>
      </x:c>
      <x:c r="I1274" s="5" t="str">
        <x:v>Listed (First North: MNTC); Package A (Hospital simulation DaaS training ROI proof)</x:v>
      </x:c>
      <x:c r="J1274" s="5" t="str">
        <x:v>SOURCE QUOTE; unvalidated / superseded assessments</x:v>
      </x:c>
      <x:c r="L1274" s="31" t="str">
        <x:v>D06, Markdown line 194; http://nas-1.tail55d152.ts.net:4100/static/MEDICAL_NORDICS_FINANCIALS_DOSSIER.html</x:v>
      </x:c>
    </x:row>
    <x:row r="1275" ht="42" customHeight="1">
      <x:c r="A1275" s="5" t="str">
        <x:v>D06</x:v>
      </x:c>
      <x:c r="B1275" s="5" t="str">
        <x:v>D06-T01</x:v>
      </x:c>
      <x:c r="C1275" s="5" t="str">
        <x:v>5. Complete Company Financial Table (135 Facilities Analyzed)</x:v>
      </x:c>
      <x:c r="D1275" s="5" t="n">
        <x:v>195</x:v>
      </x:c>
      <x:c r="E1275" s="5" t="n">
        <x:v>1</x:v>
      </x:c>
      <x:c r="F1275" s="5" t="str">
        <x:v>#</x:v>
      </x:c>
      <x:c r="G1275" s="5" t="n">
        <x:v>1</x:v>
      </x:c>
      <x:c r="H1275" s="5" t="n">
        <x:v>1</x:v>
      </x:c>
      <x:c r="I1275" s="5" t="str">
        <x:v>14</x:v>
      </x:c>
      <x:c r="J1275" s="5" t="str">
        <x:v>SOURCE QUOTE; unvalidated / superseded assessments</x:v>
      </x:c>
      <x:c r="L1275" s="31" t="str">
        <x:v>D06, Markdown line 195; http://nas-1.tail55d152.ts.net:4100/static/MEDICAL_NORDICS_FINANCIALS_DOSSIER.html</x:v>
      </x:c>
    </x:row>
    <x:row r="1276" ht="42" customHeight="1">
      <x:c r="A1276" s="5" t="str">
        <x:v>D06</x:v>
      </x:c>
      <x:c r="B1276" s="5" t="str">
        <x:v>D06-T01</x:v>
      </x:c>
      <x:c r="C1276" s="5" t="str">
        <x:v>5. Complete Company Financial Table (135 Facilities Analyzed)</x:v>
      </x:c>
      <x:c r="D1276" s="5" t="n">
        <x:v>195</x:v>
      </x:c>
      <x:c r="E1276" s="5" t="n">
        <x:v>2</x:v>
      </x:c>
      <x:c r="F1276" s="5" t="str">
        <x:v>Company</x:v>
      </x:c>
      <x:c r="G1276" s="5" t="n">
        <x:v>1</x:v>
      </x:c>
      <x:c r="H1276" s="5" t="n">
        <x:v>1</x:v>
      </x:c>
      <x:c r="I1276" s="5" t="str">
        <x:v>VERIGRAFT</x:v>
      </x:c>
      <x:c r="J1276" s="5" t="str">
        <x:v>SOURCE QUOTE; unvalidated / superseded assessments</x:v>
      </x:c>
      <x:c r="L1276" s="31" t="str">
        <x:v>D06, Markdown line 195; http://nas-1.tail55d152.ts.net:4100/static/MEDICAL_NORDICS_FINANCIALS_DOSSIER.html</x:v>
      </x:c>
    </x:row>
    <x:row r="1277" ht="42" customHeight="1">
      <x:c r="A1277" s="5" t="str">
        <x:v>D06</x:v>
      </x:c>
      <x:c r="B1277" s="5" t="str">
        <x:v>D06-T01</x:v>
      </x:c>
      <x:c r="C1277" s="5" t="str">
        <x:v>5. Complete Company Financial Table (135 Facilities Analyzed)</x:v>
      </x:c>
      <x:c r="D1277" s="5" t="n">
        <x:v>195</x:v>
      </x:c>
      <x:c r="E1277" s="5" t="n">
        <x:v>3</x:v>
      </x:c>
      <x:c r="F1277" s="5" t="str">
        <x:v>Location</x:v>
      </x:c>
      <x:c r="G1277" s="5" t="n">
        <x:v>1</x:v>
      </x:c>
      <x:c r="H1277" s="5" t="n">
        <x:v>1</x:v>
      </x:c>
      <x:c r="I1277" s="5" t="str">
        <x:v>Gothenburg, Sweden</x:v>
      </x:c>
      <x:c r="J1277" s="5" t="str">
        <x:v>SOURCE QUOTE; unvalidated / superseded assessments</x:v>
      </x:c>
      <x:c r="L1277" s="31" t="str">
        <x:v>D06, Markdown line 195; http://nas-1.tail55d152.ts.net:4100/static/MEDICAL_NORDICS_FINANCIALS_DOSSIER.html</x:v>
      </x:c>
    </x:row>
    <x:row r="1278" ht="42" customHeight="1">
      <x:c r="A1278" s="5" t="str">
        <x:v>D06</x:v>
      </x:c>
      <x:c r="B1278" s="5" t="str">
        <x:v>D06-T01</x:v>
      </x:c>
      <x:c r="C1278" s="5" t="str">
        <x:v>5. Complete Company Financial Table (135 Facilities Analyzed)</x:v>
      </x:c>
      <x:c r="D1278" s="5" t="n">
        <x:v>195</x:v>
      </x:c>
      <x:c r="E1278" s="5" t="n">
        <x:v>4</x:v>
      </x:c>
      <x:c r="F1278" s="5" t="str">
        <x:v>Focus Area</x:v>
      </x:c>
      <x:c r="G1278" s="5" t="n">
        <x:v>1</x:v>
      </x:c>
      <x:c r="H1278" s="5" t="n">
        <x:v>1</x:v>
      </x:c>
      <x:c r="I1278" s="5" t="str">
        <x:v>Personalized Tissue Transplants</x:v>
      </x:c>
      <x:c r="J1278" s="5" t="str">
        <x:v>SOURCE QUOTE; unvalidated / superseded assessments</x:v>
      </x:c>
      <x:c r="L1278" s="31" t="str">
        <x:v>D06, Markdown line 195; http://nas-1.tail55d152.ts.net:4100/static/MEDICAL_NORDICS_FINANCIALS_DOSSIER.html</x:v>
      </x:c>
    </x:row>
    <x:row r="1279" ht="42" customHeight="1">
      <x:c r="A1279" s="5" t="str">
        <x:v>D06</x:v>
      </x:c>
      <x:c r="B1279" s="5" t="str">
        <x:v>D06-T01</x:v>
      </x:c>
      <x:c r="C1279" s="5" t="str">
        <x:v>5. Complete Company Financial Table (135 Facilities Analyzed)</x:v>
      </x:c>
      <x:c r="D1279" s="5" t="n">
        <x:v>195</x:v>
      </x:c>
      <x:c r="E1279" s="5" t="n">
        <x:v>5</x:v>
      </x:c>
      <x:c r="F1279" s="5" t="str">
        <x:v>Revenue / Net Sales</x:v>
      </x:c>
      <x:c r="G1279" s="5" t="n">
        <x:v>1</x:v>
      </x:c>
      <x:c r="H1279" s="5" t="n">
        <x:v>1</x:v>
      </x:c>
      <x:c r="I1279" s="5" t="str">
        <x:v>SEK 0M (Clinical stage)</x:v>
      </x:c>
      <x:c r="J1279" s="5" t="str">
        <x:v>SOURCE QUOTE; unvalidated / superseded assessments</x:v>
      </x:c>
      <x:c r="L1279" s="31" t="str">
        <x:v>D06, Markdown line 195; http://nas-1.tail55d152.ts.net:4100/static/MEDICAL_NORDICS_FINANCIALS_DOSSIER.html</x:v>
      </x:c>
    </x:row>
    <x:row r="1280" ht="42" customHeight="1">
      <x:c r="A1280" s="5" t="str">
        <x:v>D06</x:v>
      </x:c>
      <x:c r="B1280" s="5" t="str">
        <x:v>D06-T01</x:v>
      </x:c>
      <x:c r="C1280" s="5" t="str">
        <x:v>5. Complete Company Financial Table (135 Facilities Analyzed)</x:v>
      </x:c>
      <x:c r="D1280" s="5" t="n">
        <x:v>195</x:v>
      </x:c>
      <x:c r="E1280" s="5" t="n">
        <x:v>6</x:v>
      </x:c>
      <x:c r="F1280" s="5" t="str">
        <x:v>R&amp;D Spend</x:v>
      </x:c>
      <x:c r="G1280" s="5" t="n">
        <x:v>1</x:v>
      </x:c>
      <x:c r="H1280" s="5" t="n">
        <x:v>1</x:v>
      </x:c>
      <x:c r="I1280" s="5" t="str">
        <x:v>SEK 42.0M</x:v>
      </x:c>
      <x:c r="J1280" s="5" t="str">
        <x:v>SOURCE QUOTE; unvalidated / superseded assessments</x:v>
      </x:c>
      <x:c r="L1280" s="31" t="str">
        <x:v>D06, Markdown line 195; http://nas-1.tail55d152.ts.net:4100/static/MEDICAL_NORDICS_FINANCIALS_DOSSIER.html</x:v>
      </x:c>
    </x:row>
    <x:row r="1281" ht="42" customHeight="1">
      <x:c r="A1281" s="5" t="str">
        <x:v>D06</x:v>
      </x:c>
      <x:c r="B1281" s="5" t="str">
        <x:v>D06-T01</x:v>
      </x:c>
      <x:c r="C1281" s="5" t="str">
        <x:v>5. Complete Company Financial Table (135 Facilities Analyzed)</x:v>
      </x:c>
      <x:c r="D1281" s="5" t="n">
        <x:v>195</x:v>
      </x:c>
      <x:c r="E1281" s="5" t="n">
        <x:v>7</x:v>
      </x:c>
      <x:c r="F1281" s="5" t="str">
        <x:v>Currency</x:v>
      </x:c>
      <x:c r="G1281" s="5" t="n">
        <x:v>1</x:v>
      </x:c>
      <x:c r="H1281" s="5" t="n">
        <x:v>1</x:v>
      </x:c>
      <x:c r="I1281" s="5" t="str">
        <x:v>SEK</x:v>
      </x:c>
      <x:c r="J1281" s="5" t="str">
        <x:v>SOURCE QUOTE; unvalidated / superseded assessments</x:v>
      </x:c>
      <x:c r="L1281" s="31" t="str">
        <x:v>D06, Markdown line 195; http://nas-1.tail55d152.ts.net:4100/static/MEDICAL_NORDICS_FINANCIALS_DOSSIER.html</x:v>
      </x:c>
    </x:row>
    <x:row r="1282" ht="42" customHeight="1">
      <x:c r="A1282" s="5" t="str">
        <x:v>D06</x:v>
      </x:c>
      <x:c r="B1282" s="5" t="str">
        <x:v>D06-T01</x:v>
      </x:c>
      <x:c r="C1282" s="5" t="str">
        <x:v>5. Complete Company Financial Table (135 Facilities Analyzed)</x:v>
      </x:c>
      <x:c r="D1282" s="5" t="n">
        <x:v>195</x:v>
      </x:c>
      <x:c r="E1282" s="5" t="n">
        <x:v>8</x:v>
      </x:c>
      <x:c r="F1282" s="5" t="str">
        <x:v>Fiscal Year</x:v>
      </x:c>
      <x:c r="G1282" s="5" t="n">
        <x:v>1</x:v>
      </x:c>
      <x:c r="H1282" s="5" t="n">
        <x:v>1</x:v>
      </x:c>
      <x:c r="I1282" s="5" t="str">
        <x:v>FY2024</x:v>
      </x:c>
      <x:c r="J1282" s="5" t="str">
        <x:v>SOURCE QUOTE; unvalidated / superseded assessments</x:v>
      </x:c>
      <x:c r="L1282" s="31" t="str">
        <x:v>D06, Markdown line 195; http://nas-1.tail55d152.ts.net:4100/static/MEDICAL_NORDICS_FINANCIALS_DOSSIER.html</x:v>
      </x:c>
    </x:row>
    <x:row r="1283" ht="42" customHeight="1">
      <x:c r="A1283" s="5" t="str">
        <x:v>D06</x:v>
      </x:c>
      <x:c r="B1283" s="5" t="str">
        <x:v>D06-T01</x:v>
      </x:c>
      <x:c r="C1283" s="5" t="str">
        <x:v>5. Complete Company Financial Table (135 Facilities Analyzed)</x:v>
      </x:c>
      <x:c r="D1283" s="5" t="n">
        <x:v>195</x:v>
      </x:c>
      <x:c r="E1283" s="5" t="n">
        <x:v>9</x:v>
      </x:c>
      <x:c r="F1283" s="5" t="str">
        <x:v>Status / Ownership / Strategic Service Alignment</x:v>
      </x:c>
      <x:c r="G1283" s="5" t="n">
        <x:v>1</x:v>
      </x:c>
      <x:c r="H1283" s="5" t="n">
        <x:v>1</x:v>
      </x:c>
      <x:c r="I1283" s="5" t="str">
        <x:v>Private regenerative autologous blood vessels; Package B &amp; E (EU ATMP regulatory file)</x:v>
      </x:c>
      <x:c r="J1283" s="5" t="str">
        <x:v>SOURCE QUOTE; unvalidated / superseded assessments</x:v>
      </x:c>
      <x:c r="L1283" s="31" t="str">
        <x:v>D06, Markdown line 195; http://nas-1.tail55d152.ts.net:4100/static/MEDICAL_NORDICS_FINANCIALS_DOSSIER.html</x:v>
      </x:c>
    </x:row>
    <x:row r="1284" ht="42" customHeight="1">
      <x:c r="A1284" s="5" t="str">
        <x:v>D06</x:v>
      </x:c>
      <x:c r="B1284" s="5" t="str">
        <x:v>D06-T01</x:v>
      </x:c>
      <x:c r="C1284" s="5" t="str">
        <x:v>5. Complete Company Financial Table (135 Facilities Analyzed)</x:v>
      </x:c>
      <x:c r="D1284" s="5" t="n">
        <x:v>196</x:v>
      </x:c>
      <x:c r="E1284" s="5" t="n">
        <x:v>1</x:v>
      </x:c>
      <x:c r="F1284" s="5" t="str">
        <x:v>#</x:v>
      </x:c>
      <x:c r="G1284" s="5" t="n">
        <x:v>1</x:v>
      </x:c>
      <x:c r="H1284" s="5" t="n">
        <x:v>1</x:v>
      </x:c>
      <x:c r="I1284" s="5" t="str">
        <x:v>15</x:v>
      </x:c>
      <x:c r="J1284" s="5" t="str">
        <x:v>SOURCE QUOTE; unvalidated / superseded assessments</x:v>
      </x:c>
      <x:c r="L1284" s="31" t="str">
        <x:v>D06, Markdown line 196; http://nas-1.tail55d152.ts.net:4100/static/MEDICAL_NORDICS_FINANCIALS_DOSSIER.html</x:v>
      </x:c>
    </x:row>
    <x:row r="1285" ht="42" customHeight="1">
      <x:c r="A1285" s="5" t="str">
        <x:v>D06</x:v>
      </x:c>
      <x:c r="B1285" s="5" t="str">
        <x:v>D06-T01</x:v>
      </x:c>
      <x:c r="C1285" s="5" t="str">
        <x:v>5. Complete Company Financial Table (135 Facilities Analyzed)</x:v>
      </x:c>
      <x:c r="D1285" s="5" t="n">
        <x:v>196</x:v>
      </x:c>
      <x:c r="E1285" s="5" t="n">
        <x:v>2</x:v>
      </x:c>
      <x:c r="F1285" s="5" t="str">
        <x:v>Company</x:v>
      </x:c>
      <x:c r="G1285" s="5" t="n">
        <x:v>1</x:v>
      </x:c>
      <x:c r="H1285" s="5" t="n">
        <x:v>1</x:v>
      </x:c>
      <x:c r="I1285" s="5" t="str">
        <x:v>Meribel Pharma Group</x:v>
      </x:c>
      <x:c r="J1285" s="5" t="str">
        <x:v>SOURCE QUOTE; unvalidated / superseded assessments</x:v>
      </x:c>
      <x:c r="L1285" s="31" t="str">
        <x:v>D06, Markdown line 196; http://nas-1.tail55d152.ts.net:4100/static/MEDICAL_NORDICS_FINANCIALS_DOSSIER.html</x:v>
      </x:c>
    </x:row>
    <x:row r="1286" ht="42" customHeight="1">
      <x:c r="A1286" s="5" t="str">
        <x:v>D06</x:v>
      </x:c>
      <x:c r="B1286" s="5" t="str">
        <x:v>D06-T01</x:v>
      </x:c>
      <x:c r="C1286" s="5" t="str">
        <x:v>5. Complete Company Financial Table (135 Facilities Analyzed)</x:v>
      </x:c>
      <x:c r="D1286" s="5" t="n">
        <x:v>196</x:v>
      </x:c>
      <x:c r="E1286" s="5" t="n">
        <x:v>3</x:v>
      </x:c>
      <x:c r="F1286" s="5" t="str">
        <x:v>Location</x:v>
      </x:c>
      <x:c r="G1286" s="5" t="n">
        <x:v>1</x:v>
      </x:c>
      <x:c r="H1286" s="5" t="n">
        <x:v>1</x:v>
      </x:c>
      <x:c r="I1286" s="5" t="str">
        <x:v>Hoganas, Sweden</x:v>
      </x:c>
      <x:c r="J1286" s="5" t="str">
        <x:v>SOURCE QUOTE; unvalidated / superseded assessments</x:v>
      </x:c>
      <x:c r="L1286" s="31" t="str">
        <x:v>D06, Markdown line 196; http://nas-1.tail55d152.ts.net:4100/static/MEDICAL_NORDICS_FINANCIALS_DOSSIER.html</x:v>
      </x:c>
    </x:row>
    <x:row r="1287" ht="42" customHeight="1">
      <x:c r="A1287" s="5" t="str">
        <x:v>D06</x:v>
      </x:c>
      <x:c r="B1287" s="5" t="str">
        <x:v>D06-T01</x:v>
      </x:c>
      <x:c r="C1287" s="5" t="str">
        <x:v>5. Complete Company Financial Table (135 Facilities Analyzed)</x:v>
      </x:c>
      <x:c r="D1287" s="5" t="n">
        <x:v>196</x:v>
      </x:c>
      <x:c r="E1287" s="5" t="n">
        <x:v>4</x:v>
      </x:c>
      <x:c r="F1287" s="5" t="str">
        <x:v>Focus Area</x:v>
      </x:c>
      <x:c r="G1287" s="5" t="n">
        <x:v>1</x:v>
      </x:c>
      <x:c r="H1287" s="5" t="n">
        <x:v>1</x:v>
      </x:c>
      <x:c r="I1287" s="5" t="str">
        <x:v>Contract Pharmaceutical Packaging</x:v>
      </x:c>
      <x:c r="J1287" s="5" t="str">
        <x:v>SOURCE QUOTE; unvalidated / superseded assessments</x:v>
      </x:c>
      <x:c r="L1287" s="31" t="str">
        <x:v>D06, Markdown line 196; http://nas-1.tail55d152.ts.net:4100/static/MEDICAL_NORDICS_FINANCIALS_DOSSIER.html</x:v>
      </x:c>
    </x:row>
    <x:row r="1288" ht="42" customHeight="1">
      <x:c r="A1288" s="5" t="str">
        <x:v>D06</x:v>
      </x:c>
      <x:c r="B1288" s="5" t="str">
        <x:v>D06-T01</x:v>
      </x:c>
      <x:c r="C1288" s="5" t="str">
        <x:v>5. Complete Company Financial Table (135 Facilities Analyzed)</x:v>
      </x:c>
      <x:c r="D1288" s="5" t="n">
        <x:v>196</x:v>
      </x:c>
      <x:c r="E1288" s="5" t="n">
        <x:v>5</x:v>
      </x:c>
      <x:c r="F1288" s="5" t="str">
        <x:v>Revenue / Net Sales</x:v>
      </x:c>
      <x:c r="G1288" s="5" t="n">
        <x:v>1</x:v>
      </x:c>
      <x:c r="H1288" s="5" t="n">
        <x:v>1</x:v>
      </x:c>
      <x:c r="I1288" s="5" t="str">
        <x:v>SEK 55.0M est.</x:v>
      </x:c>
      <x:c r="J1288" s="5" t="str">
        <x:v>SOURCE QUOTE; unvalidated / superseded assessments</x:v>
      </x:c>
      <x:c r="L1288" s="31" t="str">
        <x:v>D06, Markdown line 196; http://nas-1.tail55d152.ts.net:4100/static/MEDICAL_NORDICS_FINANCIALS_DOSSIER.html</x:v>
      </x:c>
    </x:row>
    <x:row r="1289" ht="42" customHeight="1">
      <x:c r="A1289" s="5" t="str">
        <x:v>D06</x:v>
      </x:c>
      <x:c r="B1289" s="5" t="str">
        <x:v>D06-T01</x:v>
      </x:c>
      <x:c r="C1289" s="5" t="str">
        <x:v>5. Complete Company Financial Table (135 Facilities Analyzed)</x:v>
      </x:c>
      <x:c r="D1289" s="5" t="n">
        <x:v>196</x:v>
      </x:c>
      <x:c r="E1289" s="5" t="n">
        <x:v>6</x:v>
      </x:c>
      <x:c r="F1289" s="5" t="str">
        <x:v>R&amp;D Spend</x:v>
      </x:c>
      <x:c r="G1289" s="5" t="n">
        <x:v>1</x:v>
      </x:c>
      <x:c r="H1289" s="5" t="n">
        <x:v>1</x:v>
      </x:c>
      <x:c r="I1289" s="5" t="str">
        <x:v>SEK 5.5M</x:v>
      </x:c>
      <x:c r="J1289" s="5" t="str">
        <x:v>SOURCE QUOTE; unvalidated / superseded assessments</x:v>
      </x:c>
      <x:c r="L1289" s="31" t="str">
        <x:v>D06, Markdown line 196; http://nas-1.tail55d152.ts.net:4100/static/MEDICAL_NORDICS_FINANCIALS_DOSSIER.html</x:v>
      </x:c>
    </x:row>
    <x:row r="1290" ht="42" customHeight="1">
      <x:c r="A1290" s="5" t="str">
        <x:v>D06</x:v>
      </x:c>
      <x:c r="B1290" s="5" t="str">
        <x:v>D06-T01</x:v>
      </x:c>
      <x:c r="C1290" s="5" t="str">
        <x:v>5. Complete Company Financial Table (135 Facilities Analyzed)</x:v>
      </x:c>
      <x:c r="D1290" s="5" t="n">
        <x:v>196</x:v>
      </x:c>
      <x:c r="E1290" s="5" t="n">
        <x:v>7</x:v>
      </x:c>
      <x:c r="F1290" s="5" t="str">
        <x:v>Currency</x:v>
      </x:c>
      <x:c r="G1290" s="5" t="n">
        <x:v>1</x:v>
      </x:c>
      <x:c r="H1290" s="5" t="n">
        <x:v>1</x:v>
      </x:c>
      <x:c r="I1290" s="5" t="str">
        <x:v>SEK</x:v>
      </x:c>
      <x:c r="J1290" s="5" t="str">
        <x:v>SOURCE QUOTE; unvalidated / superseded assessments</x:v>
      </x:c>
      <x:c r="L1290" s="31" t="str">
        <x:v>D06, Markdown line 196; http://nas-1.tail55d152.ts.net:4100/static/MEDICAL_NORDICS_FINANCIALS_DOSSIER.html</x:v>
      </x:c>
    </x:row>
    <x:row r="1291" ht="42" customHeight="1">
      <x:c r="A1291" s="5" t="str">
        <x:v>D06</x:v>
      </x:c>
      <x:c r="B1291" s="5" t="str">
        <x:v>D06-T01</x:v>
      </x:c>
      <x:c r="C1291" s="5" t="str">
        <x:v>5. Complete Company Financial Table (135 Facilities Analyzed)</x:v>
      </x:c>
      <x:c r="D1291" s="5" t="n">
        <x:v>196</x:v>
      </x:c>
      <x:c r="E1291" s="5" t="n">
        <x:v>8</x:v>
      </x:c>
      <x:c r="F1291" s="5" t="str">
        <x:v>Fiscal Year</x:v>
      </x:c>
      <x:c r="G1291" s="5" t="n">
        <x:v>1</x:v>
      </x:c>
      <x:c r="H1291" s="5" t="n">
        <x:v>1</x:v>
      </x:c>
      <x:c r="I1291" s="5" t="str">
        <x:v>FY2023</x:v>
      </x:c>
      <x:c r="J1291" s="5" t="str">
        <x:v>SOURCE QUOTE; unvalidated / superseded assessments</x:v>
      </x:c>
      <x:c r="L1291" s="31" t="str">
        <x:v>D06, Markdown line 196; http://nas-1.tail55d152.ts.net:4100/static/MEDICAL_NORDICS_FINANCIALS_DOSSIER.html</x:v>
      </x:c>
    </x:row>
    <x:row r="1292" ht="42" customHeight="1">
      <x:c r="A1292" s="5" t="str">
        <x:v>D06</x:v>
      </x:c>
      <x:c r="B1292" s="5" t="str">
        <x:v>D06-T01</x:v>
      </x:c>
      <x:c r="C1292" s="5" t="str">
        <x:v>5. Complete Company Financial Table (135 Facilities Analyzed)</x:v>
      </x:c>
      <x:c r="D1292" s="5" t="n">
        <x:v>196</x:v>
      </x:c>
      <x:c r="E1292" s="5" t="n">
        <x:v>9</x:v>
      </x:c>
      <x:c r="F1292" s="5" t="str">
        <x:v>Status / Ownership / Strategic Service Alignment</x:v>
      </x:c>
      <x:c r="G1292" s="5" t="n">
        <x:v>1</x:v>
      </x:c>
      <x:c r="H1292" s="5" t="n">
        <x:v>1</x:v>
      </x:c>
      <x:c r="I1292" s="5" t="str">
        <x:v>Private CDMO; Package D (Packaging line overall equipment effectiveness / OEE)</x:v>
      </x:c>
      <x:c r="J1292" s="5" t="str">
        <x:v>SOURCE QUOTE; unvalidated / superseded assessments</x:v>
      </x:c>
      <x:c r="L1292" s="31" t="str">
        <x:v>D06, Markdown line 196; http://nas-1.tail55d152.ts.net:4100/static/MEDICAL_NORDICS_FINANCIALS_DOSSIER.html</x:v>
      </x:c>
    </x:row>
    <x:row r="1293" ht="42" customHeight="1">
      <x:c r="A1293" s="5" t="str">
        <x:v>D06</x:v>
      </x:c>
      <x:c r="B1293" s="5" t="str">
        <x:v>D06-T01</x:v>
      </x:c>
      <x:c r="C1293" s="5" t="str">
        <x:v>5. Complete Company Financial Table (135 Facilities Analyzed)</x:v>
      </x:c>
      <x:c r="D1293" s="5" t="n">
        <x:v>197</x:v>
      </x:c>
      <x:c r="E1293" s="5" t="n">
        <x:v>1</x:v>
      </x:c>
      <x:c r="F1293" s="5" t="str">
        <x:v>#</x:v>
      </x:c>
      <x:c r="G1293" s="5" t="n">
        <x:v>1</x:v>
      </x:c>
      <x:c r="H1293" s="5" t="n">
        <x:v>1</x:v>
      </x:c>
      <x:c r="I1293" s="5" t="str">
        <x:v>16</x:v>
      </x:c>
      <x:c r="J1293" s="5" t="str">
        <x:v>SOURCE QUOTE; unvalidated / superseded assessments</x:v>
      </x:c>
      <x:c r="L1293" s="31" t="str">
        <x:v>D06, Markdown line 197; http://nas-1.tail55d152.ts.net:4100/static/MEDICAL_NORDICS_FINANCIALS_DOSSIER.html</x:v>
      </x:c>
    </x:row>
    <x:row r="1294" ht="42" customHeight="1">
      <x:c r="A1294" s="5" t="str">
        <x:v>D06</x:v>
      </x:c>
      <x:c r="B1294" s="5" t="str">
        <x:v>D06-T01</x:v>
      </x:c>
      <x:c r="C1294" s="5" t="str">
        <x:v>5. Complete Company Financial Table (135 Facilities Analyzed)</x:v>
      </x:c>
      <x:c r="D1294" s="5" t="n">
        <x:v>197</x:v>
      </x:c>
      <x:c r="E1294" s="5" t="n">
        <x:v>2</x:v>
      </x:c>
      <x:c r="F1294" s="5" t="str">
        <x:v>Company</x:v>
      </x:c>
      <x:c r="G1294" s="5" t="n">
        <x:v>1</x:v>
      </x:c>
      <x:c r="H1294" s="5" t="n">
        <x:v>1</x:v>
      </x:c>
      <x:c r="I1294" s="5" t="str">
        <x:v>AlzeCure Pharma</x:v>
      </x:c>
      <x:c r="J1294" s="5" t="str">
        <x:v>SOURCE QUOTE; unvalidated / superseded assessments</x:v>
      </x:c>
      <x:c r="L1294" s="31" t="str">
        <x:v>D06, Markdown line 197; http://nas-1.tail55d152.ts.net:4100/static/MEDICAL_NORDICS_FINANCIALS_DOSSIER.html</x:v>
      </x:c>
    </x:row>
    <x:row r="1295" ht="42" customHeight="1">
      <x:c r="A1295" s="5" t="str">
        <x:v>D06</x:v>
      </x:c>
      <x:c r="B1295" s="5" t="str">
        <x:v>D06-T01</x:v>
      </x:c>
      <x:c r="C1295" s="5" t="str">
        <x:v>5. Complete Company Financial Table (135 Facilities Analyzed)</x:v>
      </x:c>
      <x:c r="D1295" s="5" t="n">
        <x:v>197</x:v>
      </x:c>
      <x:c r="E1295" s="5" t="n">
        <x:v>3</x:v>
      </x:c>
      <x:c r="F1295" s="5" t="str">
        <x:v>Location</x:v>
      </x:c>
      <x:c r="G1295" s="5" t="n">
        <x:v>1</x:v>
      </x:c>
      <x:c r="H1295" s="5" t="n">
        <x:v>1</x:v>
      </x:c>
      <x:c r="I1295" s="5" t="str">
        <x:v>Huddinge, Sweden</x:v>
      </x:c>
      <x:c r="J1295" s="5" t="str">
        <x:v>SOURCE QUOTE; unvalidated / superseded assessments</x:v>
      </x:c>
      <x:c r="L1295" s="31" t="str">
        <x:v>D06, Markdown line 197; http://nas-1.tail55d152.ts.net:4100/static/MEDICAL_NORDICS_FINANCIALS_DOSSIER.html</x:v>
      </x:c>
    </x:row>
    <x:row r="1296" ht="42" customHeight="1">
      <x:c r="A1296" s="5" t="str">
        <x:v>D06</x:v>
      </x:c>
      <x:c r="B1296" s="5" t="str">
        <x:v>D06-T01</x:v>
      </x:c>
      <x:c r="C1296" s="5" t="str">
        <x:v>5. Complete Company Financial Table (135 Facilities Analyzed)</x:v>
      </x:c>
      <x:c r="D1296" s="5" t="n">
        <x:v>197</x:v>
      </x:c>
      <x:c r="E1296" s="5" t="n">
        <x:v>4</x:v>
      </x:c>
      <x:c r="F1296" s="5" t="str">
        <x:v>Focus Area</x:v>
      </x:c>
      <x:c r="G1296" s="5" t="n">
        <x:v>1</x:v>
      </x:c>
      <x:c r="H1296" s="5" t="n">
        <x:v>1</x:v>
      </x:c>
      <x:c r="I1296" s="5" t="str">
        <x:v>Alzheimer's &amp; Pain Therapies</x:v>
      </x:c>
      <x:c r="J1296" s="5" t="str">
        <x:v>SOURCE QUOTE; unvalidated / superseded assessments</x:v>
      </x:c>
      <x:c r="L1296" s="31" t="str">
        <x:v>D06, Markdown line 197; http://nas-1.tail55d152.ts.net:4100/static/MEDICAL_NORDICS_FINANCIALS_DOSSIER.html</x:v>
      </x:c>
    </x:row>
    <x:row r="1297" ht="42" customHeight="1">
      <x:c r="A1297" s="5" t="str">
        <x:v>D06</x:v>
      </x:c>
      <x:c r="B1297" s="5" t="str">
        <x:v>D06-T01</x:v>
      </x:c>
      <x:c r="C1297" s="5" t="str">
        <x:v>5. Complete Company Financial Table (135 Facilities Analyzed)</x:v>
      </x:c>
      <x:c r="D1297" s="5" t="n">
        <x:v>197</x:v>
      </x:c>
      <x:c r="E1297" s="5" t="n">
        <x:v>5</x:v>
      </x:c>
      <x:c r="F1297" s="5" t="str">
        <x:v>Revenue / Net Sales</x:v>
      </x:c>
      <x:c r="G1297" s="5" t="n">
        <x:v>1</x:v>
      </x:c>
      <x:c r="H1297" s="5" t="n">
        <x:v>1</x:v>
      </x:c>
      <x:c r="I1297" s="5" t="str">
        <x:v>SEK 0M (Clinical stage)</x:v>
      </x:c>
      <x:c r="J1297" s="5" t="str">
        <x:v>SOURCE QUOTE; unvalidated / superseded assessments</x:v>
      </x:c>
      <x:c r="L1297" s="31" t="str">
        <x:v>D06, Markdown line 197; http://nas-1.tail55d152.ts.net:4100/static/MEDICAL_NORDICS_FINANCIALS_DOSSIER.html</x:v>
      </x:c>
    </x:row>
    <x:row r="1298" ht="42" customHeight="1">
      <x:c r="A1298" s="5" t="str">
        <x:v>D06</x:v>
      </x:c>
      <x:c r="B1298" s="5" t="str">
        <x:v>D06-T01</x:v>
      </x:c>
      <x:c r="C1298" s="5" t="str">
        <x:v>5. Complete Company Financial Table (135 Facilities Analyzed)</x:v>
      </x:c>
      <x:c r="D1298" s="5" t="n">
        <x:v>197</x:v>
      </x:c>
      <x:c r="E1298" s="5" t="n">
        <x:v>6</x:v>
      </x:c>
      <x:c r="F1298" s="5" t="str">
        <x:v>R&amp;D Spend</x:v>
      </x:c>
      <x:c r="G1298" s="5" t="n">
        <x:v>1</x:v>
      </x:c>
      <x:c r="H1298" s="5" t="n">
        <x:v>1</x:v>
      </x:c>
      <x:c r="I1298" s="5" t="str">
        <x:v>SEK 54.3M</x:v>
      </x:c>
      <x:c r="J1298" s="5" t="str">
        <x:v>SOURCE QUOTE; unvalidated / superseded assessments</x:v>
      </x:c>
      <x:c r="L1298" s="31" t="str">
        <x:v>D06, Markdown line 197; http://nas-1.tail55d152.ts.net:4100/static/MEDICAL_NORDICS_FINANCIALS_DOSSIER.html</x:v>
      </x:c>
    </x:row>
    <x:row r="1299" ht="42" customHeight="1">
      <x:c r="A1299" s="5" t="str">
        <x:v>D06</x:v>
      </x:c>
      <x:c r="B1299" s="5" t="str">
        <x:v>D06-T01</x:v>
      </x:c>
      <x:c r="C1299" s="5" t="str">
        <x:v>5. Complete Company Financial Table (135 Facilities Analyzed)</x:v>
      </x:c>
      <x:c r="D1299" s="5" t="n">
        <x:v>197</x:v>
      </x:c>
      <x:c r="E1299" s="5" t="n">
        <x:v>7</x:v>
      </x:c>
      <x:c r="F1299" s="5" t="str">
        <x:v>Currency</x:v>
      </x:c>
      <x:c r="G1299" s="5" t="n">
        <x:v>1</x:v>
      </x:c>
      <x:c r="H1299" s="5" t="n">
        <x:v>1</x:v>
      </x:c>
      <x:c r="I1299" s="5" t="str">
        <x:v>SEK</x:v>
      </x:c>
      <x:c r="J1299" s="5" t="str">
        <x:v>SOURCE QUOTE; unvalidated / superseded assessments</x:v>
      </x:c>
      <x:c r="L1299" s="31" t="str">
        <x:v>D06, Markdown line 197; http://nas-1.tail55d152.ts.net:4100/static/MEDICAL_NORDICS_FINANCIALS_DOSSIER.html</x:v>
      </x:c>
    </x:row>
    <x:row r="1300" ht="42" customHeight="1">
      <x:c r="A1300" s="5" t="str">
        <x:v>D06</x:v>
      </x:c>
      <x:c r="B1300" s="5" t="str">
        <x:v>D06-T01</x:v>
      </x:c>
      <x:c r="C1300" s="5" t="str">
        <x:v>5. Complete Company Financial Table (135 Facilities Analyzed)</x:v>
      </x:c>
      <x:c r="D1300" s="5" t="n">
        <x:v>197</x:v>
      </x:c>
      <x:c r="E1300" s="5" t="n">
        <x:v>8</x:v>
      </x:c>
      <x:c r="F1300" s="5" t="str">
        <x:v>Fiscal Year</x:v>
      </x:c>
      <x:c r="G1300" s="5" t="n">
        <x:v>1</x:v>
      </x:c>
      <x:c r="H1300" s="5" t="n">
        <x:v>1</x:v>
      </x:c>
      <x:c r="I1300" s="5" t="str">
        <x:v>FY2023/24</x:v>
      </x:c>
      <x:c r="J1300" s="5" t="str">
        <x:v>SOURCE QUOTE; unvalidated / superseded assessments</x:v>
      </x:c>
      <x:c r="L1300" s="31" t="str">
        <x:v>D06, Markdown line 197; http://nas-1.tail55d152.ts.net:4100/static/MEDICAL_NORDICS_FINANCIALS_DOSSIER.html</x:v>
      </x:c>
    </x:row>
    <x:row r="1301" ht="42" customHeight="1">
      <x:c r="A1301" s="5" t="str">
        <x:v>D06</x:v>
      </x:c>
      <x:c r="B1301" s="5" t="str">
        <x:v>D06-T01</x:v>
      </x:c>
      <x:c r="C1301" s="5" t="str">
        <x:v>5. Complete Company Financial Table (135 Facilities Analyzed)</x:v>
      </x:c>
      <x:c r="D1301" s="5" t="n">
        <x:v>197</x:v>
      </x:c>
      <x:c r="E1301" s="5" t="n">
        <x:v>9</x:v>
      </x:c>
      <x:c r="F1301" s="5" t="str">
        <x:v>Status / Ownership / Strategic Service Alignment</x:v>
      </x:c>
      <x:c r="G1301" s="5" t="n">
        <x:v>1</x:v>
      </x:c>
      <x:c r="H1301" s="5" t="n">
        <x:v>1</x:v>
      </x:c>
      <x:c r="I1301" s="5" t="str">
        <x:v>Listed (First North: ALZCUR); Package B (NeuroRestore clinical milestone governance)</x:v>
      </x:c>
      <x:c r="J1301" s="5" t="str">
        <x:v>SOURCE QUOTE; unvalidated / superseded assessments</x:v>
      </x:c>
      <x:c r="L1301" s="31" t="str">
        <x:v>D06, Markdown line 197; http://nas-1.tail55d152.ts.net:4100/static/MEDICAL_NORDICS_FINANCIALS_DOSSIER.html</x:v>
      </x:c>
    </x:row>
    <x:row r="1302" ht="42" customHeight="1">
      <x:c r="A1302" s="5" t="str">
        <x:v>D06</x:v>
      </x:c>
      <x:c r="B1302" s="5" t="str">
        <x:v>D06-T01</x:v>
      </x:c>
      <x:c r="C1302" s="5" t="str">
        <x:v>5. Complete Company Financial Table (135 Facilities Analyzed)</x:v>
      </x:c>
      <x:c r="D1302" s="5" t="n">
        <x:v>198</x:v>
      </x:c>
      <x:c r="E1302" s="5" t="n">
        <x:v>1</x:v>
      </x:c>
      <x:c r="F1302" s="5" t="str">
        <x:v>#</x:v>
      </x:c>
      <x:c r="G1302" s="5" t="n">
        <x:v>1</x:v>
      </x:c>
      <x:c r="H1302" s="5" t="n">
        <x:v>1</x:v>
      </x:c>
      <x:c r="I1302" s="5" t="str">
        <x:v>17</x:v>
      </x:c>
      <x:c r="J1302" s="5" t="str">
        <x:v>SOURCE QUOTE; unvalidated / superseded assessments</x:v>
      </x:c>
      <x:c r="L1302" s="31" t="str">
        <x:v>D06, Markdown line 198; http://nas-1.tail55d152.ts.net:4100/static/MEDICAL_NORDICS_FINANCIALS_DOSSIER.html</x:v>
      </x:c>
    </x:row>
    <x:row r="1303" ht="42" customHeight="1">
      <x:c r="A1303" s="5" t="str">
        <x:v>D06</x:v>
      </x:c>
      <x:c r="B1303" s="5" t="str">
        <x:v>D06-T01</x:v>
      </x:c>
      <x:c r="C1303" s="5" t="str">
        <x:v>5. Complete Company Financial Table (135 Facilities Analyzed)</x:v>
      </x:c>
      <x:c r="D1303" s="5" t="n">
        <x:v>198</x:v>
      </x:c>
      <x:c r="E1303" s="5" t="n">
        <x:v>2</x:v>
      </x:c>
      <x:c r="F1303" s="5" t="str">
        <x:v>Company</x:v>
      </x:c>
      <x:c r="G1303" s="5" t="n">
        <x:v>1</x:v>
      </x:c>
      <x:c r="H1303" s="5" t="n">
        <x:v>1</x:v>
      </x:c>
      <x:c r="I1303" s="5" t="str">
        <x:v>Sprint Bioscience</x:v>
      </x:c>
      <x:c r="J1303" s="5" t="str">
        <x:v>SOURCE QUOTE; unvalidated / superseded assessments</x:v>
      </x:c>
      <x:c r="L1303" s="31" t="str">
        <x:v>D06, Markdown line 198; http://nas-1.tail55d152.ts.net:4100/static/MEDICAL_NORDICS_FINANCIALS_DOSSIER.html</x:v>
      </x:c>
    </x:row>
    <x:row r="1304" ht="42" customHeight="1">
      <x:c r="A1304" s="5" t="str">
        <x:v>D06</x:v>
      </x:c>
      <x:c r="B1304" s="5" t="str">
        <x:v>D06-T01</x:v>
      </x:c>
      <x:c r="C1304" s="5" t="str">
        <x:v>5. Complete Company Financial Table (135 Facilities Analyzed)</x:v>
      </x:c>
      <x:c r="D1304" s="5" t="n">
        <x:v>198</x:v>
      </x:c>
      <x:c r="E1304" s="5" t="n">
        <x:v>3</x:v>
      </x:c>
      <x:c r="F1304" s="5" t="str">
        <x:v>Location</x:v>
      </x:c>
      <x:c r="G1304" s="5" t="n">
        <x:v>1</x:v>
      </x:c>
      <x:c r="H1304" s="5" t="n">
        <x:v>1</x:v>
      </x:c>
      <x:c r="I1304" s="5" t="str">
        <x:v>Huddinge, Sweden</x:v>
      </x:c>
      <x:c r="J1304" s="5" t="str">
        <x:v>SOURCE QUOTE; unvalidated / superseded assessments</x:v>
      </x:c>
      <x:c r="L1304" s="31" t="str">
        <x:v>D06, Markdown line 198; http://nas-1.tail55d152.ts.net:4100/static/MEDICAL_NORDICS_FINANCIALS_DOSSIER.html</x:v>
      </x:c>
    </x:row>
    <x:row r="1305" ht="42" customHeight="1">
      <x:c r="A1305" s="5" t="str">
        <x:v>D06</x:v>
      </x:c>
      <x:c r="B1305" s="5" t="str">
        <x:v>D06-T01</x:v>
      </x:c>
      <x:c r="C1305" s="5" t="str">
        <x:v>5. Complete Company Financial Table (135 Facilities Analyzed)</x:v>
      </x:c>
      <x:c r="D1305" s="5" t="n">
        <x:v>198</x:v>
      </x:c>
      <x:c r="E1305" s="5" t="n">
        <x:v>4</x:v>
      </x:c>
      <x:c r="F1305" s="5" t="str">
        <x:v>Focus Area</x:v>
      </x:c>
      <x:c r="G1305" s="5" t="n">
        <x:v>1</x:v>
      </x:c>
      <x:c r="H1305" s="5" t="n">
        <x:v>1</x:v>
      </x:c>
      <x:c r="I1305" s="5" t="str">
        <x:v>Preclinical Oncology Discovery</x:v>
      </x:c>
      <x:c r="J1305" s="5" t="str">
        <x:v>SOURCE QUOTE; unvalidated / superseded assessments</x:v>
      </x:c>
      <x:c r="L1305" s="31" t="str">
        <x:v>D06, Markdown line 198; http://nas-1.tail55d152.ts.net:4100/static/MEDICAL_NORDICS_FINANCIALS_DOSSIER.html</x:v>
      </x:c>
    </x:row>
    <x:row r="1306" ht="42" customHeight="1">
      <x:c r="A1306" s="5" t="str">
        <x:v>D06</x:v>
      </x:c>
      <x:c r="B1306" s="5" t="str">
        <x:v>D06-T01</x:v>
      </x:c>
      <x:c r="C1306" s="5" t="str">
        <x:v>5. Complete Company Financial Table (135 Facilities Analyzed)</x:v>
      </x:c>
      <x:c r="D1306" s="5" t="n">
        <x:v>198</x:v>
      </x:c>
      <x:c r="E1306" s="5" t="n">
        <x:v>5</x:v>
      </x:c>
      <x:c r="F1306" s="5" t="str">
        <x:v>Revenue / Net Sales</x:v>
      </x:c>
      <x:c r="G1306" s="5" t="n">
        <x:v>1</x:v>
      </x:c>
      <x:c r="H1306" s="5" t="n">
        <x:v>1</x:v>
      </x:c>
      <x:c r="I1306" s="5" t="str">
        <x:v>SEK 65.6M</x:v>
      </x:c>
      <x:c r="J1306" s="5" t="str">
        <x:v>SOURCE QUOTE; unvalidated / superseded assessments</x:v>
      </x:c>
      <x:c r="L1306" s="31" t="str">
        <x:v>D06, Markdown line 198; http://nas-1.tail55d152.ts.net:4100/static/MEDICAL_NORDICS_FINANCIALS_DOSSIER.html</x:v>
      </x:c>
    </x:row>
    <x:row r="1307" ht="42" customHeight="1">
      <x:c r="A1307" s="5" t="str">
        <x:v>D06</x:v>
      </x:c>
      <x:c r="B1307" s="5" t="str">
        <x:v>D06-T01</x:v>
      </x:c>
      <x:c r="C1307" s="5" t="str">
        <x:v>5. Complete Company Financial Table (135 Facilities Analyzed)</x:v>
      </x:c>
      <x:c r="D1307" s="5" t="n">
        <x:v>198</x:v>
      </x:c>
      <x:c r="E1307" s="5" t="n">
        <x:v>6</x:v>
      </x:c>
      <x:c r="F1307" s="5" t="str">
        <x:v>R&amp;D Spend</x:v>
      </x:c>
      <x:c r="G1307" s="5" t="n">
        <x:v>1</x:v>
      </x:c>
      <x:c r="H1307" s="5" t="n">
        <x:v>1</x:v>
      </x:c>
      <x:c r="I1307" s="5" t="str">
        <x:v>SEK 52.8M</x:v>
      </x:c>
      <x:c r="J1307" s="5" t="str">
        <x:v>SOURCE QUOTE; unvalidated / superseded assessments</x:v>
      </x:c>
      <x:c r="L1307" s="31" t="str">
        <x:v>D06, Markdown line 198; http://nas-1.tail55d152.ts.net:4100/static/MEDICAL_NORDICS_FINANCIALS_DOSSIER.html</x:v>
      </x:c>
    </x:row>
    <x:row r="1308" ht="42" customHeight="1">
      <x:c r="A1308" s="5" t="str">
        <x:v>D06</x:v>
      </x:c>
      <x:c r="B1308" s="5" t="str">
        <x:v>D06-T01</x:v>
      </x:c>
      <x:c r="C1308" s="5" t="str">
        <x:v>5. Complete Company Financial Table (135 Facilities Analyzed)</x:v>
      </x:c>
      <x:c r="D1308" s="5" t="n">
        <x:v>198</x:v>
      </x:c>
      <x:c r="E1308" s="5" t="n">
        <x:v>7</x:v>
      </x:c>
      <x:c r="F1308" s="5" t="str">
        <x:v>Currency</x:v>
      </x:c>
      <x:c r="G1308" s="5" t="n">
        <x:v>1</x:v>
      </x:c>
      <x:c r="H1308" s="5" t="n">
        <x:v>1</x:v>
      </x:c>
      <x:c r="I1308" s="5" t="str">
        <x:v>SEK</x:v>
      </x:c>
      <x:c r="J1308" s="5" t="str">
        <x:v>SOURCE QUOTE; unvalidated / superseded assessments</x:v>
      </x:c>
      <x:c r="L1308" s="31" t="str">
        <x:v>D06, Markdown line 198; http://nas-1.tail55d152.ts.net:4100/static/MEDICAL_NORDICS_FINANCIALS_DOSSIER.html</x:v>
      </x:c>
    </x:row>
    <x:row r="1309" ht="42" customHeight="1">
      <x:c r="A1309" s="5" t="str">
        <x:v>D06</x:v>
      </x:c>
      <x:c r="B1309" s="5" t="str">
        <x:v>D06-T01</x:v>
      </x:c>
      <x:c r="C1309" s="5" t="str">
        <x:v>5. Complete Company Financial Table (135 Facilities Analyzed)</x:v>
      </x:c>
      <x:c r="D1309" s="5" t="n">
        <x:v>198</x:v>
      </x:c>
      <x:c r="E1309" s="5" t="n">
        <x:v>8</x:v>
      </x:c>
      <x:c r="F1309" s="5" t="str">
        <x:v>Fiscal Year</x:v>
      </x:c>
      <x:c r="G1309" s="5" t="n">
        <x:v>1</x:v>
      </x:c>
      <x:c r="H1309" s="5" t="n">
        <x:v>1</x:v>
      </x:c>
      <x:c r="I1309" s="5" t="str">
        <x:v>FY2024</x:v>
      </x:c>
      <x:c r="J1309" s="5" t="str">
        <x:v>SOURCE QUOTE; unvalidated / superseded assessments</x:v>
      </x:c>
      <x:c r="L1309" s="31" t="str">
        <x:v>D06, Markdown line 198; http://nas-1.tail55d152.ts.net:4100/static/MEDICAL_NORDICS_FINANCIALS_DOSSIER.html</x:v>
      </x:c>
    </x:row>
    <x:row r="1310" ht="42" customHeight="1">
      <x:c r="A1310" s="5" t="str">
        <x:v>D06</x:v>
      </x:c>
      <x:c r="B1310" s="5" t="str">
        <x:v>D06-T01</x:v>
      </x:c>
      <x:c r="C1310" s="5" t="str">
        <x:v>5. Complete Company Financial Table (135 Facilities Analyzed)</x:v>
      </x:c>
      <x:c r="D1310" s="5" t="n">
        <x:v>198</x:v>
      </x:c>
      <x:c r="E1310" s="5" t="n">
        <x:v>9</x:v>
      </x:c>
      <x:c r="F1310" s="5" t="str">
        <x:v>Status / Ownership / Strategic Service Alignment</x:v>
      </x:c>
      <x:c r="G1310" s="5" t="n">
        <x:v>1</x:v>
      </x:c>
      <x:c r="H1310" s="5" t="n">
        <x:v>1</x:v>
      </x:c>
      <x:c r="I1310" s="5" t="str">
        <x:v>Listed (First North: SPRINT); Package B (Early pipeline out-licensing data rooms)</x:v>
      </x:c>
      <x:c r="J1310" s="5" t="str">
        <x:v>SOURCE QUOTE; unvalidated / superseded assessments</x:v>
      </x:c>
      <x:c r="L1310" s="31" t="str">
        <x:v>D06, Markdown line 198; http://nas-1.tail55d152.ts.net:4100/static/MEDICAL_NORDICS_FINANCIALS_DOSSIER.html</x:v>
      </x:c>
    </x:row>
    <x:row r="1311" ht="42" customHeight="1">
      <x:c r="A1311" s="5" t="str">
        <x:v>D06</x:v>
      </x:c>
      <x:c r="B1311" s="5" t="str">
        <x:v>D06-T01</x:v>
      </x:c>
      <x:c r="C1311" s="5" t="str">
        <x:v>5. Complete Company Financial Table (135 Facilities Analyzed)</x:v>
      </x:c>
      <x:c r="D1311" s="5" t="n">
        <x:v>199</x:v>
      </x:c>
      <x:c r="E1311" s="5" t="n">
        <x:v>1</x:v>
      </x:c>
      <x:c r="F1311" s="5" t="str">
        <x:v>#</x:v>
      </x:c>
      <x:c r="G1311" s="5" t="n">
        <x:v>1</x:v>
      </x:c>
      <x:c r="H1311" s="5" t="n">
        <x:v>1</x:v>
      </x:c>
      <x:c r="I1311" s="5" t="str">
        <x:v>18</x:v>
      </x:c>
      <x:c r="J1311" s="5" t="str">
        <x:v>SOURCE QUOTE; unvalidated / superseded assessments</x:v>
      </x:c>
      <x:c r="L1311" s="31" t="str">
        <x:v>D06, Markdown line 199; http://nas-1.tail55d152.ts.net:4100/static/MEDICAL_NORDICS_FINANCIALS_DOSSIER.html</x:v>
      </x:c>
    </x:row>
    <x:row r="1312" ht="42" customHeight="1">
      <x:c r="A1312" s="5" t="str">
        <x:v>D06</x:v>
      </x:c>
      <x:c r="B1312" s="5" t="str">
        <x:v>D06-T01</x:v>
      </x:c>
      <x:c r="C1312" s="5" t="str">
        <x:v>5. Complete Company Financial Table (135 Facilities Analyzed)</x:v>
      </x:c>
      <x:c r="D1312" s="5" t="n">
        <x:v>199</x:v>
      </x:c>
      <x:c r="E1312" s="5" t="n">
        <x:v>2</x:v>
      </x:c>
      <x:c r="F1312" s="5" t="str">
        <x:v>Company</x:v>
      </x:c>
      <x:c r="G1312" s="5" t="n">
        <x:v>1</x:v>
      </x:c>
      <x:c r="H1312" s="5" t="n">
        <x:v>1</x:v>
      </x:c>
      <x:c r="I1312" s="5" t="str">
        <x:v>Cambrex</x:v>
      </x:c>
      <x:c r="J1312" s="5" t="str">
        <x:v>SOURCE QUOTE; unvalidated / superseded assessments</x:v>
      </x:c>
      <x:c r="L1312" s="31" t="str">
        <x:v>D06, Markdown line 199; http://nas-1.tail55d152.ts.net:4100/static/MEDICAL_NORDICS_FINANCIALS_DOSSIER.html</x:v>
      </x:c>
    </x:row>
    <x:row r="1313" ht="42" customHeight="1">
      <x:c r="A1313" s="5" t="str">
        <x:v>D06</x:v>
      </x:c>
      <x:c r="B1313" s="5" t="str">
        <x:v>D06-T01</x:v>
      </x:c>
      <x:c r="C1313" s="5" t="str">
        <x:v>5. Complete Company Financial Table (135 Facilities Analyzed)</x:v>
      </x:c>
      <x:c r="D1313" s="5" t="n">
        <x:v>199</x:v>
      </x:c>
      <x:c r="E1313" s="5" t="n">
        <x:v>3</x:v>
      </x:c>
      <x:c r="F1313" s="5" t="str">
        <x:v>Location</x:v>
      </x:c>
      <x:c r="G1313" s="5" t="n">
        <x:v>1</x:v>
      </x:c>
      <x:c r="H1313" s="5" t="n">
        <x:v>1</x:v>
      </x:c>
      <x:c r="I1313" s="5" t="str">
        <x:v>Karlskoga, Sweden</x:v>
      </x:c>
      <x:c r="J1313" s="5" t="str">
        <x:v>SOURCE QUOTE; unvalidated / superseded assessments</x:v>
      </x:c>
      <x:c r="L1313" s="31" t="str">
        <x:v>D06, Markdown line 199; http://nas-1.tail55d152.ts.net:4100/static/MEDICAL_NORDICS_FINANCIALS_DOSSIER.html</x:v>
      </x:c>
    </x:row>
    <x:row r="1314" ht="42" customHeight="1">
      <x:c r="A1314" s="5" t="str">
        <x:v>D06</x:v>
      </x:c>
      <x:c r="B1314" s="5" t="str">
        <x:v>D06-T01</x:v>
      </x:c>
      <x:c r="C1314" s="5" t="str">
        <x:v>5. Complete Company Financial Table (135 Facilities Analyzed)</x:v>
      </x:c>
      <x:c r="D1314" s="5" t="n">
        <x:v>199</x:v>
      </x:c>
      <x:c r="E1314" s="5" t="n">
        <x:v>4</x:v>
      </x:c>
      <x:c r="F1314" s="5" t="str">
        <x:v>Focus Area</x:v>
      </x:c>
      <x:c r="G1314" s="5" t="n">
        <x:v>1</x:v>
      </x:c>
      <x:c r="H1314" s="5" t="n">
        <x:v>1</x:v>
      </x:c>
      <x:c r="I1314" s="5" t="str">
        <x:v>API Synthesis &amp; High-Hazard CDMO</x:v>
      </x:c>
      <x:c r="J1314" s="5" t="str">
        <x:v>SOURCE QUOTE; unvalidated / superseded assessments</x:v>
      </x:c>
      <x:c r="L1314" s="31" t="str">
        <x:v>D06, Markdown line 199; http://nas-1.tail55d152.ts.net:4100/static/MEDICAL_NORDICS_FINANCIALS_DOSSIER.html</x:v>
      </x:c>
    </x:row>
    <x:row r="1315" ht="42" customHeight="1">
      <x:c r="A1315" s="5" t="str">
        <x:v>D06</x:v>
      </x:c>
      <x:c r="B1315" s="5" t="str">
        <x:v>D06-T01</x:v>
      </x:c>
      <x:c r="C1315" s="5" t="str">
        <x:v>5. Complete Company Financial Table (135 Facilities Analyzed)</x:v>
      </x:c>
      <x:c r="D1315" s="5" t="n">
        <x:v>199</x:v>
      </x:c>
      <x:c r="E1315" s="5" t="n">
        <x:v>5</x:v>
      </x:c>
      <x:c r="F1315" s="5" t="str">
        <x:v>Revenue / Net Sales</x:v>
      </x:c>
      <x:c r="G1315" s="5" t="n">
        <x:v>1</x:v>
      </x:c>
      <x:c r="H1315" s="5" t="n">
        <x:v>1</x:v>
      </x:c>
      <x:c r="I1315" s="5" t="str">
        <x:v>USD 700.0M est. (Karlskoga ~1.25B)</x:v>
      </x:c>
      <x:c r="J1315" s="5" t="str">
        <x:v>SOURCE QUOTE; unvalidated / superseded assessments</x:v>
      </x:c>
      <x:c r="L1315" s="31" t="str">
        <x:v>D06, Markdown line 199; http://nas-1.tail55d152.ts.net:4100/static/MEDICAL_NORDICS_FINANCIALS_DOSSIER.html</x:v>
      </x:c>
    </x:row>
    <x:row r="1316" ht="42" customHeight="1">
      <x:c r="A1316" s="5" t="str">
        <x:v>D06</x:v>
      </x:c>
      <x:c r="B1316" s="5" t="str">
        <x:v>D06-T01</x:v>
      </x:c>
      <x:c r="C1316" s="5" t="str">
        <x:v>5. Complete Company Financial Table (135 Facilities Analyzed)</x:v>
      </x:c>
      <x:c r="D1316" s="5" t="n">
        <x:v>199</x:v>
      </x:c>
      <x:c r="E1316" s="5" t="n">
        <x:v>6</x:v>
      </x:c>
      <x:c r="F1316" s="5" t="str">
        <x:v>R&amp;D Spend</x:v>
      </x:c>
      <x:c r="G1316" s="5" t="n">
        <x:v>1</x:v>
      </x:c>
      <x:c r="H1316" s="5" t="n">
        <x:v>1</x:v>
      </x:c>
      <x:c r="I1316" s="5" t="str">
        <x:v>USD 50.0M (~SEK 65M Karlskoga)</x:v>
      </x:c>
      <x:c r="J1316" s="5" t="str">
        <x:v>SOURCE QUOTE; unvalidated / superseded assessments</x:v>
      </x:c>
      <x:c r="L1316" s="31" t="str">
        <x:v>D06, Markdown line 199; http://nas-1.tail55d152.ts.net:4100/static/MEDICAL_NORDICS_FINANCIALS_DOSSIER.html</x:v>
      </x:c>
    </x:row>
    <x:row r="1317" ht="42" customHeight="1">
      <x:c r="A1317" s="5" t="str">
        <x:v>D06</x:v>
      </x:c>
      <x:c r="B1317" s="5" t="str">
        <x:v>D06-T01</x:v>
      </x:c>
      <x:c r="C1317" s="5" t="str">
        <x:v>5. Complete Company Financial Table (135 Facilities Analyzed)</x:v>
      </x:c>
      <x:c r="D1317" s="5" t="n">
        <x:v>199</x:v>
      </x:c>
      <x:c r="E1317" s="5" t="n">
        <x:v>7</x:v>
      </x:c>
      <x:c r="F1317" s="5" t="str">
        <x:v>Currency</x:v>
      </x:c>
      <x:c r="G1317" s="5" t="n">
        <x:v>1</x:v>
      </x:c>
      <x:c r="H1317" s="5" t="n">
        <x:v>1</x:v>
      </x:c>
      <x:c r="I1317" s="5" t="str">
        <x:v>USD</x:v>
      </x:c>
      <x:c r="J1317" s="5" t="str">
        <x:v>SOURCE QUOTE; unvalidated / superseded assessments</x:v>
      </x:c>
      <x:c r="L1317" s="31" t="str">
        <x:v>D06, Markdown line 199; http://nas-1.tail55d152.ts.net:4100/static/MEDICAL_NORDICS_FINANCIALS_DOSSIER.html</x:v>
      </x:c>
    </x:row>
    <x:row r="1318" ht="42" customHeight="1">
      <x:c r="A1318" s="5" t="str">
        <x:v>D06</x:v>
      </x:c>
      <x:c r="B1318" s="5" t="str">
        <x:v>D06-T01</x:v>
      </x:c>
      <x:c r="C1318" s="5" t="str">
        <x:v>5. Complete Company Financial Table (135 Facilities Analyzed)</x:v>
      </x:c>
      <x:c r="D1318" s="5" t="n">
        <x:v>199</x:v>
      </x:c>
      <x:c r="E1318" s="5" t="n">
        <x:v>8</x:v>
      </x:c>
      <x:c r="F1318" s="5" t="str">
        <x:v>Fiscal Year</x:v>
      </x:c>
      <x:c r="G1318" s="5" t="n">
        <x:v>1</x:v>
      </x:c>
      <x:c r="H1318" s="5" t="n">
        <x:v>1</x:v>
      </x:c>
      <x:c r="I1318" s="5" t="str">
        <x:v>FY2023/24</x:v>
      </x:c>
      <x:c r="J1318" s="5" t="str">
        <x:v>SOURCE QUOTE; unvalidated / superseded assessments</x:v>
      </x:c>
      <x:c r="L1318" s="31" t="str">
        <x:v>D06, Markdown line 199; http://nas-1.tail55d152.ts.net:4100/static/MEDICAL_NORDICS_FINANCIALS_DOSSIER.html</x:v>
      </x:c>
    </x:row>
    <x:row r="1319" ht="42" customHeight="1">
      <x:c r="A1319" s="5" t="str">
        <x:v>D06</x:v>
      </x:c>
      <x:c r="B1319" s="5" t="str">
        <x:v>D06-T01</x:v>
      </x:c>
      <x:c r="C1319" s="5" t="str">
        <x:v>5. Complete Company Financial Table (135 Facilities Analyzed)</x:v>
      </x:c>
      <x:c r="D1319" s="5" t="n">
        <x:v>199</x:v>
      </x:c>
      <x:c r="E1319" s="5" t="n">
        <x:v>9</x:v>
      </x:c>
      <x:c r="F1319" s="5" t="str">
        <x:v>Status / Ownership / Strategic Service Alignment</x:v>
      </x:c>
      <x:c r="G1319" s="5" t="n">
        <x:v>1</x:v>
      </x:c>
      <x:c r="H1319" s="5" t="n">
        <x:v>1</x:v>
      </x:c>
      <x:c r="I1319" s="5" t="str">
        <x:v>Permira PE owned; Package D (Continuous flow API batch yield &amp; margin defense)</x:v>
      </x:c>
      <x:c r="J1319" s="5" t="str">
        <x:v>SOURCE QUOTE; unvalidated / superseded assessments</x:v>
      </x:c>
      <x:c r="L1319" s="31" t="str">
        <x:v>D06, Markdown line 199; http://nas-1.tail55d152.ts.net:4100/static/MEDICAL_NORDICS_FINANCIALS_DOSSIER.html</x:v>
      </x:c>
    </x:row>
    <x:row r="1320" ht="42" customHeight="1">
      <x:c r="A1320" s="5" t="str">
        <x:v>D06</x:v>
      </x:c>
      <x:c r="B1320" s="5" t="str">
        <x:v>D06-T01</x:v>
      </x:c>
      <x:c r="C1320" s="5" t="str">
        <x:v>5. Complete Company Financial Table (135 Facilities Analyzed)</x:v>
      </x:c>
      <x:c r="D1320" s="5" t="n">
        <x:v>200</x:v>
      </x:c>
      <x:c r="E1320" s="5" t="n">
        <x:v>1</x:v>
      </x:c>
      <x:c r="F1320" s="5" t="str">
        <x:v>#</x:v>
      </x:c>
      <x:c r="G1320" s="5" t="n">
        <x:v>1</x:v>
      </x:c>
      <x:c r="H1320" s="5" t="n">
        <x:v>1</x:v>
      </x:c>
      <x:c r="I1320" s="5" t="str">
        <x:v>19</x:v>
      </x:c>
      <x:c r="J1320" s="5" t="str">
        <x:v>SOURCE QUOTE; unvalidated / superseded assessments</x:v>
      </x:c>
      <x:c r="L1320" s="31" t="str">
        <x:v>D06, Markdown line 200; http://nas-1.tail55d152.ts.net:4100/static/MEDICAL_NORDICS_FINANCIALS_DOSSIER.html</x:v>
      </x:c>
    </x:row>
    <x:row r="1321" ht="42" customHeight="1">
      <x:c r="A1321" s="5" t="str">
        <x:v>D06</x:v>
      </x:c>
      <x:c r="B1321" s="5" t="str">
        <x:v>D06-T01</x:v>
      </x:c>
      <x:c r="C1321" s="5" t="str">
        <x:v>5. Complete Company Financial Table (135 Facilities Analyzed)</x:v>
      </x:c>
      <x:c r="D1321" s="5" t="n">
        <x:v>200</x:v>
      </x:c>
      <x:c r="E1321" s="5" t="n">
        <x:v>2</x:v>
      </x:c>
      <x:c r="F1321" s="5" t="str">
        <x:v>Company</x:v>
      </x:c>
      <x:c r="G1321" s="5" t="n">
        <x:v>1</x:v>
      </x:c>
      <x:c r="H1321" s="5" t="n">
        <x:v>1</x:v>
      </x:c>
      <x:c r="I1321" s="5" t="str">
        <x:v>Meribel Pharma Group</x:v>
      </x:c>
      <x:c r="J1321" s="5" t="str">
        <x:v>SOURCE QUOTE; unvalidated / superseded assessments</x:v>
      </x:c>
      <x:c r="L1321" s="31" t="str">
        <x:v>D06, Markdown line 200; http://nas-1.tail55d152.ts.net:4100/static/MEDICAL_NORDICS_FINANCIALS_DOSSIER.html</x:v>
      </x:c>
    </x:row>
    <x:row r="1322" ht="42" customHeight="1">
      <x:c r="A1322" s="5" t="str">
        <x:v>D06</x:v>
      </x:c>
      <x:c r="B1322" s="5" t="str">
        <x:v>D06-T01</x:v>
      </x:c>
      <x:c r="C1322" s="5" t="str">
        <x:v>5. Complete Company Financial Table (135 Facilities Analyzed)</x:v>
      </x:c>
      <x:c r="D1322" s="5" t="n">
        <x:v>200</x:v>
      </x:c>
      <x:c r="E1322" s="5" t="n">
        <x:v>3</x:v>
      </x:c>
      <x:c r="F1322" s="5" t="str">
        <x:v>Location</x:v>
      </x:c>
      <x:c r="G1322" s="5" t="n">
        <x:v>1</x:v>
      </x:c>
      <x:c r="H1322" s="5" t="n">
        <x:v>1</x:v>
      </x:c>
      <x:c r="I1322" s="5" t="str">
        <x:v>Karlskoga, Sweden</x:v>
      </x:c>
      <x:c r="J1322" s="5" t="str">
        <x:v>SOURCE QUOTE; unvalidated / superseded assessments</x:v>
      </x:c>
      <x:c r="L1322" s="31" t="str">
        <x:v>D06, Markdown line 200; http://nas-1.tail55d152.ts.net:4100/static/MEDICAL_NORDICS_FINANCIALS_DOSSIER.html</x:v>
      </x:c>
    </x:row>
    <x:row r="1323" ht="42" customHeight="1">
      <x:c r="A1323" s="5" t="str">
        <x:v>D06</x:v>
      </x:c>
      <x:c r="B1323" s="5" t="str">
        <x:v>D06-T01</x:v>
      </x:c>
      <x:c r="C1323" s="5" t="str">
        <x:v>5. Complete Company Financial Table (135 Facilities Analyzed)</x:v>
      </x:c>
      <x:c r="D1323" s="5" t="n">
        <x:v>200</x:v>
      </x:c>
      <x:c r="E1323" s="5" t="n">
        <x:v>4</x:v>
      </x:c>
      <x:c r="F1323" s="5" t="str">
        <x:v>Focus Area</x:v>
      </x:c>
      <x:c r="G1323" s="5" t="n">
        <x:v>1</x:v>
      </x:c>
      <x:c r="H1323" s="5" t="n">
        <x:v>1</x:v>
      </x:c>
      <x:c r="I1323" s="5" t="str">
        <x:v>Solid Dose Contract Manufacturing</x:v>
      </x:c>
      <x:c r="J1323" s="5" t="str">
        <x:v>SOURCE QUOTE; unvalidated / superseded assessments</x:v>
      </x:c>
      <x:c r="L1323" s="31" t="str">
        <x:v>D06, Markdown line 200; http://nas-1.tail55d152.ts.net:4100/static/MEDICAL_NORDICS_FINANCIALS_DOSSIER.html</x:v>
      </x:c>
    </x:row>
    <x:row r="1324" ht="42" customHeight="1">
      <x:c r="A1324" s="5" t="str">
        <x:v>D06</x:v>
      </x:c>
      <x:c r="B1324" s="5" t="str">
        <x:v>D06-T01</x:v>
      </x:c>
      <x:c r="C1324" s="5" t="str">
        <x:v>5. Complete Company Financial Table (135 Facilities Analyzed)</x:v>
      </x:c>
      <x:c r="D1324" s="5" t="n">
        <x:v>200</x:v>
      </x:c>
      <x:c r="E1324" s="5" t="n">
        <x:v>5</x:v>
      </x:c>
      <x:c r="F1324" s="5" t="str">
        <x:v>Revenue / Net Sales</x:v>
      </x:c>
      <x:c r="G1324" s="5" t="n">
        <x:v>1</x:v>
      </x:c>
      <x:c r="H1324" s="5" t="n">
        <x:v>1</x:v>
      </x:c>
      <x:c r="I1324" s="5" t="str">
        <x:v>SEK 55.0M est.</x:v>
      </x:c>
      <x:c r="J1324" s="5" t="str">
        <x:v>SOURCE QUOTE; unvalidated / superseded assessments</x:v>
      </x:c>
      <x:c r="L1324" s="31" t="str">
        <x:v>D06, Markdown line 200; http://nas-1.tail55d152.ts.net:4100/static/MEDICAL_NORDICS_FINANCIALS_DOSSIER.html</x:v>
      </x:c>
    </x:row>
    <x:row r="1325" ht="42" customHeight="1">
      <x:c r="A1325" s="5" t="str">
        <x:v>D06</x:v>
      </x:c>
      <x:c r="B1325" s="5" t="str">
        <x:v>D06-T01</x:v>
      </x:c>
      <x:c r="C1325" s="5" t="str">
        <x:v>5. Complete Company Financial Table (135 Facilities Analyzed)</x:v>
      </x:c>
      <x:c r="D1325" s="5" t="n">
        <x:v>200</x:v>
      </x:c>
      <x:c r="E1325" s="5" t="n">
        <x:v>6</x:v>
      </x:c>
      <x:c r="F1325" s="5" t="str">
        <x:v>R&amp;D Spend</x:v>
      </x:c>
      <x:c r="G1325" s="5" t="n">
        <x:v>1</x:v>
      </x:c>
      <x:c r="H1325" s="5" t="n">
        <x:v>1</x:v>
      </x:c>
      <x:c r="I1325" s="5" t="str">
        <x:v>SEK 5.5M</x:v>
      </x:c>
      <x:c r="J1325" s="5" t="str">
        <x:v>SOURCE QUOTE; unvalidated / superseded assessments</x:v>
      </x:c>
      <x:c r="L1325" s="31" t="str">
        <x:v>D06, Markdown line 200; http://nas-1.tail55d152.ts.net:4100/static/MEDICAL_NORDICS_FINANCIALS_DOSSIER.html</x:v>
      </x:c>
    </x:row>
    <x:row r="1326" ht="42" customHeight="1">
      <x:c r="A1326" s="5" t="str">
        <x:v>D06</x:v>
      </x:c>
      <x:c r="B1326" s="5" t="str">
        <x:v>D06-T01</x:v>
      </x:c>
      <x:c r="C1326" s="5" t="str">
        <x:v>5. Complete Company Financial Table (135 Facilities Analyzed)</x:v>
      </x:c>
      <x:c r="D1326" s="5" t="n">
        <x:v>200</x:v>
      </x:c>
      <x:c r="E1326" s="5" t="n">
        <x:v>7</x:v>
      </x:c>
      <x:c r="F1326" s="5" t="str">
        <x:v>Currency</x:v>
      </x:c>
      <x:c r="G1326" s="5" t="n">
        <x:v>1</x:v>
      </x:c>
      <x:c r="H1326" s="5" t="n">
        <x:v>1</x:v>
      </x:c>
      <x:c r="I1326" s="5" t="str">
        <x:v>SEK</x:v>
      </x:c>
      <x:c r="J1326" s="5" t="str">
        <x:v>SOURCE QUOTE; unvalidated / superseded assessments</x:v>
      </x:c>
      <x:c r="L1326" s="31" t="str">
        <x:v>D06, Markdown line 200; http://nas-1.tail55d152.ts.net:4100/static/MEDICAL_NORDICS_FINANCIALS_DOSSIER.html</x:v>
      </x:c>
    </x:row>
    <x:row r="1327" ht="42" customHeight="1">
      <x:c r="A1327" s="5" t="str">
        <x:v>D06</x:v>
      </x:c>
      <x:c r="B1327" s="5" t="str">
        <x:v>D06-T01</x:v>
      </x:c>
      <x:c r="C1327" s="5" t="str">
        <x:v>5. Complete Company Financial Table (135 Facilities Analyzed)</x:v>
      </x:c>
      <x:c r="D1327" s="5" t="n">
        <x:v>200</x:v>
      </x:c>
      <x:c r="E1327" s="5" t="n">
        <x:v>8</x:v>
      </x:c>
      <x:c r="F1327" s="5" t="str">
        <x:v>Fiscal Year</x:v>
      </x:c>
      <x:c r="G1327" s="5" t="n">
        <x:v>1</x:v>
      </x:c>
      <x:c r="H1327" s="5" t="n">
        <x:v>1</x:v>
      </x:c>
      <x:c r="I1327" s="5" t="str">
        <x:v>FY2023</x:v>
      </x:c>
      <x:c r="J1327" s="5" t="str">
        <x:v>SOURCE QUOTE; unvalidated / superseded assessments</x:v>
      </x:c>
      <x:c r="L1327" s="31" t="str">
        <x:v>D06, Markdown line 200; http://nas-1.tail55d152.ts.net:4100/static/MEDICAL_NORDICS_FINANCIALS_DOSSIER.html</x:v>
      </x:c>
    </x:row>
    <x:row r="1328" ht="42" customHeight="1">
      <x:c r="A1328" s="5" t="str">
        <x:v>D06</x:v>
      </x:c>
      <x:c r="B1328" s="5" t="str">
        <x:v>D06-T01</x:v>
      </x:c>
      <x:c r="C1328" s="5" t="str">
        <x:v>5. Complete Company Financial Table (135 Facilities Analyzed)</x:v>
      </x:c>
      <x:c r="D1328" s="5" t="n">
        <x:v>200</x:v>
      </x:c>
      <x:c r="E1328" s="5" t="n">
        <x:v>9</x:v>
      </x:c>
      <x:c r="F1328" s="5" t="str">
        <x:v>Status / Ownership / Strategic Service Alignment</x:v>
      </x:c>
      <x:c r="G1328" s="5" t="n">
        <x:v>1</x:v>
      </x:c>
      <x:c r="H1328" s="5" t="n">
        <x:v>1</x:v>
      </x:c>
      <x:c r="I1328" s="5" t="str">
        <x:v>Private CDMO; Package D (Cleanroom changeover time compression)</x:v>
      </x:c>
      <x:c r="J1328" s="5" t="str">
        <x:v>SOURCE QUOTE; unvalidated / superseded assessments</x:v>
      </x:c>
      <x:c r="L1328" s="31" t="str">
        <x:v>D06, Markdown line 200; http://nas-1.tail55d152.ts.net:4100/static/MEDICAL_NORDICS_FINANCIALS_DOSSIER.html</x:v>
      </x:c>
    </x:row>
    <x:row r="1329" ht="42" customHeight="1">
      <x:c r="A1329" s="5" t="str">
        <x:v>D06</x:v>
      </x:c>
      <x:c r="B1329" s="5" t="str">
        <x:v>D06-T01</x:v>
      </x:c>
      <x:c r="C1329" s="5" t="str">
        <x:v>5. Complete Company Financial Table (135 Facilities Analyzed)</x:v>
      </x:c>
      <x:c r="D1329" s="5" t="n">
        <x:v>201</x:v>
      </x:c>
      <x:c r="E1329" s="5" t="n">
        <x:v>1</x:v>
      </x:c>
      <x:c r="F1329" s="5" t="str">
        <x:v>#</x:v>
      </x:c>
      <x:c r="G1329" s="5" t="n">
        <x:v>1</x:v>
      </x:c>
      <x:c r="H1329" s="5" t="n">
        <x:v>1</x:v>
      </x:c>
      <x:c r="I1329" s="5" t="str">
        <x:v>20</x:v>
      </x:c>
      <x:c r="J1329" s="5" t="str">
        <x:v>SOURCE QUOTE; unvalidated / superseded assessments</x:v>
      </x:c>
      <x:c r="L1329" s="31" t="str">
        <x:v>D06, Markdown line 201; http://nas-1.tail55d152.ts.net:4100/static/MEDICAL_NORDICS_FINANCIALS_DOSSIER.html</x:v>
      </x:c>
    </x:row>
    <x:row r="1330" ht="42" customHeight="1">
      <x:c r="A1330" s="5" t="str">
        <x:v>D06</x:v>
      </x:c>
      <x:c r="B1330" s="5" t="str">
        <x:v>D06-T01</x:v>
      </x:c>
      <x:c r="C1330" s="5" t="str">
        <x:v>5. Complete Company Financial Table (135 Facilities Analyzed)</x:v>
      </x:c>
      <x:c r="D1330" s="5" t="n">
        <x:v>201</x:v>
      </x:c>
      <x:c r="E1330" s="5" t="n">
        <x:v>2</x:v>
      </x:c>
      <x:c r="F1330" s="5" t="str">
        <x:v>Company</x:v>
      </x:c>
      <x:c r="G1330" s="5" t="n">
        <x:v>1</x:v>
      </x:c>
      <x:c r="H1330" s="5" t="n">
        <x:v>1</x:v>
      </x:c>
      <x:c r="I1330" s="5" t="str">
        <x:v>Genovis</x:v>
      </x:c>
      <x:c r="J1330" s="5" t="str">
        <x:v>SOURCE QUOTE; unvalidated / superseded assessments</x:v>
      </x:c>
      <x:c r="L1330" s="31" t="str">
        <x:v>D06, Markdown line 201; http://nas-1.tail55d152.ts.net:4100/static/MEDICAL_NORDICS_FINANCIALS_DOSSIER.html</x:v>
      </x:c>
    </x:row>
    <x:row r="1331" ht="42" customHeight="1">
      <x:c r="A1331" s="5" t="str">
        <x:v>D06</x:v>
      </x:c>
      <x:c r="B1331" s="5" t="str">
        <x:v>D06-T01</x:v>
      </x:c>
      <x:c r="C1331" s="5" t="str">
        <x:v>5. Complete Company Financial Table (135 Facilities Analyzed)</x:v>
      </x:c>
      <x:c r="D1331" s="5" t="n">
        <x:v>201</x:v>
      </x:c>
      <x:c r="E1331" s="5" t="n">
        <x:v>3</x:v>
      </x:c>
      <x:c r="F1331" s="5" t="str">
        <x:v>Location</x:v>
      </x:c>
      <x:c r="G1331" s="5" t="n">
        <x:v>1</x:v>
      </x:c>
      <x:c r="H1331" s="5" t="n">
        <x:v>1</x:v>
      </x:c>
      <x:c r="I1331" s="5" t="str">
        <x:v>Kävlinge, Sweden</x:v>
      </x:c>
      <x:c r="J1331" s="5" t="str">
        <x:v>SOURCE QUOTE; unvalidated / superseded assessments</x:v>
      </x:c>
      <x:c r="L1331" s="31" t="str">
        <x:v>D06, Markdown line 201; http://nas-1.tail55d152.ts.net:4100/static/MEDICAL_NORDICS_FINANCIALS_DOSSIER.html</x:v>
      </x:c>
    </x:row>
    <x:row r="1332" ht="42" customHeight="1">
      <x:c r="A1332" s="5" t="str">
        <x:v>D06</x:v>
      </x:c>
      <x:c r="B1332" s="5" t="str">
        <x:v>D06-T01</x:v>
      </x:c>
      <x:c r="C1332" s="5" t="str">
        <x:v>5. Complete Company Financial Table (135 Facilities Analyzed)</x:v>
      </x:c>
      <x:c r="D1332" s="5" t="n">
        <x:v>201</x:v>
      </x:c>
      <x:c r="E1332" s="5" t="n">
        <x:v>4</x:v>
      </x:c>
      <x:c r="F1332" s="5" t="str">
        <x:v>Focus Area</x:v>
      </x:c>
      <x:c r="G1332" s="5" t="n">
        <x:v>1</x:v>
      </x:c>
      <x:c r="H1332" s="5" t="n">
        <x:v>1</x:v>
      </x:c>
      <x:c r="I1332" s="5" t="str">
        <x:v>SmartEnzymes for Biopharma Analytics</x:v>
      </x:c>
      <x:c r="J1332" s="5" t="str">
        <x:v>SOURCE QUOTE; unvalidated / superseded assessments</x:v>
      </x:c>
      <x:c r="L1332" s="31" t="str">
        <x:v>D06, Markdown line 201; http://nas-1.tail55d152.ts.net:4100/static/MEDICAL_NORDICS_FINANCIALS_DOSSIER.html</x:v>
      </x:c>
    </x:row>
    <x:row r="1333" ht="42" customHeight="1">
      <x:c r="A1333" s="5" t="str">
        <x:v>D06</x:v>
      </x:c>
      <x:c r="B1333" s="5" t="str">
        <x:v>D06-T01</x:v>
      </x:c>
      <x:c r="C1333" s="5" t="str">
        <x:v>5. Complete Company Financial Table (135 Facilities Analyzed)</x:v>
      </x:c>
      <x:c r="D1333" s="5" t="n">
        <x:v>201</x:v>
      </x:c>
      <x:c r="E1333" s="5" t="n">
        <x:v>5</x:v>
      </x:c>
      <x:c r="F1333" s="5" t="str">
        <x:v>Revenue / Net Sales</x:v>
      </x:c>
      <x:c r="G1333" s="5" t="n">
        <x:v>1</x:v>
      </x:c>
      <x:c r="H1333" s="5" t="n">
        <x:v>1</x:v>
      </x:c>
      <x:c r="I1333" s="5" t="str">
        <x:v>SEK 130.4M (SEK 158.2M FY23)</x:v>
      </x:c>
      <x:c r="J1333" s="5" t="str">
        <x:v>SOURCE QUOTE; unvalidated / superseded assessments</x:v>
      </x:c>
      <x:c r="L1333" s="31" t="str">
        <x:v>D06, Markdown line 201; http://nas-1.tail55d152.ts.net:4100/static/MEDICAL_NORDICS_FINANCIALS_DOSSIER.html</x:v>
      </x:c>
    </x:row>
    <x:row r="1334" ht="42" customHeight="1">
      <x:c r="A1334" s="5" t="str">
        <x:v>D06</x:v>
      </x:c>
      <x:c r="B1334" s="5" t="str">
        <x:v>D06-T01</x:v>
      </x:c>
      <x:c r="C1334" s="5" t="str">
        <x:v>5. Complete Company Financial Table (135 Facilities Analyzed)</x:v>
      </x:c>
      <x:c r="D1334" s="5" t="n">
        <x:v>201</x:v>
      </x:c>
      <x:c r="E1334" s="5" t="n">
        <x:v>6</x:v>
      </x:c>
      <x:c r="F1334" s="5" t="str">
        <x:v>R&amp;D Spend</x:v>
      </x:c>
      <x:c r="G1334" s="5" t="n">
        <x:v>1</x:v>
      </x:c>
      <x:c r="H1334" s="5" t="n">
        <x:v>1</x:v>
      </x:c>
      <x:c r="I1334" s="5" t="str">
        <x:v>SEK 22.8M</x:v>
      </x:c>
      <x:c r="J1334" s="5" t="str">
        <x:v>SOURCE QUOTE; unvalidated / superseded assessments</x:v>
      </x:c>
      <x:c r="L1334" s="31" t="str">
        <x:v>D06, Markdown line 201; http://nas-1.tail55d152.ts.net:4100/static/MEDICAL_NORDICS_FINANCIALS_DOSSIER.html</x:v>
      </x:c>
    </x:row>
    <x:row r="1335" ht="42" customHeight="1">
      <x:c r="A1335" s="5" t="str">
        <x:v>D06</x:v>
      </x:c>
      <x:c r="B1335" s="5" t="str">
        <x:v>D06-T01</x:v>
      </x:c>
      <x:c r="C1335" s="5" t="str">
        <x:v>5. Complete Company Financial Table (135 Facilities Analyzed)</x:v>
      </x:c>
      <x:c r="D1335" s="5" t="n">
        <x:v>201</x:v>
      </x:c>
      <x:c r="E1335" s="5" t="n">
        <x:v>7</x:v>
      </x:c>
      <x:c r="F1335" s="5" t="str">
        <x:v>Currency</x:v>
      </x:c>
      <x:c r="G1335" s="5" t="n">
        <x:v>1</x:v>
      </x:c>
      <x:c r="H1335" s="5" t="n">
        <x:v>1</x:v>
      </x:c>
      <x:c r="I1335" s="5" t="str">
        <x:v>SEK</x:v>
      </x:c>
      <x:c r="J1335" s="5" t="str">
        <x:v>SOURCE QUOTE; unvalidated / superseded assessments</x:v>
      </x:c>
      <x:c r="L1335" s="31" t="str">
        <x:v>D06, Markdown line 201; http://nas-1.tail55d152.ts.net:4100/static/MEDICAL_NORDICS_FINANCIALS_DOSSIER.html</x:v>
      </x:c>
    </x:row>
    <x:row r="1336" ht="42" customHeight="1">
      <x:c r="A1336" s="5" t="str">
        <x:v>D06</x:v>
      </x:c>
      <x:c r="B1336" s="5" t="str">
        <x:v>D06-T01</x:v>
      </x:c>
      <x:c r="C1336" s="5" t="str">
        <x:v>5. Complete Company Financial Table (135 Facilities Analyzed)</x:v>
      </x:c>
      <x:c r="D1336" s="5" t="n">
        <x:v>201</x:v>
      </x:c>
      <x:c r="E1336" s="5" t="n">
        <x:v>8</x:v>
      </x:c>
      <x:c r="F1336" s="5" t="str">
        <x:v>Fiscal Year</x:v>
      </x:c>
      <x:c r="G1336" s="5" t="n">
        <x:v>1</x:v>
      </x:c>
      <x:c r="H1336" s="5" t="n">
        <x:v>1</x:v>
      </x:c>
      <x:c r="I1336" s="5" t="str">
        <x:v>FY2024</x:v>
      </x:c>
      <x:c r="J1336" s="5" t="str">
        <x:v>SOURCE QUOTE; unvalidated / superseded assessments</x:v>
      </x:c>
      <x:c r="L1336" s="31" t="str">
        <x:v>D06, Markdown line 201; http://nas-1.tail55d152.ts.net:4100/static/MEDICAL_NORDICS_FINANCIALS_DOSSIER.html</x:v>
      </x:c>
    </x:row>
    <x:row r="1337" ht="42" customHeight="1">
      <x:c r="A1337" s="5" t="str">
        <x:v>D06</x:v>
      </x:c>
      <x:c r="B1337" s="5" t="str">
        <x:v>D06-T01</x:v>
      </x:c>
      <x:c r="C1337" s="5" t="str">
        <x:v>5. Complete Company Financial Table (135 Facilities Analyzed)</x:v>
      </x:c>
      <x:c r="D1337" s="5" t="n">
        <x:v>201</x:v>
      </x:c>
      <x:c r="E1337" s="5" t="n">
        <x:v>9</x:v>
      </x:c>
      <x:c r="F1337" s="5" t="str">
        <x:v>Status / Ownership / Strategic Service Alignment</x:v>
      </x:c>
      <x:c r="G1337" s="5" t="n">
        <x:v>1</x:v>
      </x:c>
      <x:c r="H1337" s="5" t="n">
        <x:v>1</x:v>
      </x:c>
      <x:c r="I1337" s="5" t="str">
        <x:v>Listed (First North: GENO); Package A &amp; C (Biopharma characterization sales analytics)</x:v>
      </x:c>
      <x:c r="J1337" s="5" t="str">
        <x:v>SOURCE QUOTE; unvalidated / superseded assessments</x:v>
      </x:c>
      <x:c r="L1337" s="31" t="str">
        <x:v>D06, Markdown line 201; http://nas-1.tail55d152.ts.net:4100/static/MEDICAL_NORDICS_FINANCIALS_DOSSIER.html</x:v>
      </x:c>
    </x:row>
    <x:row r="1338" ht="42" customHeight="1">
      <x:c r="A1338" s="5" t="str">
        <x:v>D06</x:v>
      </x:c>
      <x:c r="B1338" s="5" t="str">
        <x:v>D06-T01</x:v>
      </x:c>
      <x:c r="C1338" s="5" t="str">
        <x:v>5. Complete Company Financial Table (135 Facilities Analyzed)</x:v>
      </x:c>
      <x:c r="D1338" s="5" t="n">
        <x:v>202</x:v>
      </x:c>
      <x:c r="E1338" s="5" t="n">
        <x:v>1</x:v>
      </x:c>
      <x:c r="F1338" s="5" t="str">
        <x:v>#</x:v>
      </x:c>
      <x:c r="G1338" s="5" t="n">
        <x:v>1</x:v>
      </x:c>
      <x:c r="H1338" s="5" t="n">
        <x:v>1</x:v>
      </x:c>
      <x:c r="I1338" s="5" t="str">
        <x:v>21</x:v>
      </x:c>
      <x:c r="J1338" s="5" t="str">
        <x:v>SOURCE QUOTE; unvalidated / superseded assessments</x:v>
      </x:c>
      <x:c r="L1338" s="31" t="str">
        <x:v>D06, Markdown line 202; http://nas-1.tail55d152.ts.net:4100/static/MEDICAL_NORDICS_FINANCIALS_DOSSIER.html</x:v>
      </x:c>
    </x:row>
    <x:row r="1339" ht="42" customHeight="1">
      <x:c r="A1339" s="5" t="str">
        <x:v>D06</x:v>
      </x:c>
      <x:c r="B1339" s="5" t="str">
        <x:v>D06-T01</x:v>
      </x:c>
      <x:c r="C1339" s="5" t="str">
        <x:v>5. Complete Company Financial Table (135 Facilities Analyzed)</x:v>
      </x:c>
      <x:c r="D1339" s="5" t="n">
        <x:v>202</x:v>
      </x:c>
      <x:c r="E1339" s="5" t="n">
        <x:v>2</x:v>
      </x:c>
      <x:c r="F1339" s="5" t="str">
        <x:v>Company</x:v>
      </x:c>
      <x:c r="G1339" s="5" t="n">
        <x:v>1</x:v>
      </x:c>
      <x:c r="H1339" s="5" t="n">
        <x:v>1</x:v>
      </x:c>
      <x:c r="I1339" s="5" t="str">
        <x:v>PolyPeptide Group</x:v>
      </x:c>
      <x:c r="J1339" s="5" t="str">
        <x:v>SOURCE QUOTE; unvalidated / superseded assessments</x:v>
      </x:c>
      <x:c r="L1339" s="31" t="str">
        <x:v>D06, Markdown line 202; http://nas-1.tail55d152.ts.net:4100/static/MEDICAL_NORDICS_FINANCIALS_DOSSIER.html</x:v>
      </x:c>
    </x:row>
    <x:row r="1340" ht="42" customHeight="1">
      <x:c r="A1340" s="5" t="str">
        <x:v>D06</x:v>
      </x:c>
      <x:c r="B1340" s="5" t="str">
        <x:v>D06-T01</x:v>
      </x:c>
      <x:c r="C1340" s="5" t="str">
        <x:v>5. Complete Company Financial Table (135 Facilities Analyzed)</x:v>
      </x:c>
      <x:c r="D1340" s="5" t="n">
        <x:v>202</x:v>
      </x:c>
      <x:c r="E1340" s="5" t="n">
        <x:v>3</x:v>
      </x:c>
      <x:c r="F1340" s="5" t="str">
        <x:v>Location</x:v>
      </x:c>
      <x:c r="G1340" s="5" t="n">
        <x:v>1</x:v>
      </x:c>
      <x:c r="H1340" s="5" t="n">
        <x:v>1</x:v>
      </x:c>
      <x:c r="I1340" s="5" t="str">
        <x:v>Limhamn, Sweden</x:v>
      </x:c>
      <x:c r="J1340" s="5" t="str">
        <x:v>SOURCE QUOTE; unvalidated / superseded assessments</x:v>
      </x:c>
      <x:c r="L1340" s="31" t="str">
        <x:v>D06, Markdown line 202; http://nas-1.tail55d152.ts.net:4100/static/MEDICAL_NORDICS_FINANCIALS_DOSSIER.html</x:v>
      </x:c>
    </x:row>
    <x:row r="1341" ht="42" customHeight="1">
      <x:c r="A1341" s="5" t="str">
        <x:v>D06</x:v>
      </x:c>
      <x:c r="B1341" s="5" t="str">
        <x:v>D06-T01</x:v>
      </x:c>
      <x:c r="C1341" s="5" t="str">
        <x:v>5. Complete Company Financial Table (135 Facilities Analyzed)</x:v>
      </x:c>
      <x:c r="D1341" s="5" t="n">
        <x:v>202</x:v>
      </x:c>
      <x:c r="E1341" s="5" t="n">
        <x:v>4</x:v>
      </x:c>
      <x:c r="F1341" s="5" t="str">
        <x:v>Focus Area</x:v>
      </x:c>
      <x:c r="G1341" s="5" t="n">
        <x:v>1</x:v>
      </x:c>
      <x:c r="H1341" s="5" t="n">
        <x:v>1</x:v>
      </x:c>
      <x:c r="I1341" s="5" t="str">
        <x:v>Peptide &amp; Oligonucleotide CDMO</x:v>
      </x:c>
      <x:c r="J1341" s="5" t="str">
        <x:v>SOURCE QUOTE; unvalidated / superseded assessments</x:v>
      </x:c>
      <x:c r="L1341" s="31" t="str">
        <x:v>D06, Markdown line 202; http://nas-1.tail55d152.ts.net:4100/static/MEDICAL_NORDICS_FINANCIALS_DOSSIER.html</x:v>
      </x:c>
    </x:row>
    <x:row r="1342" ht="42" customHeight="1">
      <x:c r="A1342" s="5" t="str">
        <x:v>D06</x:v>
      </x:c>
      <x:c r="B1342" s="5" t="str">
        <x:v>D06-T01</x:v>
      </x:c>
      <x:c r="C1342" s="5" t="str">
        <x:v>5. Complete Company Financial Table (135 Facilities Analyzed)</x:v>
      </x:c>
      <x:c r="D1342" s="5" t="n">
        <x:v>202</x:v>
      </x:c>
      <x:c r="E1342" s="5" t="n">
        <x:v>5</x:v>
      </x:c>
      <x:c r="F1342" s="5" t="str">
        <x:v>Revenue / Net Sales</x:v>
      </x:c>
      <x:c r="G1342" s="5" t="n">
        <x:v>1</x:v>
      </x:c>
      <x:c r="H1342" s="5" t="n">
        <x:v>1</x:v>
      </x:c>
      <x:c r="I1342" s="5" t="str">
        <x:v>EUR 336.8M (~SEK 3.82B)</x:v>
      </x:c>
      <x:c r="J1342" s="5" t="str">
        <x:v>SOURCE QUOTE; unvalidated / superseded assessments</x:v>
      </x:c>
      <x:c r="L1342" s="31" t="str">
        <x:v>D06, Markdown line 202; http://nas-1.tail55d152.ts.net:4100/static/MEDICAL_NORDICS_FINANCIALS_DOSSIER.html</x:v>
      </x:c>
    </x:row>
    <x:row r="1343" ht="42" customHeight="1">
      <x:c r="A1343" s="5" t="str">
        <x:v>D06</x:v>
      </x:c>
      <x:c r="B1343" s="5" t="str">
        <x:v>D06-T01</x:v>
      </x:c>
      <x:c r="C1343" s="5" t="str">
        <x:v>5. Complete Company Financial Table (135 Facilities Analyzed)</x:v>
      </x:c>
      <x:c r="D1343" s="5" t="n">
        <x:v>202</x:v>
      </x:c>
      <x:c r="E1343" s="5" t="n">
        <x:v>6</x:v>
      </x:c>
      <x:c r="F1343" s="5" t="str">
        <x:v>R&amp;D Spend</x:v>
      </x:c>
      <x:c r="G1343" s="5" t="n">
        <x:v>1</x:v>
      </x:c>
      <x:c r="H1343" s="5" t="n">
        <x:v>1</x:v>
      </x:c>
      <x:c r="I1343" s="5" t="str">
        <x:v>EUR 1.1M (+ major CAPEX)</x:v>
      </x:c>
      <x:c r="J1343" s="5" t="str">
        <x:v>SOURCE QUOTE; unvalidated / superseded assessments</x:v>
      </x:c>
      <x:c r="L1343" s="31" t="str">
        <x:v>D06, Markdown line 202; http://nas-1.tail55d152.ts.net:4100/static/MEDICAL_NORDICS_FINANCIALS_DOSSIER.html</x:v>
      </x:c>
    </x:row>
    <x:row r="1344" ht="42" customHeight="1">
      <x:c r="A1344" s="5" t="str">
        <x:v>D06</x:v>
      </x:c>
      <x:c r="B1344" s="5" t="str">
        <x:v>D06-T01</x:v>
      </x:c>
      <x:c r="C1344" s="5" t="str">
        <x:v>5. Complete Company Financial Table (135 Facilities Analyzed)</x:v>
      </x:c>
      <x:c r="D1344" s="5" t="n">
        <x:v>202</x:v>
      </x:c>
      <x:c r="E1344" s="5" t="n">
        <x:v>7</x:v>
      </x:c>
      <x:c r="F1344" s="5" t="str">
        <x:v>Currency</x:v>
      </x:c>
      <x:c r="G1344" s="5" t="n">
        <x:v>1</x:v>
      </x:c>
      <x:c r="H1344" s="5" t="n">
        <x:v>1</x:v>
      </x:c>
      <x:c r="I1344" s="5" t="str">
        <x:v>EUR</x:v>
      </x:c>
      <x:c r="J1344" s="5" t="str">
        <x:v>SOURCE QUOTE; unvalidated / superseded assessments</x:v>
      </x:c>
      <x:c r="L1344" s="31" t="str">
        <x:v>D06, Markdown line 202; http://nas-1.tail55d152.ts.net:4100/static/MEDICAL_NORDICS_FINANCIALS_DOSSIER.html</x:v>
      </x:c>
    </x:row>
    <x:row r="1345" ht="42" customHeight="1">
      <x:c r="A1345" s="5" t="str">
        <x:v>D06</x:v>
      </x:c>
      <x:c r="B1345" s="5" t="str">
        <x:v>D06-T01</x:v>
      </x:c>
      <x:c r="C1345" s="5" t="str">
        <x:v>5. Complete Company Financial Table (135 Facilities Analyzed)</x:v>
      </x:c>
      <x:c r="D1345" s="5" t="n">
        <x:v>202</x:v>
      </x:c>
      <x:c r="E1345" s="5" t="n">
        <x:v>8</x:v>
      </x:c>
      <x:c r="F1345" s="5" t="str">
        <x:v>Fiscal Year</x:v>
      </x:c>
      <x:c r="G1345" s="5" t="n">
        <x:v>1</x:v>
      </x:c>
      <x:c r="H1345" s="5" t="n">
        <x:v>1</x:v>
      </x:c>
      <x:c r="I1345" s="5" t="str">
        <x:v>FY2024</x:v>
      </x:c>
      <x:c r="J1345" s="5" t="str">
        <x:v>SOURCE QUOTE; unvalidated / superseded assessments</x:v>
      </x:c>
      <x:c r="L1345" s="31" t="str">
        <x:v>D06, Markdown line 202; http://nas-1.tail55d152.ts.net:4100/static/MEDICAL_NORDICS_FINANCIALS_DOSSIER.html</x:v>
      </x:c>
    </x:row>
    <x:row r="1346" ht="42" customHeight="1">
      <x:c r="A1346" s="5" t="str">
        <x:v>D06</x:v>
      </x:c>
      <x:c r="B1346" s="5" t="str">
        <x:v>D06-T01</x:v>
      </x:c>
      <x:c r="C1346" s="5" t="str">
        <x:v>5. Complete Company Financial Table (135 Facilities Analyzed)</x:v>
      </x:c>
      <x:c r="D1346" s="5" t="n">
        <x:v>202</x:v>
      </x:c>
      <x:c r="E1346" s="5" t="n">
        <x:v>9</x:v>
      </x:c>
      <x:c r="F1346" s="5" t="str">
        <x:v>Status / Ownership / Strategic Service Alignment</x:v>
      </x:c>
      <x:c r="G1346" s="5" t="n">
        <x:v>1</x:v>
      </x:c>
      <x:c r="H1346" s="5" t="n">
        <x:v>1</x:v>
      </x:c>
      <x:c r="I1346" s="5" t="str">
        <x:v>Listed (SIX: PPGN); Package D (Peptide synthesis raw material buffer &amp; yield optimization)</x:v>
      </x:c>
      <x:c r="J1346" s="5" t="str">
        <x:v>SOURCE QUOTE; unvalidated / superseded assessments</x:v>
      </x:c>
      <x:c r="L1346" s="31" t="str">
        <x:v>D06, Markdown line 202; http://nas-1.tail55d152.ts.net:4100/static/MEDICAL_NORDICS_FINANCIALS_DOSSIER.html</x:v>
      </x:c>
    </x:row>
    <x:row r="1347" ht="42" customHeight="1">
      <x:c r="A1347" s="5" t="str">
        <x:v>D06</x:v>
      </x:c>
      <x:c r="B1347" s="5" t="str">
        <x:v>D06-T01</x:v>
      </x:c>
      <x:c r="C1347" s="5" t="str">
        <x:v>5. Complete Company Financial Table (135 Facilities Analyzed)</x:v>
      </x:c>
      <x:c r="D1347" s="5" t="n">
        <x:v>203</x:v>
      </x:c>
      <x:c r="E1347" s="5" t="n">
        <x:v>1</x:v>
      </x:c>
      <x:c r="F1347" s="5" t="str">
        <x:v>#</x:v>
      </x:c>
      <x:c r="G1347" s="5" t="n">
        <x:v>1</x:v>
      </x:c>
      <x:c r="H1347" s="5" t="n">
        <x:v>1</x:v>
      </x:c>
      <x:c r="I1347" s="5" t="str">
        <x:v>22</x:v>
      </x:c>
      <x:c r="J1347" s="5" t="str">
        <x:v>SOURCE QUOTE; unvalidated / superseded assessments</x:v>
      </x:c>
      <x:c r="L1347" s="31" t="str">
        <x:v>D06, Markdown line 203; http://nas-1.tail55d152.ts.net:4100/static/MEDICAL_NORDICS_FINANCIALS_DOSSIER.html</x:v>
      </x:c>
    </x:row>
    <x:row r="1348" ht="42" customHeight="1">
      <x:c r="A1348" s="5" t="str">
        <x:v>D06</x:v>
      </x:c>
      <x:c r="B1348" s="5" t="str">
        <x:v>D06-T01</x:v>
      </x:c>
      <x:c r="C1348" s="5" t="str">
        <x:v>5. Complete Company Financial Table (135 Facilities Analyzed)</x:v>
      </x:c>
      <x:c r="D1348" s="5" t="n">
        <x:v>203</x:v>
      </x:c>
      <x:c r="E1348" s="5" t="n">
        <x:v>2</x:v>
      </x:c>
      <x:c r="F1348" s="5" t="str">
        <x:v>Company</x:v>
      </x:c>
      <x:c r="G1348" s="5" t="n">
        <x:v>1</x:v>
      </x:c>
      <x:c r="H1348" s="5" t="n">
        <x:v>1</x:v>
      </x:c>
      <x:c r="I1348" s="5" t="str">
        <x:v>AMRA Medical</x:v>
      </x:c>
      <x:c r="J1348" s="5" t="str">
        <x:v>SOURCE QUOTE; unvalidated / superseded assessments</x:v>
      </x:c>
      <x:c r="L1348" s="31" t="str">
        <x:v>D06, Markdown line 203; http://nas-1.tail55d152.ts.net:4100/static/MEDICAL_NORDICS_FINANCIALS_DOSSIER.html</x:v>
      </x:c>
    </x:row>
    <x:row r="1349" ht="42" customHeight="1">
      <x:c r="A1349" s="5" t="str">
        <x:v>D06</x:v>
      </x:c>
      <x:c r="B1349" s="5" t="str">
        <x:v>D06-T01</x:v>
      </x:c>
      <x:c r="C1349" s="5" t="str">
        <x:v>5. Complete Company Financial Table (135 Facilities Analyzed)</x:v>
      </x:c>
      <x:c r="D1349" s="5" t="n">
        <x:v>203</x:v>
      </x:c>
      <x:c r="E1349" s="5" t="n">
        <x:v>3</x:v>
      </x:c>
      <x:c r="F1349" s="5" t="str">
        <x:v>Location</x:v>
      </x:c>
      <x:c r="G1349" s="5" t="n">
        <x:v>1</x:v>
      </x:c>
      <x:c r="H1349" s="5" t="n">
        <x:v>1</x:v>
      </x:c>
      <x:c r="I1349" s="5" t="str">
        <x:v>Linköping, Sweden</x:v>
      </x:c>
      <x:c r="J1349" s="5" t="str">
        <x:v>SOURCE QUOTE; unvalidated / superseded assessments</x:v>
      </x:c>
      <x:c r="L1349" s="31" t="str">
        <x:v>D06, Markdown line 203; http://nas-1.tail55d152.ts.net:4100/static/MEDICAL_NORDICS_FINANCIALS_DOSSIER.html</x:v>
      </x:c>
    </x:row>
    <x:row r="1350" ht="42" customHeight="1">
      <x:c r="A1350" s="5" t="str">
        <x:v>D06</x:v>
      </x:c>
      <x:c r="B1350" s="5" t="str">
        <x:v>D06-T01</x:v>
      </x:c>
      <x:c r="C1350" s="5" t="str">
        <x:v>5. Complete Company Financial Table (135 Facilities Analyzed)</x:v>
      </x:c>
      <x:c r="D1350" s="5" t="n">
        <x:v>203</x:v>
      </x:c>
      <x:c r="E1350" s="5" t="n">
        <x:v>4</x:v>
      </x:c>
      <x:c r="F1350" s="5" t="str">
        <x:v>Focus Area</x:v>
      </x:c>
      <x:c r="G1350" s="5" t="n">
        <x:v>1</x:v>
      </x:c>
      <x:c r="H1350" s="5" t="n">
        <x:v>1</x:v>
      </x:c>
      <x:c r="I1350" s="5" t="str">
        <x:v>MRI Body-Composition Informatics</x:v>
      </x:c>
      <x:c r="J1350" s="5" t="str">
        <x:v>SOURCE QUOTE; unvalidated / superseded assessments</x:v>
      </x:c>
      <x:c r="L1350" s="31" t="str">
        <x:v>D06, Markdown line 203; http://nas-1.tail55d152.ts.net:4100/static/MEDICAL_NORDICS_FINANCIALS_DOSSIER.html</x:v>
      </x:c>
    </x:row>
    <x:row r="1351" ht="42" customHeight="1">
      <x:c r="A1351" s="5" t="str">
        <x:v>D06</x:v>
      </x:c>
      <x:c r="B1351" s="5" t="str">
        <x:v>D06-T01</x:v>
      </x:c>
      <x:c r="C1351" s="5" t="str">
        <x:v>5. Complete Company Financial Table (135 Facilities Analyzed)</x:v>
      </x:c>
      <x:c r="D1351" s="5" t="n">
        <x:v>203</x:v>
      </x:c>
      <x:c r="E1351" s="5" t="n">
        <x:v>5</x:v>
      </x:c>
      <x:c r="F1351" s="5" t="str">
        <x:v>Revenue / Net Sales</x:v>
      </x:c>
      <x:c r="G1351" s="5" t="n">
        <x:v>1</x:v>
      </x:c>
      <x:c r="H1351" s="5" t="n">
        <x:v>1</x:v>
      </x:c>
      <x:c r="I1351" s="5" t="str">
        <x:v>SEK 75.0M est. ($7M)</x:v>
      </x:c>
      <x:c r="J1351" s="5" t="str">
        <x:v>SOURCE QUOTE; unvalidated / superseded assessments</x:v>
      </x:c>
      <x:c r="L1351" s="31" t="str">
        <x:v>D06, Markdown line 203; http://nas-1.tail55d152.ts.net:4100/static/MEDICAL_NORDICS_FINANCIALS_DOSSIER.html</x:v>
      </x:c>
    </x:row>
    <x:row r="1352" ht="42" customHeight="1">
      <x:c r="A1352" s="5" t="str">
        <x:v>D06</x:v>
      </x:c>
      <x:c r="B1352" s="5" t="str">
        <x:v>D06-T01</x:v>
      </x:c>
      <x:c r="C1352" s="5" t="str">
        <x:v>5. Complete Company Financial Table (135 Facilities Analyzed)</x:v>
      </x:c>
      <x:c r="D1352" s="5" t="n">
        <x:v>203</x:v>
      </x:c>
      <x:c r="E1352" s="5" t="n">
        <x:v>6</x:v>
      </x:c>
      <x:c r="F1352" s="5" t="str">
        <x:v>R&amp;D Spend</x:v>
      </x:c>
      <x:c r="G1352" s="5" t="n">
        <x:v>1</x:v>
      </x:c>
      <x:c r="H1352" s="5" t="n">
        <x:v>1</x:v>
      </x:c>
      <x:c r="I1352" s="5" t="str">
        <x:v>SEK 28.0M</x:v>
      </x:c>
      <x:c r="J1352" s="5" t="str">
        <x:v>SOURCE QUOTE; unvalidated / superseded assessments</x:v>
      </x:c>
      <x:c r="L1352" s="31" t="str">
        <x:v>D06, Markdown line 203; http://nas-1.tail55d152.ts.net:4100/static/MEDICAL_NORDICS_FINANCIALS_DOSSIER.html</x:v>
      </x:c>
    </x:row>
    <x:row r="1353" ht="42" customHeight="1">
      <x:c r="A1353" s="5" t="str">
        <x:v>D06</x:v>
      </x:c>
      <x:c r="B1353" s="5" t="str">
        <x:v>D06-T01</x:v>
      </x:c>
      <x:c r="C1353" s="5" t="str">
        <x:v>5. Complete Company Financial Table (135 Facilities Analyzed)</x:v>
      </x:c>
      <x:c r="D1353" s="5" t="n">
        <x:v>203</x:v>
      </x:c>
      <x:c r="E1353" s="5" t="n">
        <x:v>7</x:v>
      </x:c>
      <x:c r="F1353" s="5" t="str">
        <x:v>Currency</x:v>
      </x:c>
      <x:c r="G1353" s="5" t="n">
        <x:v>1</x:v>
      </x:c>
      <x:c r="H1353" s="5" t="n">
        <x:v>1</x:v>
      </x:c>
      <x:c r="I1353" s="5" t="str">
        <x:v>SEK</x:v>
      </x:c>
      <x:c r="J1353" s="5" t="str">
        <x:v>SOURCE QUOTE; unvalidated / superseded assessments</x:v>
      </x:c>
      <x:c r="L1353" s="31" t="str">
        <x:v>D06, Markdown line 203; http://nas-1.tail55d152.ts.net:4100/static/MEDICAL_NORDICS_FINANCIALS_DOSSIER.html</x:v>
      </x:c>
    </x:row>
    <x:row r="1354" ht="42" customHeight="1">
      <x:c r="A1354" s="5" t="str">
        <x:v>D06</x:v>
      </x:c>
      <x:c r="B1354" s="5" t="str">
        <x:v>D06-T01</x:v>
      </x:c>
      <x:c r="C1354" s="5" t="str">
        <x:v>5. Complete Company Financial Table (135 Facilities Analyzed)</x:v>
      </x:c>
      <x:c r="D1354" s="5" t="n">
        <x:v>203</x:v>
      </x:c>
      <x:c r="E1354" s="5" t="n">
        <x:v>8</x:v>
      </x:c>
      <x:c r="F1354" s="5" t="str">
        <x:v>Fiscal Year</x:v>
      </x:c>
      <x:c r="G1354" s="5" t="n">
        <x:v>1</x:v>
      </x:c>
      <x:c r="H1354" s="5" t="n">
        <x:v>1</x:v>
      </x:c>
      <x:c r="I1354" s="5" t="str">
        <x:v>FY2023/24</x:v>
      </x:c>
      <x:c r="J1354" s="5" t="str">
        <x:v>SOURCE QUOTE; unvalidated / superseded assessments</x:v>
      </x:c>
      <x:c r="L1354" s="31" t="str">
        <x:v>D06, Markdown line 203; http://nas-1.tail55d152.ts.net:4100/static/MEDICAL_NORDICS_FINANCIALS_DOSSIER.html</x:v>
      </x:c>
    </x:row>
    <x:row r="1355" ht="42" customHeight="1">
      <x:c r="A1355" s="5" t="str">
        <x:v>D06</x:v>
      </x:c>
      <x:c r="B1355" s="5" t="str">
        <x:v>D06-T01</x:v>
      </x:c>
      <x:c r="C1355" s="5" t="str">
        <x:v>5. Complete Company Financial Table (135 Facilities Analyzed)</x:v>
      </x:c>
      <x:c r="D1355" s="5" t="n">
        <x:v>203</x:v>
      </x:c>
      <x:c r="E1355" s="5" t="n">
        <x:v>9</x:v>
      </x:c>
      <x:c r="F1355" s="5" t="str">
        <x:v>Status / Ownership / Strategic Service Alignment</x:v>
      </x:c>
      <x:c r="G1355" s="5" t="n">
        <x:v>1</x:v>
      </x:c>
      <x:c r="H1355" s="5" t="n">
        <x:v>1</x:v>
      </x:c>
      <x:c r="I1355" s="5" t="str">
        <x:v>HealthCap backed; Package E (EU AI Act Annex III high-risk compliance &amp; PACS workflow)</x:v>
      </x:c>
      <x:c r="J1355" s="5" t="str">
        <x:v>SOURCE QUOTE; unvalidated / superseded assessments</x:v>
      </x:c>
      <x:c r="L1355" s="31" t="str">
        <x:v>D06, Markdown line 203; http://nas-1.tail55d152.ts.net:4100/static/MEDICAL_NORDICS_FINANCIALS_DOSSIER.html</x:v>
      </x:c>
    </x:row>
    <x:row r="1356" ht="42" customHeight="1">
      <x:c r="A1356" s="5" t="str">
        <x:v>D06</x:v>
      </x:c>
      <x:c r="B1356" s="5" t="str">
        <x:v>D06-T01</x:v>
      </x:c>
      <x:c r="C1356" s="5" t="str">
        <x:v>5. Complete Company Financial Table (135 Facilities Analyzed)</x:v>
      </x:c>
      <x:c r="D1356" s="5" t="n">
        <x:v>204</x:v>
      </x:c>
      <x:c r="E1356" s="5" t="n">
        <x:v>1</x:v>
      </x:c>
      <x:c r="F1356" s="5" t="str">
        <x:v>#</x:v>
      </x:c>
      <x:c r="G1356" s="5" t="n">
        <x:v>1</x:v>
      </x:c>
      <x:c r="H1356" s="5" t="n">
        <x:v>1</x:v>
      </x:c>
      <x:c r="I1356" s="5" t="str">
        <x:v>23</x:v>
      </x:c>
      <x:c r="J1356" s="5" t="str">
        <x:v>SOURCE QUOTE; unvalidated / superseded assessments</x:v>
      </x:c>
      <x:c r="L1356" s="31" t="str">
        <x:v>D06, Markdown line 204; http://nas-1.tail55d152.ts.net:4100/static/MEDICAL_NORDICS_FINANCIALS_DOSSIER.html</x:v>
      </x:c>
    </x:row>
    <x:row r="1357" ht="42" customHeight="1">
      <x:c r="A1357" s="5" t="str">
        <x:v>D06</x:v>
      </x:c>
      <x:c r="B1357" s="5" t="str">
        <x:v>D06-T01</x:v>
      </x:c>
      <x:c r="C1357" s="5" t="str">
        <x:v>5. Complete Company Financial Table (135 Facilities Analyzed)</x:v>
      </x:c>
      <x:c r="D1357" s="5" t="n">
        <x:v>204</x:v>
      </x:c>
      <x:c r="E1357" s="5" t="n">
        <x:v>2</x:v>
      </x:c>
      <x:c r="F1357" s="5" t="str">
        <x:v>Company</x:v>
      </x:c>
      <x:c r="G1357" s="5" t="n">
        <x:v>1</x:v>
      </x:c>
      <x:c r="H1357" s="5" t="n">
        <x:v>1</x:v>
      </x:c>
      <x:c r="I1357" s="5" t="str">
        <x:v>ArgusEye</x:v>
      </x:c>
      <x:c r="J1357" s="5" t="str">
        <x:v>SOURCE QUOTE; unvalidated / superseded assessments</x:v>
      </x:c>
      <x:c r="L1357" s="31" t="str">
        <x:v>D06, Markdown line 204; http://nas-1.tail55d152.ts.net:4100/static/MEDICAL_NORDICS_FINANCIALS_DOSSIER.html</x:v>
      </x:c>
    </x:row>
    <x:row r="1358" ht="42" customHeight="1">
      <x:c r="A1358" s="5" t="str">
        <x:v>D06</x:v>
      </x:c>
      <x:c r="B1358" s="5" t="str">
        <x:v>D06-T01</x:v>
      </x:c>
      <x:c r="C1358" s="5" t="str">
        <x:v>5. Complete Company Financial Table (135 Facilities Analyzed)</x:v>
      </x:c>
      <x:c r="D1358" s="5" t="n">
        <x:v>204</x:v>
      </x:c>
      <x:c r="E1358" s="5" t="n">
        <x:v>3</x:v>
      </x:c>
      <x:c r="F1358" s="5" t="str">
        <x:v>Location</x:v>
      </x:c>
      <x:c r="G1358" s="5" t="n">
        <x:v>1</x:v>
      </x:c>
      <x:c r="H1358" s="5" t="n">
        <x:v>1</x:v>
      </x:c>
      <x:c r="I1358" s="5" t="str">
        <x:v>Linköping, Sweden</x:v>
      </x:c>
      <x:c r="J1358" s="5" t="str">
        <x:v>SOURCE QUOTE; unvalidated / superseded assessments</x:v>
      </x:c>
      <x:c r="L1358" s="31" t="str">
        <x:v>D06, Markdown line 204; http://nas-1.tail55d152.ts.net:4100/static/MEDICAL_NORDICS_FINANCIALS_DOSSIER.html</x:v>
      </x:c>
    </x:row>
    <x:row r="1359" ht="42" customHeight="1">
      <x:c r="A1359" s="5" t="str">
        <x:v>D06</x:v>
      </x:c>
      <x:c r="B1359" s="5" t="str">
        <x:v>D06-T01</x:v>
      </x:c>
      <x:c r="C1359" s="5" t="str">
        <x:v>5. Complete Company Financial Table (135 Facilities Analyzed)</x:v>
      </x:c>
      <x:c r="D1359" s="5" t="n">
        <x:v>204</x:v>
      </x:c>
      <x:c r="E1359" s="5" t="n">
        <x:v>4</x:v>
      </x:c>
      <x:c r="F1359" s="5" t="str">
        <x:v>Focus Area</x:v>
      </x:c>
      <x:c r="G1359" s="5" t="n">
        <x:v>1</x:v>
      </x:c>
      <x:c r="H1359" s="5" t="n">
        <x:v>1</x:v>
      </x:c>
      <x:c r="I1359" s="5" t="str">
        <x:v>Real-time Bioprocess Biosensors</x:v>
      </x:c>
      <x:c r="J1359" s="5" t="str">
        <x:v>SOURCE QUOTE; unvalidated / superseded assessments</x:v>
      </x:c>
      <x:c r="L1359" s="31" t="str">
        <x:v>D06, Markdown line 204; http://nas-1.tail55d152.ts.net:4100/static/MEDICAL_NORDICS_FINANCIALS_DOSSIER.html</x:v>
      </x:c>
    </x:row>
    <x:row r="1360" ht="42" customHeight="1">
      <x:c r="A1360" s="5" t="str">
        <x:v>D06</x:v>
      </x:c>
      <x:c r="B1360" s="5" t="str">
        <x:v>D06-T01</x:v>
      </x:c>
      <x:c r="C1360" s="5" t="str">
        <x:v>5. Complete Company Financial Table (135 Facilities Analyzed)</x:v>
      </x:c>
      <x:c r="D1360" s="5" t="n">
        <x:v>204</x:v>
      </x:c>
      <x:c r="E1360" s="5" t="n">
        <x:v>5</x:v>
      </x:c>
      <x:c r="F1360" s="5" t="str">
        <x:v>Revenue / Net Sales</x:v>
      </x:c>
      <x:c r="G1360" s="5" t="n">
        <x:v>1</x:v>
      </x:c>
      <x:c r="H1360" s="5" t="n">
        <x:v>1</x:v>
      </x:c>
      <x:c r="I1360" s="5" t="str">
        <x:v>SEK 3.0M est.</x:v>
      </x:c>
      <x:c r="J1360" s="5" t="str">
        <x:v>SOURCE QUOTE; unvalidated / superseded assessments</x:v>
      </x:c>
      <x:c r="L1360" s="31" t="str">
        <x:v>D06, Markdown line 204; http://nas-1.tail55d152.ts.net:4100/static/MEDICAL_NORDICS_FINANCIALS_DOSSIER.html</x:v>
      </x:c>
    </x:row>
    <x:row r="1361" ht="42" customHeight="1">
      <x:c r="A1361" s="5" t="str">
        <x:v>D06</x:v>
      </x:c>
      <x:c r="B1361" s="5" t="str">
        <x:v>D06-T01</x:v>
      </x:c>
      <x:c r="C1361" s="5" t="str">
        <x:v>5. Complete Company Financial Table (135 Facilities Analyzed)</x:v>
      </x:c>
      <x:c r="D1361" s="5" t="n">
        <x:v>204</x:v>
      </x:c>
      <x:c r="E1361" s="5" t="n">
        <x:v>6</x:v>
      </x:c>
      <x:c r="F1361" s="5" t="str">
        <x:v>R&amp;D Spend</x:v>
      </x:c>
      <x:c r="G1361" s="5" t="n">
        <x:v>1</x:v>
      </x:c>
      <x:c r="H1361" s="5" t="n">
        <x:v>1</x:v>
      </x:c>
      <x:c r="I1361" s="5" t="str">
        <x:v>SEK 18.0M</x:v>
      </x:c>
      <x:c r="J1361" s="5" t="str">
        <x:v>SOURCE QUOTE; unvalidated / superseded assessments</x:v>
      </x:c>
      <x:c r="L1361" s="31" t="str">
        <x:v>D06, Markdown line 204; http://nas-1.tail55d152.ts.net:4100/static/MEDICAL_NORDICS_FINANCIALS_DOSSIER.html</x:v>
      </x:c>
    </x:row>
    <x:row r="1362" ht="42" customHeight="1">
      <x:c r="A1362" s="5" t="str">
        <x:v>D06</x:v>
      </x:c>
      <x:c r="B1362" s="5" t="str">
        <x:v>D06-T01</x:v>
      </x:c>
      <x:c r="C1362" s="5" t="str">
        <x:v>5. Complete Company Financial Table (135 Facilities Analyzed)</x:v>
      </x:c>
      <x:c r="D1362" s="5" t="n">
        <x:v>204</x:v>
      </x:c>
      <x:c r="E1362" s="5" t="n">
        <x:v>7</x:v>
      </x:c>
      <x:c r="F1362" s="5" t="str">
        <x:v>Currency</x:v>
      </x:c>
      <x:c r="G1362" s="5" t="n">
        <x:v>1</x:v>
      </x:c>
      <x:c r="H1362" s="5" t="n">
        <x:v>1</x:v>
      </x:c>
      <x:c r="I1362" s="5" t="str">
        <x:v>SEK</x:v>
      </x:c>
      <x:c r="J1362" s="5" t="str">
        <x:v>SOURCE QUOTE; unvalidated / superseded assessments</x:v>
      </x:c>
      <x:c r="L1362" s="31" t="str">
        <x:v>D06, Markdown line 204; http://nas-1.tail55d152.ts.net:4100/static/MEDICAL_NORDICS_FINANCIALS_DOSSIER.html</x:v>
      </x:c>
    </x:row>
    <x:row r="1363" ht="42" customHeight="1">
      <x:c r="A1363" s="5" t="str">
        <x:v>D06</x:v>
      </x:c>
      <x:c r="B1363" s="5" t="str">
        <x:v>D06-T01</x:v>
      </x:c>
      <x:c r="C1363" s="5" t="str">
        <x:v>5. Complete Company Financial Table (135 Facilities Analyzed)</x:v>
      </x:c>
      <x:c r="D1363" s="5" t="n">
        <x:v>204</x:v>
      </x:c>
      <x:c r="E1363" s="5" t="n">
        <x:v>8</x:v>
      </x:c>
      <x:c r="F1363" s="5" t="str">
        <x:v>Fiscal Year</x:v>
      </x:c>
      <x:c r="G1363" s="5" t="n">
        <x:v>1</x:v>
      </x:c>
      <x:c r="H1363" s="5" t="n">
        <x:v>1</x:v>
      </x:c>
      <x:c r="I1363" s="5" t="str">
        <x:v>FY2023/24</x:v>
      </x:c>
      <x:c r="J1363" s="5" t="str">
        <x:v>SOURCE QUOTE; unvalidated / superseded assessments</x:v>
      </x:c>
      <x:c r="L1363" s="31" t="str">
        <x:v>D06, Markdown line 204; http://nas-1.tail55d152.ts.net:4100/static/MEDICAL_NORDICS_FINANCIALS_DOSSIER.html</x:v>
      </x:c>
    </x:row>
    <x:row r="1364" ht="42" customHeight="1">
      <x:c r="A1364" s="5" t="str">
        <x:v>D06</x:v>
      </x:c>
      <x:c r="B1364" s="5" t="str">
        <x:v>D06-T01</x:v>
      </x:c>
      <x:c r="C1364" s="5" t="str">
        <x:v>5. Complete Company Financial Table (135 Facilities Analyzed)</x:v>
      </x:c>
      <x:c r="D1364" s="5" t="n">
        <x:v>204</x:v>
      </x:c>
      <x:c r="E1364" s="5" t="n">
        <x:v>9</x:v>
      </x:c>
      <x:c r="F1364" s="5" t="str">
        <x:v>Status / Ownership / Strategic Service Alignment</x:v>
      </x:c>
      <x:c r="G1364" s="5" t="n">
        <x:v>1</x:v>
      </x:c>
      <x:c r="H1364" s="5" t="n">
        <x:v>1</x:v>
      </x:c>
      <x:c r="I1364" s="5" t="str">
        <x:v>Private bioprocess sensors; Package D &amp; E (PAT biomanufacturing sensor integration)</x:v>
      </x:c>
      <x:c r="J1364" s="5" t="str">
        <x:v>SOURCE QUOTE; unvalidated / superseded assessments</x:v>
      </x:c>
      <x:c r="L1364" s="31" t="str">
        <x:v>D06, Markdown line 204; http://nas-1.tail55d152.ts.net:4100/static/MEDICAL_NORDICS_FINANCIALS_DOSSIER.html</x:v>
      </x:c>
    </x:row>
    <x:row r="1365" ht="42" customHeight="1">
      <x:c r="A1365" s="5" t="str">
        <x:v>D06</x:v>
      </x:c>
      <x:c r="B1365" s="5" t="str">
        <x:v>D06-T01</x:v>
      </x:c>
      <x:c r="C1365" s="5" t="str">
        <x:v>5. Complete Company Financial Table (135 Facilities Analyzed)</x:v>
      </x:c>
      <x:c r="D1365" s="5" t="n">
        <x:v>205</x:v>
      </x:c>
      <x:c r="E1365" s="5" t="n">
        <x:v>1</x:v>
      </x:c>
      <x:c r="F1365" s="5" t="str">
        <x:v>#</x:v>
      </x:c>
      <x:c r="G1365" s="5" t="n">
        <x:v>1</x:v>
      </x:c>
      <x:c r="H1365" s="5" t="n">
        <x:v>1</x:v>
      </x:c>
      <x:c r="I1365" s="5" t="str">
        <x:v>24</x:v>
      </x:c>
      <x:c r="J1365" s="5" t="str">
        <x:v>SOURCE QUOTE; unvalidated / superseded assessments</x:v>
      </x:c>
      <x:c r="L1365" s="31" t="str">
        <x:v>D06, Markdown line 205; http://nas-1.tail55d152.ts.net:4100/static/MEDICAL_NORDICS_FINANCIALS_DOSSIER.html</x:v>
      </x:c>
    </x:row>
    <x:row r="1366" ht="42" customHeight="1">
      <x:c r="A1366" s="5" t="str">
        <x:v>D06</x:v>
      </x:c>
      <x:c r="B1366" s="5" t="str">
        <x:v>D06-T01</x:v>
      </x:c>
      <x:c r="C1366" s="5" t="str">
        <x:v>5. Complete Company Financial Table (135 Facilities Analyzed)</x:v>
      </x:c>
      <x:c r="D1366" s="5" t="n">
        <x:v>205</x:v>
      </x:c>
      <x:c r="E1366" s="5" t="n">
        <x:v>2</x:v>
      </x:c>
      <x:c r="F1366" s="5" t="str">
        <x:v>Company</x:v>
      </x:c>
      <x:c r="G1366" s="5" t="n">
        <x:v>1</x:v>
      </x:c>
      <x:c r="H1366" s="5" t="n">
        <x:v>1</x:v>
      </x:c>
      <x:c r="I1366" s="5" t="str">
        <x:v>BioReperia</x:v>
      </x:c>
      <x:c r="J1366" s="5" t="str">
        <x:v>SOURCE QUOTE; unvalidated / superseded assessments</x:v>
      </x:c>
      <x:c r="L1366" s="31" t="str">
        <x:v>D06, Markdown line 205; http://nas-1.tail55d152.ts.net:4100/static/MEDICAL_NORDICS_FINANCIALS_DOSSIER.html</x:v>
      </x:c>
    </x:row>
    <x:row r="1367" ht="42" customHeight="1">
      <x:c r="A1367" s="5" t="str">
        <x:v>D06</x:v>
      </x:c>
      <x:c r="B1367" s="5" t="str">
        <x:v>D06-T01</x:v>
      </x:c>
      <x:c r="C1367" s="5" t="str">
        <x:v>5. Complete Company Financial Table (135 Facilities Analyzed)</x:v>
      </x:c>
      <x:c r="D1367" s="5" t="n">
        <x:v>205</x:v>
      </x:c>
      <x:c r="E1367" s="5" t="n">
        <x:v>3</x:v>
      </x:c>
      <x:c r="F1367" s="5" t="str">
        <x:v>Location</x:v>
      </x:c>
      <x:c r="G1367" s="5" t="n">
        <x:v>1</x:v>
      </x:c>
      <x:c r="H1367" s="5" t="n">
        <x:v>1</x:v>
      </x:c>
      <x:c r="I1367" s="5" t="str">
        <x:v>Linköping, Sweden</x:v>
      </x:c>
      <x:c r="J1367" s="5" t="str">
        <x:v>SOURCE QUOTE; unvalidated / superseded assessments</x:v>
      </x:c>
      <x:c r="L1367" s="31" t="str">
        <x:v>D06, Markdown line 205; http://nas-1.tail55d152.ts.net:4100/static/MEDICAL_NORDICS_FINANCIALS_DOSSIER.html</x:v>
      </x:c>
    </x:row>
    <x:row r="1368" ht="42" customHeight="1">
      <x:c r="A1368" s="5" t="str">
        <x:v>D06</x:v>
      </x:c>
      <x:c r="B1368" s="5" t="str">
        <x:v>D06-T01</x:v>
      </x:c>
      <x:c r="C1368" s="5" t="str">
        <x:v>5. Complete Company Financial Table (135 Facilities Analyzed)</x:v>
      </x:c>
      <x:c r="D1368" s="5" t="n">
        <x:v>205</x:v>
      </x:c>
      <x:c r="E1368" s="5" t="n">
        <x:v>4</x:v>
      </x:c>
      <x:c r="F1368" s="5" t="str">
        <x:v>Focus Area</x:v>
      </x:c>
      <x:c r="G1368" s="5" t="n">
        <x:v>1</x:v>
      </x:c>
      <x:c r="H1368" s="5" t="n">
        <x:v>1</x:v>
      </x:c>
      <x:c r="I1368" s="5" t="str">
        <x:v>Zebrafish Tumor Xenograft Models</x:v>
      </x:c>
      <x:c r="J1368" s="5" t="str">
        <x:v>SOURCE QUOTE; unvalidated / superseded assessments</x:v>
      </x:c>
      <x:c r="L1368" s="31" t="str">
        <x:v>D06, Markdown line 205; http://nas-1.tail55d152.ts.net:4100/static/MEDICAL_NORDICS_FINANCIALS_DOSSIER.html</x:v>
      </x:c>
    </x:row>
    <x:row r="1369" ht="42" customHeight="1">
      <x:c r="A1369" s="5" t="str">
        <x:v>D06</x:v>
      </x:c>
      <x:c r="B1369" s="5" t="str">
        <x:v>D06-T01</x:v>
      </x:c>
      <x:c r="C1369" s="5" t="str">
        <x:v>5. Complete Company Financial Table (135 Facilities Analyzed)</x:v>
      </x:c>
      <x:c r="D1369" s="5" t="n">
        <x:v>205</x:v>
      </x:c>
      <x:c r="E1369" s="5" t="n">
        <x:v>5</x:v>
      </x:c>
      <x:c r="F1369" s="5" t="str">
        <x:v>Revenue / Net Sales</x:v>
      </x:c>
      <x:c r="G1369" s="5" t="n">
        <x:v>1</x:v>
      </x:c>
      <x:c r="H1369" s="5" t="n">
        <x:v>1</x:v>
      </x:c>
      <x:c r="I1369" s="5" t="str">
        <x:v>SEK 20.0M est. ($4.3M gross)</x:v>
      </x:c>
      <x:c r="J1369" s="5" t="str">
        <x:v>SOURCE QUOTE; unvalidated / superseded assessments</x:v>
      </x:c>
      <x:c r="L1369" s="31" t="str">
        <x:v>D06, Markdown line 205; http://nas-1.tail55d152.ts.net:4100/static/MEDICAL_NORDICS_FINANCIALS_DOSSIER.html</x:v>
      </x:c>
    </x:row>
    <x:row r="1370" ht="42" customHeight="1">
      <x:c r="A1370" s="5" t="str">
        <x:v>D06</x:v>
      </x:c>
      <x:c r="B1370" s="5" t="str">
        <x:v>D06-T01</x:v>
      </x:c>
      <x:c r="C1370" s="5" t="str">
        <x:v>5. Complete Company Financial Table (135 Facilities Analyzed)</x:v>
      </x:c>
      <x:c r="D1370" s="5" t="n">
        <x:v>205</x:v>
      </x:c>
      <x:c r="E1370" s="5" t="n">
        <x:v>6</x:v>
      </x:c>
      <x:c r="F1370" s="5" t="str">
        <x:v>R&amp;D Spend</x:v>
      </x:c>
      <x:c r="G1370" s="5" t="n">
        <x:v>1</x:v>
      </x:c>
      <x:c r="H1370" s="5" t="n">
        <x:v>1</x:v>
      </x:c>
      <x:c r="I1370" s="5" t="str">
        <x:v>SEK 7.5M</x:v>
      </x:c>
      <x:c r="J1370" s="5" t="str">
        <x:v>SOURCE QUOTE; unvalidated / superseded assessments</x:v>
      </x:c>
      <x:c r="L1370" s="31" t="str">
        <x:v>D06, Markdown line 205; http://nas-1.tail55d152.ts.net:4100/static/MEDICAL_NORDICS_FINANCIALS_DOSSIER.html</x:v>
      </x:c>
    </x:row>
    <x:row r="1371" ht="42" customHeight="1">
      <x:c r="A1371" s="5" t="str">
        <x:v>D06</x:v>
      </x:c>
      <x:c r="B1371" s="5" t="str">
        <x:v>D06-T01</x:v>
      </x:c>
      <x:c r="C1371" s="5" t="str">
        <x:v>5. Complete Company Financial Table (135 Facilities Analyzed)</x:v>
      </x:c>
      <x:c r="D1371" s="5" t="n">
        <x:v>205</x:v>
      </x:c>
      <x:c r="E1371" s="5" t="n">
        <x:v>7</x:v>
      </x:c>
      <x:c r="F1371" s="5" t="str">
        <x:v>Currency</x:v>
      </x:c>
      <x:c r="G1371" s="5" t="n">
        <x:v>1</x:v>
      </x:c>
      <x:c r="H1371" s="5" t="n">
        <x:v>1</x:v>
      </x:c>
      <x:c r="I1371" s="5" t="str">
        <x:v>SEK</x:v>
      </x:c>
      <x:c r="J1371" s="5" t="str">
        <x:v>SOURCE QUOTE; unvalidated / superseded assessments</x:v>
      </x:c>
      <x:c r="L1371" s="31" t="str">
        <x:v>D06, Markdown line 205; http://nas-1.tail55d152.ts.net:4100/static/MEDICAL_NORDICS_FINANCIALS_DOSSIER.html</x:v>
      </x:c>
    </x:row>
    <x:row r="1372" ht="42" customHeight="1">
      <x:c r="A1372" s="5" t="str">
        <x:v>D06</x:v>
      </x:c>
      <x:c r="B1372" s="5" t="str">
        <x:v>D06-T01</x:v>
      </x:c>
      <x:c r="C1372" s="5" t="str">
        <x:v>5. Complete Company Financial Table (135 Facilities Analyzed)</x:v>
      </x:c>
      <x:c r="D1372" s="5" t="n">
        <x:v>205</x:v>
      </x:c>
      <x:c r="E1372" s="5" t="n">
        <x:v>8</x:v>
      </x:c>
      <x:c r="F1372" s="5" t="str">
        <x:v>Fiscal Year</x:v>
      </x:c>
      <x:c r="G1372" s="5" t="n">
        <x:v>1</x:v>
      </x:c>
      <x:c r="H1372" s="5" t="n">
        <x:v>1</x:v>
      </x:c>
      <x:c r="I1372" s="5" t="str">
        <x:v>FY2023/24</x:v>
      </x:c>
      <x:c r="J1372" s="5" t="str">
        <x:v>SOURCE QUOTE; unvalidated / superseded assessments</x:v>
      </x:c>
      <x:c r="L1372" s="31" t="str">
        <x:v>D06, Markdown line 205; http://nas-1.tail55d152.ts.net:4100/static/MEDICAL_NORDICS_FINANCIALS_DOSSIER.html</x:v>
      </x:c>
    </x:row>
    <x:row r="1373" ht="42" customHeight="1">
      <x:c r="A1373" s="5" t="str">
        <x:v>D06</x:v>
      </x:c>
      <x:c r="B1373" s="5" t="str">
        <x:v>D06-T01</x:v>
      </x:c>
      <x:c r="C1373" s="5" t="str">
        <x:v>5. Complete Company Financial Table (135 Facilities Analyzed)</x:v>
      </x:c>
      <x:c r="D1373" s="5" t="n">
        <x:v>205</x:v>
      </x:c>
      <x:c r="E1373" s="5" t="n">
        <x:v>9</x:v>
      </x:c>
      <x:c r="F1373" s="5" t="str">
        <x:v>Status / Ownership / Strategic Service Alignment</x:v>
      </x:c>
      <x:c r="G1373" s="5" t="n">
        <x:v>1</x:v>
      </x:c>
      <x:c r="H1373" s="5" t="n">
        <x:v>1</x:v>
      </x:c>
      <x:c r="I1373" s="5" t="str">
        <x:v>Private oncology CRO; Package B (Rapid preclinical screen data acceleration)</x:v>
      </x:c>
      <x:c r="J1373" s="5" t="str">
        <x:v>SOURCE QUOTE; unvalidated / superseded assessments</x:v>
      </x:c>
      <x:c r="L1373" s="31" t="str">
        <x:v>D06, Markdown line 205; http://nas-1.tail55d152.ts.net:4100/static/MEDICAL_NORDICS_FINANCIALS_DOSSIER.html</x:v>
      </x:c>
    </x:row>
    <x:row r="1374" ht="42" customHeight="1">
      <x:c r="A1374" s="5" t="str">
        <x:v>D06</x:v>
      </x:c>
      <x:c r="B1374" s="5" t="str">
        <x:v>D06-T01</x:v>
      </x:c>
      <x:c r="C1374" s="5" t="str">
        <x:v>5. Complete Company Financial Table (135 Facilities Analyzed)</x:v>
      </x:c>
      <x:c r="D1374" s="5" t="n">
        <x:v>206</x:v>
      </x:c>
      <x:c r="E1374" s="5" t="n">
        <x:v>1</x:v>
      </x:c>
      <x:c r="F1374" s="5" t="str">
        <x:v>#</x:v>
      </x:c>
      <x:c r="G1374" s="5" t="n">
        <x:v>1</x:v>
      </x:c>
      <x:c r="H1374" s="5" t="n">
        <x:v>1</x:v>
      </x:c>
      <x:c r="I1374" s="5" t="str">
        <x:v>25</x:v>
      </x:c>
      <x:c r="J1374" s="5" t="str">
        <x:v>SOURCE QUOTE; unvalidated / superseded assessments</x:v>
      </x:c>
      <x:c r="L1374" s="31" t="str">
        <x:v>D06, Markdown line 206; http://nas-1.tail55d152.ts.net:4100/static/MEDICAL_NORDICS_FINANCIALS_DOSSIER.html</x:v>
      </x:c>
    </x:row>
    <x:row r="1375" ht="42" customHeight="1">
      <x:c r="A1375" s="5" t="str">
        <x:v>D06</x:v>
      </x:c>
      <x:c r="B1375" s="5" t="str">
        <x:v>D06-T01</x:v>
      </x:c>
      <x:c r="C1375" s="5" t="str">
        <x:v>5. Complete Company Financial Table (135 Facilities Analyzed)</x:v>
      </x:c>
      <x:c r="D1375" s="5" t="n">
        <x:v>206</x:v>
      </x:c>
      <x:c r="E1375" s="5" t="n">
        <x:v>2</x:v>
      </x:c>
      <x:c r="F1375" s="5" t="str">
        <x:v>Company</x:v>
      </x:c>
      <x:c r="G1375" s="5" t="n">
        <x:v>1</x:v>
      </x:c>
      <x:c r="H1375" s="5" t="n">
        <x:v>1</x:v>
      </x:c>
      <x:c r="I1375" s="5" t="str">
        <x:v>Acrivon Therapeutics</x:v>
      </x:c>
      <x:c r="J1375" s="5" t="str">
        <x:v>SOURCE QUOTE; unvalidated / superseded assessments</x:v>
      </x:c>
      <x:c r="L1375" s="31" t="str">
        <x:v>D06, Markdown line 206; http://nas-1.tail55d152.ts.net:4100/static/MEDICAL_NORDICS_FINANCIALS_DOSSIER.html</x:v>
      </x:c>
    </x:row>
    <x:row r="1376" ht="42" customHeight="1">
      <x:c r="A1376" s="5" t="str">
        <x:v>D06</x:v>
      </x:c>
      <x:c r="B1376" s="5" t="str">
        <x:v>D06-T01</x:v>
      </x:c>
      <x:c r="C1376" s="5" t="str">
        <x:v>5. Complete Company Financial Table (135 Facilities Analyzed)</x:v>
      </x:c>
      <x:c r="D1376" s="5" t="n">
        <x:v>206</x:v>
      </x:c>
      <x:c r="E1376" s="5" t="n">
        <x:v>3</x:v>
      </x:c>
      <x:c r="F1376" s="5" t="str">
        <x:v>Location</x:v>
      </x:c>
      <x:c r="G1376" s="5" t="n">
        <x:v>1</x:v>
      </x:c>
      <x:c r="H1376" s="5" t="n">
        <x:v>1</x:v>
      </x:c>
      <x:c r="I1376" s="5" t="str">
        <x:v>Lund, Sweden</x:v>
      </x:c>
      <x:c r="J1376" s="5" t="str">
        <x:v>SOURCE QUOTE; unvalidated / superseded assessments</x:v>
      </x:c>
      <x:c r="L1376" s="31" t="str">
        <x:v>D06, Markdown line 206; http://nas-1.tail55d152.ts.net:4100/static/MEDICAL_NORDICS_FINANCIALS_DOSSIER.html</x:v>
      </x:c>
    </x:row>
    <x:row r="1377" ht="42" customHeight="1">
      <x:c r="A1377" s="5" t="str">
        <x:v>D06</x:v>
      </x:c>
      <x:c r="B1377" s="5" t="str">
        <x:v>D06-T01</x:v>
      </x:c>
      <x:c r="C1377" s="5" t="str">
        <x:v>5. Complete Company Financial Table (135 Facilities Analyzed)</x:v>
      </x:c>
      <x:c r="D1377" s="5" t="n">
        <x:v>206</x:v>
      </x:c>
      <x:c r="E1377" s="5" t="n">
        <x:v>4</x:v>
      </x:c>
      <x:c r="F1377" s="5" t="str">
        <x:v>Focus Area</x:v>
      </x:c>
      <x:c r="G1377" s="5" t="n">
        <x:v>1</x:v>
      </x:c>
      <x:c r="H1377" s="5" t="n">
        <x:v>1</x:v>
      </x:c>
      <x:c r="I1377" s="5" t="str">
        <x:v>Precision Checkpoint Inhibitor</x:v>
      </x:c>
      <x:c r="J1377" s="5" t="str">
        <x:v>SOURCE QUOTE; unvalidated / superseded assessments</x:v>
      </x:c>
      <x:c r="L1377" s="31" t="str">
        <x:v>D06, Markdown line 206; http://nas-1.tail55d152.ts.net:4100/static/MEDICAL_NORDICS_FINANCIALS_DOSSIER.html</x:v>
      </x:c>
    </x:row>
    <x:row r="1378" ht="42" customHeight="1">
      <x:c r="A1378" s="5" t="str">
        <x:v>D06</x:v>
      </x:c>
      <x:c r="B1378" s="5" t="str">
        <x:v>D06-T01</x:v>
      </x:c>
      <x:c r="C1378" s="5" t="str">
        <x:v>5. Complete Company Financial Table (135 Facilities Analyzed)</x:v>
      </x:c>
      <x:c r="D1378" s="5" t="n">
        <x:v>206</x:v>
      </x:c>
      <x:c r="E1378" s="5" t="n">
        <x:v>5</x:v>
      </x:c>
      <x:c r="F1378" s="5" t="str">
        <x:v>Revenue / Net Sales</x:v>
      </x:c>
      <x:c r="G1378" s="5" t="n">
        <x:v>1</x:v>
      </x:c>
      <x:c r="H1378" s="5" t="n">
        <x:v>1</x:v>
      </x:c>
      <x:c r="I1378" s="5" t="str">
        <x:v>USD 0M (Clinical stage)</x:v>
      </x:c>
      <x:c r="J1378" s="5" t="str">
        <x:v>SOURCE QUOTE; unvalidated / superseded assessments</x:v>
      </x:c>
      <x:c r="L1378" s="31" t="str">
        <x:v>D06, Markdown line 206; http://nas-1.tail55d152.ts.net:4100/static/MEDICAL_NORDICS_FINANCIALS_DOSSIER.html</x:v>
      </x:c>
    </x:row>
    <x:row r="1379" ht="42" customHeight="1">
      <x:c r="A1379" s="5" t="str">
        <x:v>D06</x:v>
      </x:c>
      <x:c r="B1379" s="5" t="str">
        <x:v>D06-T01</x:v>
      </x:c>
      <x:c r="C1379" s="5" t="str">
        <x:v>5. Complete Company Financial Table (135 Facilities Analyzed)</x:v>
      </x:c>
      <x:c r="D1379" s="5" t="n">
        <x:v>206</x:v>
      </x:c>
      <x:c r="E1379" s="5" t="n">
        <x:v>6</x:v>
      </x:c>
      <x:c r="F1379" s="5" t="str">
        <x:v>R&amp;D Spend</x:v>
      </x:c>
      <x:c r="G1379" s="5" t="n">
        <x:v>1</x:v>
      </x:c>
      <x:c r="H1379" s="5" t="n">
        <x:v>1</x:v>
      </x:c>
      <x:c r="I1379" s="5" t="str">
        <x:v>USD 64.0M</x:v>
      </x:c>
      <x:c r="J1379" s="5" t="str">
        <x:v>SOURCE QUOTE; unvalidated / superseded assessments</x:v>
      </x:c>
      <x:c r="L1379" s="31" t="str">
        <x:v>D06, Markdown line 206; http://nas-1.tail55d152.ts.net:4100/static/MEDICAL_NORDICS_FINANCIALS_DOSSIER.html</x:v>
      </x:c>
    </x:row>
    <x:row r="1380" ht="42" customHeight="1">
      <x:c r="A1380" s="5" t="str">
        <x:v>D06</x:v>
      </x:c>
      <x:c r="B1380" s="5" t="str">
        <x:v>D06-T01</x:v>
      </x:c>
      <x:c r="C1380" s="5" t="str">
        <x:v>5. Complete Company Financial Table (135 Facilities Analyzed)</x:v>
      </x:c>
      <x:c r="D1380" s="5" t="n">
        <x:v>206</x:v>
      </x:c>
      <x:c r="E1380" s="5" t="n">
        <x:v>7</x:v>
      </x:c>
      <x:c r="F1380" s="5" t="str">
        <x:v>Currency</x:v>
      </x:c>
      <x:c r="G1380" s="5" t="n">
        <x:v>1</x:v>
      </x:c>
      <x:c r="H1380" s="5" t="n">
        <x:v>1</x:v>
      </x:c>
      <x:c r="I1380" s="5" t="str">
        <x:v>USD</x:v>
      </x:c>
      <x:c r="J1380" s="5" t="str">
        <x:v>SOURCE QUOTE; unvalidated / superseded assessments</x:v>
      </x:c>
      <x:c r="L1380" s="31" t="str">
        <x:v>D06, Markdown line 206; http://nas-1.tail55d152.ts.net:4100/static/MEDICAL_NORDICS_FINANCIALS_DOSSIER.html</x:v>
      </x:c>
    </x:row>
    <x:row r="1381" ht="42" customHeight="1">
      <x:c r="A1381" s="5" t="str">
        <x:v>D06</x:v>
      </x:c>
      <x:c r="B1381" s="5" t="str">
        <x:v>D06-T01</x:v>
      </x:c>
      <x:c r="C1381" s="5" t="str">
        <x:v>5. Complete Company Financial Table (135 Facilities Analyzed)</x:v>
      </x:c>
      <x:c r="D1381" s="5" t="n">
        <x:v>206</x:v>
      </x:c>
      <x:c r="E1381" s="5" t="n">
        <x:v>8</x:v>
      </x:c>
      <x:c r="F1381" s="5" t="str">
        <x:v>Fiscal Year</x:v>
      </x:c>
      <x:c r="G1381" s="5" t="n">
        <x:v>1</x:v>
      </x:c>
      <x:c r="H1381" s="5" t="n">
        <x:v>1</x:v>
      </x:c>
      <x:c r="I1381" s="5" t="str">
        <x:v>FY2024</x:v>
      </x:c>
      <x:c r="J1381" s="5" t="str">
        <x:v>SOURCE QUOTE; unvalidated / superseded assessments</x:v>
      </x:c>
      <x:c r="L1381" s="31" t="str">
        <x:v>D06, Markdown line 206; http://nas-1.tail55d152.ts.net:4100/static/MEDICAL_NORDICS_FINANCIALS_DOSSIER.html</x:v>
      </x:c>
    </x:row>
    <x:row r="1382" ht="42" customHeight="1">
      <x:c r="A1382" s="5" t="str">
        <x:v>D06</x:v>
      </x:c>
      <x:c r="B1382" s="5" t="str">
        <x:v>D06-T01</x:v>
      </x:c>
      <x:c r="C1382" s="5" t="str">
        <x:v>5. Complete Company Financial Table (135 Facilities Analyzed)</x:v>
      </x:c>
      <x:c r="D1382" s="5" t="n">
        <x:v>206</x:v>
      </x:c>
      <x:c r="E1382" s="5" t="n">
        <x:v>9</x:v>
      </x:c>
      <x:c r="F1382" s="5" t="str">
        <x:v>Status / Ownership / Strategic Service Alignment</x:v>
      </x:c>
      <x:c r="G1382" s="5" t="n">
        <x:v>1</x:v>
      </x:c>
      <x:c r="H1382" s="5" t="n">
        <x:v>1</x:v>
      </x:c>
      <x:c r="I1382" s="5" t="str">
        <x:v>Listed (Nasdaq US: ACRV); Package B (APM platform patient biomarker stratification)</x:v>
      </x:c>
      <x:c r="J1382" s="5" t="str">
        <x:v>SOURCE QUOTE; unvalidated / superseded assessments</x:v>
      </x:c>
      <x:c r="L1382" s="31" t="str">
        <x:v>D06, Markdown line 206; http://nas-1.tail55d152.ts.net:4100/static/MEDICAL_NORDICS_FINANCIALS_DOSSIER.html</x:v>
      </x:c>
    </x:row>
    <x:row r="1383" ht="42" customHeight="1">
      <x:c r="A1383" s="5" t="str">
        <x:v>D06</x:v>
      </x:c>
      <x:c r="B1383" s="5" t="str">
        <x:v>D06-T01</x:v>
      </x:c>
      <x:c r="C1383" s="5" t="str">
        <x:v>5. Complete Company Financial Table (135 Facilities Analyzed)</x:v>
      </x:c>
      <x:c r="D1383" s="5" t="n">
        <x:v>207</x:v>
      </x:c>
      <x:c r="E1383" s="5" t="n">
        <x:v>1</x:v>
      </x:c>
      <x:c r="F1383" s="5" t="str">
        <x:v>#</x:v>
      </x:c>
      <x:c r="G1383" s="5" t="n">
        <x:v>1</x:v>
      </x:c>
      <x:c r="H1383" s="5" t="n">
        <x:v>1</x:v>
      </x:c>
      <x:c r="I1383" s="5" t="str">
        <x:v>26</x:v>
      </x:c>
      <x:c r="J1383" s="5" t="str">
        <x:v>SOURCE QUOTE; unvalidated / superseded assessments</x:v>
      </x:c>
      <x:c r="L1383" s="31" t="str">
        <x:v>D06, Markdown line 207; http://nas-1.tail55d152.ts.net:4100/static/MEDICAL_NORDICS_FINANCIALS_DOSSIER.html</x:v>
      </x:c>
    </x:row>
    <x:row r="1384" ht="42" customHeight="1">
      <x:c r="A1384" s="5" t="str">
        <x:v>D06</x:v>
      </x:c>
      <x:c r="B1384" s="5" t="str">
        <x:v>D06-T01</x:v>
      </x:c>
      <x:c r="C1384" s="5" t="str">
        <x:v>5. Complete Company Financial Table (135 Facilities Analyzed)</x:v>
      </x:c>
      <x:c r="D1384" s="5" t="n">
        <x:v>207</x:v>
      </x:c>
      <x:c r="E1384" s="5" t="n">
        <x:v>2</x:v>
      </x:c>
      <x:c r="F1384" s="5" t="str">
        <x:v>Company</x:v>
      </x:c>
      <x:c r="G1384" s="5" t="n">
        <x:v>1</x:v>
      </x:c>
      <x:c r="H1384" s="5" t="n">
        <x:v>1</x:v>
      </x:c>
      <x:c r="I1384" s="5" t="str">
        <x:v>Active Biotech</x:v>
      </x:c>
      <x:c r="J1384" s="5" t="str">
        <x:v>SOURCE QUOTE; unvalidated / superseded assessments</x:v>
      </x:c>
      <x:c r="L1384" s="31" t="str">
        <x:v>D06, Markdown line 207; http://nas-1.tail55d152.ts.net:4100/static/MEDICAL_NORDICS_FINANCIALS_DOSSIER.html</x:v>
      </x:c>
    </x:row>
    <x:row r="1385" ht="42" customHeight="1">
      <x:c r="A1385" s="5" t="str">
        <x:v>D06</x:v>
      </x:c>
      <x:c r="B1385" s="5" t="str">
        <x:v>D06-T01</x:v>
      </x:c>
      <x:c r="C1385" s="5" t="str">
        <x:v>5. Complete Company Financial Table (135 Facilities Analyzed)</x:v>
      </x:c>
      <x:c r="D1385" s="5" t="n">
        <x:v>207</x:v>
      </x:c>
      <x:c r="E1385" s="5" t="n">
        <x:v>3</x:v>
      </x:c>
      <x:c r="F1385" s="5" t="str">
        <x:v>Location</x:v>
      </x:c>
      <x:c r="G1385" s="5" t="n">
        <x:v>1</x:v>
      </x:c>
      <x:c r="H1385" s="5" t="n">
        <x:v>1</x:v>
      </x:c>
      <x:c r="I1385" s="5" t="str">
        <x:v>Lund, Sweden</x:v>
      </x:c>
      <x:c r="J1385" s="5" t="str">
        <x:v>SOURCE QUOTE; unvalidated / superseded assessments</x:v>
      </x:c>
      <x:c r="L1385" s="31" t="str">
        <x:v>D06, Markdown line 207; http://nas-1.tail55d152.ts.net:4100/static/MEDICAL_NORDICS_FINANCIALS_DOSSIER.html</x:v>
      </x:c>
    </x:row>
    <x:row r="1386" ht="42" customHeight="1">
      <x:c r="A1386" s="5" t="str">
        <x:v>D06</x:v>
      </x:c>
      <x:c r="B1386" s="5" t="str">
        <x:v>D06-T01</x:v>
      </x:c>
      <x:c r="C1386" s="5" t="str">
        <x:v>5. Complete Company Financial Table (135 Facilities Analyzed)</x:v>
      </x:c>
      <x:c r="D1386" s="5" t="n">
        <x:v>207</x:v>
      </x:c>
      <x:c r="E1386" s="5" t="n">
        <x:v>4</x:v>
      </x:c>
      <x:c r="F1386" s="5" t="str">
        <x:v>Focus Area</x:v>
      </x:c>
      <x:c r="G1386" s="5" t="n">
        <x:v>1</x:v>
      </x:c>
      <x:c r="H1386" s="5" t="n">
        <x:v>1</x:v>
      </x:c>
      <x:c r="I1386" s="5" t="str">
        <x:v>Immunomodulatory Small Molecules</x:v>
      </x:c>
      <x:c r="J1386" s="5" t="str">
        <x:v>SOURCE QUOTE; unvalidated / superseded assessments</x:v>
      </x:c>
      <x:c r="L1386" s="31" t="str">
        <x:v>D06, Markdown line 207; http://nas-1.tail55d152.ts.net:4100/static/MEDICAL_NORDICS_FINANCIALS_DOSSIER.html</x:v>
      </x:c>
    </x:row>
    <x:row r="1387" ht="42" customHeight="1">
      <x:c r="A1387" s="5" t="str">
        <x:v>D06</x:v>
      </x:c>
      <x:c r="B1387" s="5" t="str">
        <x:v>D06-T01</x:v>
      </x:c>
      <x:c r="C1387" s="5" t="str">
        <x:v>5. Complete Company Financial Table (135 Facilities Analyzed)</x:v>
      </x:c>
      <x:c r="D1387" s="5" t="n">
        <x:v>207</x:v>
      </x:c>
      <x:c r="E1387" s="5" t="n">
        <x:v>5</x:v>
      </x:c>
      <x:c r="F1387" s="5" t="str">
        <x:v>Revenue / Net Sales</x:v>
      </x:c>
      <x:c r="G1387" s="5" t="n">
        <x:v>1</x:v>
      </x:c>
      <x:c r="H1387" s="5" t="n">
        <x:v>1</x:v>
      </x:c>
      <x:c r="I1387" s="5" t="str">
        <x:v>SEK 0.6M</x:v>
      </x:c>
      <x:c r="J1387" s="5" t="str">
        <x:v>SOURCE QUOTE; unvalidated / superseded assessments</x:v>
      </x:c>
      <x:c r="L1387" s="31" t="str">
        <x:v>D06, Markdown line 207; http://nas-1.tail55d152.ts.net:4100/static/MEDICAL_NORDICS_FINANCIALS_DOSSIER.html</x:v>
      </x:c>
    </x:row>
    <x:row r="1388" ht="42" customHeight="1">
      <x:c r="A1388" s="5" t="str">
        <x:v>D06</x:v>
      </x:c>
      <x:c r="B1388" s="5" t="str">
        <x:v>D06-T01</x:v>
      </x:c>
      <x:c r="C1388" s="5" t="str">
        <x:v>5. Complete Company Financial Table (135 Facilities Analyzed)</x:v>
      </x:c>
      <x:c r="D1388" s="5" t="n">
        <x:v>207</x:v>
      </x:c>
      <x:c r="E1388" s="5" t="n">
        <x:v>6</x:v>
      </x:c>
      <x:c r="F1388" s="5" t="str">
        <x:v>R&amp;D Spend</x:v>
      </x:c>
      <x:c r="G1388" s="5" t="n">
        <x:v>1</x:v>
      </x:c>
      <x:c r="H1388" s="5" t="n">
        <x:v>1</x:v>
      </x:c>
      <x:c r="I1388" s="5" t="str">
        <x:v>SEK 38.2M</x:v>
      </x:c>
      <x:c r="J1388" s="5" t="str">
        <x:v>SOURCE QUOTE; unvalidated / superseded assessments</x:v>
      </x:c>
      <x:c r="L1388" s="31" t="str">
        <x:v>D06, Markdown line 207; http://nas-1.tail55d152.ts.net:4100/static/MEDICAL_NORDICS_FINANCIALS_DOSSIER.html</x:v>
      </x:c>
    </x:row>
    <x:row r="1389" ht="42" customHeight="1">
      <x:c r="A1389" s="5" t="str">
        <x:v>D06</x:v>
      </x:c>
      <x:c r="B1389" s="5" t="str">
        <x:v>D06-T01</x:v>
      </x:c>
      <x:c r="C1389" s="5" t="str">
        <x:v>5. Complete Company Financial Table (135 Facilities Analyzed)</x:v>
      </x:c>
      <x:c r="D1389" s="5" t="n">
        <x:v>207</x:v>
      </x:c>
      <x:c r="E1389" s="5" t="n">
        <x:v>7</x:v>
      </x:c>
      <x:c r="F1389" s="5" t="str">
        <x:v>Currency</x:v>
      </x:c>
      <x:c r="G1389" s="5" t="n">
        <x:v>1</x:v>
      </x:c>
      <x:c r="H1389" s="5" t="n">
        <x:v>1</x:v>
      </x:c>
      <x:c r="I1389" s="5" t="str">
        <x:v>SEK</x:v>
      </x:c>
      <x:c r="J1389" s="5" t="str">
        <x:v>SOURCE QUOTE; unvalidated / superseded assessments</x:v>
      </x:c>
      <x:c r="L1389" s="31" t="str">
        <x:v>D06, Markdown line 207; http://nas-1.tail55d152.ts.net:4100/static/MEDICAL_NORDICS_FINANCIALS_DOSSIER.html</x:v>
      </x:c>
    </x:row>
    <x:row r="1390" ht="42" customHeight="1">
      <x:c r="A1390" s="5" t="str">
        <x:v>D06</x:v>
      </x:c>
      <x:c r="B1390" s="5" t="str">
        <x:v>D06-T01</x:v>
      </x:c>
      <x:c r="C1390" s="5" t="str">
        <x:v>5. Complete Company Financial Table (135 Facilities Analyzed)</x:v>
      </x:c>
      <x:c r="D1390" s="5" t="n">
        <x:v>207</x:v>
      </x:c>
      <x:c r="E1390" s="5" t="n">
        <x:v>8</x:v>
      </x:c>
      <x:c r="F1390" s="5" t="str">
        <x:v>Fiscal Year</x:v>
      </x:c>
      <x:c r="G1390" s="5" t="n">
        <x:v>1</x:v>
      </x:c>
      <x:c r="H1390" s="5" t="n">
        <x:v>1</x:v>
      </x:c>
      <x:c r="I1390" s="5" t="str">
        <x:v>FY2023/24</x:v>
      </x:c>
      <x:c r="J1390" s="5" t="str">
        <x:v>SOURCE QUOTE; unvalidated / superseded assessments</x:v>
      </x:c>
      <x:c r="L1390" s="31" t="str">
        <x:v>D06, Markdown line 207; http://nas-1.tail55d152.ts.net:4100/static/MEDICAL_NORDICS_FINANCIALS_DOSSIER.html</x:v>
      </x:c>
    </x:row>
    <x:row r="1391" ht="42" customHeight="1">
      <x:c r="A1391" s="5" t="str">
        <x:v>D06</x:v>
      </x:c>
      <x:c r="B1391" s="5" t="str">
        <x:v>D06-T01</x:v>
      </x:c>
      <x:c r="C1391" s="5" t="str">
        <x:v>5. Complete Company Financial Table (135 Facilities Analyzed)</x:v>
      </x:c>
      <x:c r="D1391" s="5" t="n">
        <x:v>207</x:v>
      </x:c>
      <x:c r="E1391" s="5" t="n">
        <x:v>9</x:v>
      </x:c>
      <x:c r="F1391" s="5" t="str">
        <x:v>Status / Ownership / Strategic Service Alignment</x:v>
      </x:c>
      <x:c r="G1391" s="5" t="n">
        <x:v>1</x:v>
      </x:c>
      <x:c r="H1391" s="5" t="n">
        <x:v>1</x:v>
      </x:c>
      <x:c r="I1391" s="5" t="str">
        <x:v>Listed (Nasdaq: ACTI); Package B (Tasquinimod clinical cash burn management)</x:v>
      </x:c>
      <x:c r="J1391" s="5" t="str">
        <x:v>SOURCE QUOTE; unvalidated / superseded assessments</x:v>
      </x:c>
      <x:c r="L1391" s="31" t="str">
        <x:v>D06, Markdown line 207; http://nas-1.tail55d152.ts.net:4100/static/MEDICAL_NORDICS_FINANCIALS_DOSSIER.html</x:v>
      </x:c>
    </x:row>
    <x:row r="1392" ht="42" customHeight="1">
      <x:c r="A1392" s="5" t="str">
        <x:v>D06</x:v>
      </x:c>
      <x:c r="B1392" s="5" t="str">
        <x:v>D06-T01</x:v>
      </x:c>
      <x:c r="C1392" s="5" t="str">
        <x:v>5. Complete Company Financial Table (135 Facilities Analyzed)</x:v>
      </x:c>
      <x:c r="D1392" s="5" t="n">
        <x:v>208</x:v>
      </x:c>
      <x:c r="E1392" s="5" t="n">
        <x:v>1</x:v>
      </x:c>
      <x:c r="F1392" s="5" t="str">
        <x:v>#</x:v>
      </x:c>
      <x:c r="G1392" s="5" t="n">
        <x:v>1</x:v>
      </x:c>
      <x:c r="H1392" s="5" t="n">
        <x:v>1</x:v>
      </x:c>
      <x:c r="I1392" s="5" t="str">
        <x:v>27</x:v>
      </x:c>
      <x:c r="J1392" s="5" t="str">
        <x:v>SOURCE QUOTE; unvalidated / superseded assessments</x:v>
      </x:c>
      <x:c r="L1392" s="31" t="str">
        <x:v>D06, Markdown line 208; http://nas-1.tail55d152.ts.net:4100/static/MEDICAL_NORDICS_FINANCIALS_DOSSIER.html</x:v>
      </x:c>
    </x:row>
    <x:row r="1393" ht="42" customHeight="1">
      <x:c r="A1393" s="5" t="str">
        <x:v>D06</x:v>
      </x:c>
      <x:c r="B1393" s="5" t="str">
        <x:v>D06-T01</x:v>
      </x:c>
      <x:c r="C1393" s="5" t="str">
        <x:v>5. Complete Company Financial Table (135 Facilities Analyzed)</x:v>
      </x:c>
      <x:c r="D1393" s="5" t="n">
        <x:v>208</x:v>
      </x:c>
      <x:c r="E1393" s="5" t="n">
        <x:v>2</x:v>
      </x:c>
      <x:c r="F1393" s="5" t="str">
        <x:v>Company</x:v>
      </x:c>
      <x:c r="G1393" s="5" t="n">
        <x:v>1</x:v>
      </x:c>
      <x:c r="H1393" s="5" t="n">
        <x:v>1</x:v>
      </x:c>
      <x:c r="I1393" s="5" t="str">
        <x:v>Alligator Bioscience</x:v>
      </x:c>
      <x:c r="J1393" s="5" t="str">
        <x:v>SOURCE QUOTE; unvalidated / superseded assessments</x:v>
      </x:c>
      <x:c r="L1393" s="31" t="str">
        <x:v>D06, Markdown line 208; http://nas-1.tail55d152.ts.net:4100/static/MEDICAL_NORDICS_FINANCIALS_DOSSIER.html</x:v>
      </x:c>
    </x:row>
    <x:row r="1394" ht="42" customHeight="1">
      <x:c r="A1394" s="5" t="str">
        <x:v>D06</x:v>
      </x:c>
      <x:c r="B1394" s="5" t="str">
        <x:v>D06-T01</x:v>
      </x:c>
      <x:c r="C1394" s="5" t="str">
        <x:v>5. Complete Company Financial Table (135 Facilities Analyzed)</x:v>
      </x:c>
      <x:c r="D1394" s="5" t="n">
        <x:v>208</x:v>
      </x:c>
      <x:c r="E1394" s="5" t="n">
        <x:v>3</x:v>
      </x:c>
      <x:c r="F1394" s="5" t="str">
        <x:v>Location</x:v>
      </x:c>
      <x:c r="G1394" s="5" t="n">
        <x:v>1</x:v>
      </x:c>
      <x:c r="H1394" s="5" t="n">
        <x:v>1</x:v>
      </x:c>
      <x:c r="I1394" s="5" t="str">
        <x:v>Lund, Sweden</x:v>
      </x:c>
      <x:c r="J1394" s="5" t="str">
        <x:v>SOURCE QUOTE; unvalidated / superseded assessments</x:v>
      </x:c>
      <x:c r="L1394" s="31" t="str">
        <x:v>D06, Markdown line 208; http://nas-1.tail55d152.ts.net:4100/static/MEDICAL_NORDICS_FINANCIALS_DOSSIER.html</x:v>
      </x:c>
    </x:row>
    <x:row r="1395" ht="42" customHeight="1">
      <x:c r="A1395" s="5" t="str">
        <x:v>D06</x:v>
      </x:c>
      <x:c r="B1395" s="5" t="str">
        <x:v>D06-T01</x:v>
      </x:c>
      <x:c r="C1395" s="5" t="str">
        <x:v>5. Complete Company Financial Table (135 Facilities Analyzed)</x:v>
      </x:c>
      <x:c r="D1395" s="5" t="n">
        <x:v>208</x:v>
      </x:c>
      <x:c r="E1395" s="5" t="n">
        <x:v>4</x:v>
      </x:c>
      <x:c r="F1395" s="5" t="str">
        <x:v>Focus Area</x:v>
      </x:c>
      <x:c r="G1395" s="5" t="n">
        <x:v>1</x:v>
      </x:c>
      <x:c r="H1395" s="5" t="n">
        <x:v>1</x:v>
      </x:c>
      <x:c r="I1395" s="5" t="str">
        <x:v>Tumor-Directed Antibodies</x:v>
      </x:c>
      <x:c r="J1395" s="5" t="str">
        <x:v>SOURCE QUOTE; unvalidated / superseded assessments</x:v>
      </x:c>
      <x:c r="L1395" s="31" t="str">
        <x:v>D06, Markdown line 208; http://nas-1.tail55d152.ts.net:4100/static/MEDICAL_NORDICS_FINANCIALS_DOSSIER.html</x:v>
      </x:c>
    </x:row>
    <x:row r="1396" ht="42" customHeight="1">
      <x:c r="A1396" s="5" t="str">
        <x:v>D06</x:v>
      </x:c>
      <x:c r="B1396" s="5" t="str">
        <x:v>D06-T01</x:v>
      </x:c>
      <x:c r="C1396" s="5" t="str">
        <x:v>5. Complete Company Financial Table (135 Facilities Analyzed)</x:v>
      </x:c>
      <x:c r="D1396" s="5" t="n">
        <x:v>208</x:v>
      </x:c>
      <x:c r="E1396" s="5" t="n">
        <x:v>5</x:v>
      </x:c>
      <x:c r="F1396" s="5" t="str">
        <x:v>Revenue / Net Sales</x:v>
      </x:c>
      <x:c r="G1396" s="5" t="n">
        <x:v>1</x:v>
      </x:c>
      <x:c r="H1396" s="5" t="n">
        <x:v>1</x:v>
      </x:c>
      <x:c r="I1396" s="5" t="str">
        <x:v>SEK 58.1M</x:v>
      </x:c>
      <x:c r="J1396" s="5" t="str">
        <x:v>SOURCE QUOTE; unvalidated / superseded assessments</x:v>
      </x:c>
      <x:c r="L1396" s="31" t="str">
        <x:v>D06, Markdown line 208; http://nas-1.tail55d152.ts.net:4100/static/MEDICAL_NORDICS_FINANCIALS_DOSSIER.html</x:v>
      </x:c>
    </x:row>
    <x:row r="1397" ht="42" customHeight="1">
      <x:c r="A1397" s="5" t="str">
        <x:v>D06</x:v>
      </x:c>
      <x:c r="B1397" s="5" t="str">
        <x:v>D06-T01</x:v>
      </x:c>
      <x:c r="C1397" s="5" t="str">
        <x:v>5. Complete Company Financial Table (135 Facilities Analyzed)</x:v>
      </x:c>
      <x:c r="D1397" s="5" t="n">
        <x:v>208</x:v>
      </x:c>
      <x:c r="E1397" s="5" t="n">
        <x:v>6</x:v>
      </x:c>
      <x:c r="F1397" s="5" t="str">
        <x:v>R&amp;D Spend</x:v>
      </x:c>
      <x:c r="G1397" s="5" t="n">
        <x:v>1</x:v>
      </x:c>
      <x:c r="H1397" s="5" t="n">
        <x:v>1</x:v>
      </x:c>
      <x:c r="I1397" s="5" t="str">
        <x:v>SEK 168.5M</x:v>
      </x:c>
      <x:c r="J1397" s="5" t="str">
        <x:v>SOURCE QUOTE; unvalidated / superseded assessments</x:v>
      </x:c>
      <x:c r="L1397" s="31" t="str">
        <x:v>D06, Markdown line 208; http://nas-1.tail55d152.ts.net:4100/static/MEDICAL_NORDICS_FINANCIALS_DOSSIER.html</x:v>
      </x:c>
    </x:row>
    <x:row r="1398" ht="42" customHeight="1">
      <x:c r="A1398" s="5" t="str">
        <x:v>D06</x:v>
      </x:c>
      <x:c r="B1398" s="5" t="str">
        <x:v>D06-T01</x:v>
      </x:c>
      <x:c r="C1398" s="5" t="str">
        <x:v>5. Complete Company Financial Table (135 Facilities Analyzed)</x:v>
      </x:c>
      <x:c r="D1398" s="5" t="n">
        <x:v>208</x:v>
      </x:c>
      <x:c r="E1398" s="5" t="n">
        <x:v>7</x:v>
      </x:c>
      <x:c r="F1398" s="5" t="str">
        <x:v>Currency</x:v>
      </x:c>
      <x:c r="G1398" s="5" t="n">
        <x:v>1</x:v>
      </x:c>
      <x:c r="H1398" s="5" t="n">
        <x:v>1</x:v>
      </x:c>
      <x:c r="I1398" s="5" t="str">
        <x:v>SEK</x:v>
      </x:c>
      <x:c r="J1398" s="5" t="str">
        <x:v>SOURCE QUOTE; unvalidated / superseded assessments</x:v>
      </x:c>
      <x:c r="L1398" s="31" t="str">
        <x:v>D06, Markdown line 208; http://nas-1.tail55d152.ts.net:4100/static/MEDICAL_NORDICS_FINANCIALS_DOSSIER.html</x:v>
      </x:c>
    </x:row>
    <x:row r="1399" ht="42" customHeight="1">
      <x:c r="A1399" s="5" t="str">
        <x:v>D06</x:v>
      </x:c>
      <x:c r="B1399" s="5" t="str">
        <x:v>D06-T01</x:v>
      </x:c>
      <x:c r="C1399" s="5" t="str">
        <x:v>5. Complete Company Financial Table (135 Facilities Analyzed)</x:v>
      </x:c>
      <x:c r="D1399" s="5" t="n">
        <x:v>208</x:v>
      </x:c>
      <x:c r="E1399" s="5" t="n">
        <x:v>8</x:v>
      </x:c>
      <x:c r="F1399" s="5" t="str">
        <x:v>Fiscal Year</x:v>
      </x:c>
      <x:c r="G1399" s="5" t="n">
        <x:v>1</x:v>
      </x:c>
      <x:c r="H1399" s="5" t="n">
        <x:v>1</x:v>
      </x:c>
      <x:c r="I1399" s="5" t="str">
        <x:v>FY2023/24</x:v>
      </x:c>
      <x:c r="J1399" s="5" t="str">
        <x:v>SOURCE QUOTE; unvalidated / superseded assessments</x:v>
      </x:c>
      <x:c r="L1399" s="31" t="str">
        <x:v>D06, Markdown line 208; http://nas-1.tail55d152.ts.net:4100/static/MEDICAL_NORDICS_FINANCIALS_DOSSIER.html</x:v>
      </x:c>
    </x:row>
    <x:row r="1400" ht="42" customHeight="1">
      <x:c r="A1400" s="5" t="str">
        <x:v>D06</x:v>
      </x:c>
      <x:c r="B1400" s="5" t="str">
        <x:v>D06-T01</x:v>
      </x:c>
      <x:c r="C1400" s="5" t="str">
        <x:v>5. Complete Company Financial Table (135 Facilities Analyzed)</x:v>
      </x:c>
      <x:c r="D1400" s="5" t="n">
        <x:v>208</x:v>
      </x:c>
      <x:c r="E1400" s="5" t="n">
        <x:v>9</x:v>
      </x:c>
      <x:c r="F1400" s="5" t="str">
        <x:v>Status / Ownership / Strategic Service Alignment</x:v>
      </x:c>
      <x:c r="G1400" s="5" t="n">
        <x:v>1</x:v>
      </x:c>
      <x:c r="H1400" s="5" t="n">
        <x:v>1</x:v>
      </x:c>
      <x:c r="I1400" s="5" t="str">
        <x:v>Listed (Nasdaq: ATORX); Package B (Mitazalimab Phase II/III trial site accrual)</x:v>
      </x:c>
      <x:c r="J1400" s="5" t="str">
        <x:v>SOURCE QUOTE; unvalidated / superseded assessments</x:v>
      </x:c>
      <x:c r="L1400" s="31" t="str">
        <x:v>D06, Markdown line 208; http://nas-1.tail55d152.ts.net:4100/static/MEDICAL_NORDICS_FINANCIALS_DOSSIER.html</x:v>
      </x:c>
    </x:row>
    <x:row r="1401" ht="42" customHeight="1">
      <x:c r="A1401" s="5" t="str">
        <x:v>D06</x:v>
      </x:c>
      <x:c r="B1401" s="5" t="str">
        <x:v>D06-T01</x:v>
      </x:c>
      <x:c r="C1401" s="5" t="str">
        <x:v>5. Complete Company Financial Table (135 Facilities Analyzed)</x:v>
      </x:c>
      <x:c r="D1401" s="5" t="n">
        <x:v>209</x:v>
      </x:c>
      <x:c r="E1401" s="5" t="n">
        <x:v>1</x:v>
      </x:c>
      <x:c r="F1401" s="5" t="str">
        <x:v>#</x:v>
      </x:c>
      <x:c r="G1401" s="5" t="n">
        <x:v>1</x:v>
      </x:c>
      <x:c r="H1401" s="5" t="n">
        <x:v>1</x:v>
      </x:c>
      <x:c r="I1401" s="5" t="str">
        <x:v>28</x:v>
      </x:c>
      <x:c r="J1401" s="5" t="str">
        <x:v>SOURCE QUOTE; unvalidated / superseded assessments</x:v>
      </x:c>
      <x:c r="L1401" s="31" t="str">
        <x:v>D06, Markdown line 209; http://nas-1.tail55d152.ts.net:4100/static/MEDICAL_NORDICS_FINANCIALS_DOSSIER.html</x:v>
      </x:c>
    </x:row>
    <x:row r="1402" ht="42" customHeight="1">
      <x:c r="A1402" s="5" t="str">
        <x:v>D06</x:v>
      </x:c>
      <x:c r="B1402" s="5" t="str">
        <x:v>D06-T01</x:v>
      </x:c>
      <x:c r="C1402" s="5" t="str">
        <x:v>5. Complete Company Financial Table (135 Facilities Analyzed)</x:v>
      </x:c>
      <x:c r="D1402" s="5" t="n">
        <x:v>209</x:v>
      </x:c>
      <x:c r="E1402" s="5" t="n">
        <x:v>2</x:v>
      </x:c>
      <x:c r="F1402" s="5" t="str">
        <x:v>Company</x:v>
      </x:c>
      <x:c r="G1402" s="5" t="n">
        <x:v>1</x:v>
      </x:c>
      <x:c r="H1402" s="5" t="n">
        <x:v>1</x:v>
      </x:c>
      <x:c r="I1402" s="5" t="str">
        <x:v>Asgard Therapeutics</x:v>
      </x:c>
      <x:c r="J1402" s="5" t="str">
        <x:v>SOURCE QUOTE; unvalidated / superseded assessments</x:v>
      </x:c>
      <x:c r="L1402" s="31" t="str">
        <x:v>D06, Markdown line 209; http://nas-1.tail55d152.ts.net:4100/static/MEDICAL_NORDICS_FINANCIALS_DOSSIER.html</x:v>
      </x:c>
    </x:row>
    <x:row r="1403" ht="42" customHeight="1">
      <x:c r="A1403" s="5" t="str">
        <x:v>D06</x:v>
      </x:c>
      <x:c r="B1403" s="5" t="str">
        <x:v>D06-T01</x:v>
      </x:c>
      <x:c r="C1403" s="5" t="str">
        <x:v>5. Complete Company Financial Table (135 Facilities Analyzed)</x:v>
      </x:c>
      <x:c r="D1403" s="5" t="n">
        <x:v>209</x:v>
      </x:c>
      <x:c r="E1403" s="5" t="n">
        <x:v>3</x:v>
      </x:c>
      <x:c r="F1403" s="5" t="str">
        <x:v>Location</x:v>
      </x:c>
      <x:c r="G1403" s="5" t="n">
        <x:v>1</x:v>
      </x:c>
      <x:c r="H1403" s="5" t="n">
        <x:v>1</x:v>
      </x:c>
      <x:c r="I1403" s="5" t="str">
        <x:v>Lund, Sweden</x:v>
      </x:c>
      <x:c r="J1403" s="5" t="str">
        <x:v>SOURCE QUOTE; unvalidated / superseded assessments</x:v>
      </x:c>
      <x:c r="L1403" s="31" t="str">
        <x:v>D06, Markdown line 209; http://nas-1.tail55d152.ts.net:4100/static/MEDICAL_NORDICS_FINANCIALS_DOSSIER.html</x:v>
      </x:c>
    </x:row>
    <x:row r="1404" ht="42" customHeight="1">
      <x:c r="A1404" s="5" t="str">
        <x:v>D06</x:v>
      </x:c>
      <x:c r="B1404" s="5" t="str">
        <x:v>D06-T01</x:v>
      </x:c>
      <x:c r="C1404" s="5" t="str">
        <x:v>5. Complete Company Financial Table (135 Facilities Analyzed)</x:v>
      </x:c>
      <x:c r="D1404" s="5" t="n">
        <x:v>209</x:v>
      </x:c>
      <x:c r="E1404" s="5" t="n">
        <x:v>4</x:v>
      </x:c>
      <x:c r="F1404" s="5" t="str">
        <x:v>Focus Area</x:v>
      </x:c>
      <x:c r="G1404" s="5" t="n">
        <x:v>1</x:v>
      </x:c>
      <x:c r="H1404" s="5" t="n">
        <x:v>1</x:v>
      </x:c>
      <x:c r="I1404" s="5" t="str">
        <x:v>Direct Cell Reprogramming Oncology</x:v>
      </x:c>
      <x:c r="J1404" s="5" t="str">
        <x:v>SOURCE QUOTE; unvalidated / superseded assessments</x:v>
      </x:c>
      <x:c r="L1404" s="31" t="str">
        <x:v>D06, Markdown line 209; http://nas-1.tail55d152.ts.net:4100/static/MEDICAL_NORDICS_FINANCIALS_DOSSIER.html</x:v>
      </x:c>
    </x:row>
    <x:row r="1405" ht="42" customHeight="1">
      <x:c r="A1405" s="5" t="str">
        <x:v>D06</x:v>
      </x:c>
      <x:c r="B1405" s="5" t="str">
        <x:v>D06-T01</x:v>
      </x:c>
      <x:c r="C1405" s="5" t="str">
        <x:v>5. Complete Company Financial Table (135 Facilities Analyzed)</x:v>
      </x:c>
      <x:c r="D1405" s="5" t="n">
        <x:v>209</x:v>
      </x:c>
      <x:c r="E1405" s="5" t="n">
        <x:v>5</x:v>
      </x:c>
      <x:c r="F1405" s="5" t="str">
        <x:v>Revenue / Net Sales</x:v>
      </x:c>
      <x:c r="G1405" s="5" t="n">
        <x:v>1</x:v>
      </x:c>
      <x:c r="H1405" s="5" t="n">
        <x:v>1</x:v>
      </x:c>
      <x:c r="I1405" s="5" t="str">
        <x:v>SEK 0M (Pre-clinical)</x:v>
      </x:c>
      <x:c r="J1405" s="5" t="str">
        <x:v>SOURCE QUOTE; unvalidated / superseded assessments</x:v>
      </x:c>
      <x:c r="L1405" s="31" t="str">
        <x:v>D06, Markdown line 209; http://nas-1.tail55d152.ts.net:4100/static/MEDICAL_NORDICS_FINANCIALS_DOSSIER.html</x:v>
      </x:c>
    </x:row>
    <x:row r="1406" ht="42" customHeight="1">
      <x:c r="A1406" s="5" t="str">
        <x:v>D06</x:v>
      </x:c>
      <x:c r="B1406" s="5" t="str">
        <x:v>D06-T01</x:v>
      </x:c>
      <x:c r="C1406" s="5" t="str">
        <x:v>5. Complete Company Financial Table (135 Facilities Analyzed)</x:v>
      </x:c>
      <x:c r="D1406" s="5" t="n">
        <x:v>209</x:v>
      </x:c>
      <x:c r="E1406" s="5" t="n">
        <x:v>6</x:v>
      </x:c>
      <x:c r="F1406" s="5" t="str">
        <x:v>R&amp;D Spend</x:v>
      </x:c>
      <x:c r="G1406" s="5" t="n">
        <x:v>1</x:v>
      </x:c>
      <x:c r="H1406" s="5" t="n">
        <x:v>1</x:v>
      </x:c>
      <x:c r="I1406" s="5" t="str">
        <x:v>EUR 5.5M (~SEK 62M)</x:v>
      </x:c>
      <x:c r="J1406" s="5" t="str">
        <x:v>SOURCE QUOTE; unvalidated / superseded assessments</x:v>
      </x:c>
      <x:c r="L1406" s="31" t="str">
        <x:v>D06, Markdown line 209; http://nas-1.tail55d152.ts.net:4100/static/MEDICAL_NORDICS_FINANCIALS_DOSSIER.html</x:v>
      </x:c>
    </x:row>
    <x:row r="1407" ht="42" customHeight="1">
      <x:c r="A1407" s="5" t="str">
        <x:v>D06</x:v>
      </x:c>
      <x:c r="B1407" s="5" t="str">
        <x:v>D06-T01</x:v>
      </x:c>
      <x:c r="C1407" s="5" t="str">
        <x:v>5. Complete Company Financial Table (135 Facilities Analyzed)</x:v>
      </x:c>
      <x:c r="D1407" s="5" t="n">
        <x:v>209</x:v>
      </x:c>
      <x:c r="E1407" s="5" t="n">
        <x:v>7</x:v>
      </x:c>
      <x:c r="F1407" s="5" t="str">
        <x:v>Currency</x:v>
      </x:c>
      <x:c r="G1407" s="5" t="n">
        <x:v>1</x:v>
      </x:c>
      <x:c r="H1407" s="5" t="n">
        <x:v>1</x:v>
      </x:c>
      <x:c r="I1407" s="5" t="str">
        <x:v>EUR</x:v>
      </x:c>
      <x:c r="J1407" s="5" t="str">
        <x:v>SOURCE QUOTE; unvalidated / superseded assessments</x:v>
      </x:c>
      <x:c r="L1407" s="31" t="str">
        <x:v>D06, Markdown line 209; http://nas-1.tail55d152.ts.net:4100/static/MEDICAL_NORDICS_FINANCIALS_DOSSIER.html</x:v>
      </x:c>
    </x:row>
    <x:row r="1408" ht="42" customHeight="1">
      <x:c r="A1408" s="5" t="str">
        <x:v>D06</x:v>
      </x:c>
      <x:c r="B1408" s="5" t="str">
        <x:v>D06-T01</x:v>
      </x:c>
      <x:c r="C1408" s="5" t="str">
        <x:v>5. Complete Company Financial Table (135 Facilities Analyzed)</x:v>
      </x:c>
      <x:c r="D1408" s="5" t="n">
        <x:v>209</x:v>
      </x:c>
      <x:c r="E1408" s="5" t="n">
        <x:v>8</x:v>
      </x:c>
      <x:c r="F1408" s="5" t="str">
        <x:v>Fiscal Year</x:v>
      </x:c>
      <x:c r="G1408" s="5" t="n">
        <x:v>1</x:v>
      </x:c>
      <x:c r="H1408" s="5" t="n">
        <x:v>1</x:v>
      </x:c>
      <x:c r="I1408" s="5" t="str">
        <x:v>FY2024</x:v>
      </x:c>
      <x:c r="J1408" s="5" t="str">
        <x:v>SOURCE QUOTE; unvalidated / superseded assessments</x:v>
      </x:c>
      <x:c r="L1408" s="31" t="str">
        <x:v>D06, Markdown line 209; http://nas-1.tail55d152.ts.net:4100/static/MEDICAL_NORDICS_FINANCIALS_DOSSIER.html</x:v>
      </x:c>
    </x:row>
    <x:row r="1409" ht="42" customHeight="1">
      <x:c r="A1409" s="5" t="str">
        <x:v>D06</x:v>
      </x:c>
      <x:c r="B1409" s="5" t="str">
        <x:v>D06-T01</x:v>
      </x:c>
      <x:c r="C1409" s="5" t="str">
        <x:v>5. Complete Company Financial Table (135 Facilities Analyzed)</x:v>
      </x:c>
      <x:c r="D1409" s="5" t="n">
        <x:v>209</x:v>
      </x:c>
      <x:c r="E1409" s="5" t="n">
        <x:v>9</x:v>
      </x:c>
      <x:c r="F1409" s="5" t="str">
        <x:v>Status / Ownership / Strategic Service Alignment</x:v>
      </x:c>
      <x:c r="G1409" s="5" t="n">
        <x:v>1</x:v>
      </x:c>
      <x:c r="H1409" s="5" t="n">
        <x:v>1</x:v>
      </x:c>
      <x:c r="I1409" s="5" t="str">
        <x:v>Series A (€30M); Package B &amp; E (Cell therapy viral vector process documentation)</x:v>
      </x:c>
      <x:c r="J1409" s="5" t="str">
        <x:v>SOURCE QUOTE; unvalidated / superseded assessments</x:v>
      </x:c>
      <x:c r="L1409" s="31" t="str">
        <x:v>D06, Markdown line 209; http://nas-1.tail55d152.ts.net:4100/static/MEDICAL_NORDICS_FINANCIALS_DOSSIER.html</x:v>
      </x:c>
    </x:row>
    <x:row r="1410" ht="42" customHeight="1">
      <x:c r="A1410" s="5" t="str">
        <x:v>D06</x:v>
      </x:c>
      <x:c r="B1410" s="5" t="str">
        <x:v>D06-T01</x:v>
      </x:c>
      <x:c r="C1410" s="5" t="str">
        <x:v>5. Complete Company Financial Table (135 Facilities Analyzed)</x:v>
      </x:c>
      <x:c r="D1410" s="5" t="n">
        <x:v>210</x:v>
      </x:c>
      <x:c r="E1410" s="5" t="n">
        <x:v>1</x:v>
      </x:c>
      <x:c r="F1410" s="5" t="str">
        <x:v>#</x:v>
      </x:c>
      <x:c r="G1410" s="5" t="n">
        <x:v>1</x:v>
      </x:c>
      <x:c r="H1410" s="5" t="n">
        <x:v>1</x:v>
      </x:c>
      <x:c r="I1410" s="5" t="str">
        <x:v>29</x:v>
      </x:c>
      <x:c r="J1410" s="5" t="str">
        <x:v>SOURCE QUOTE; unvalidated / superseded assessments</x:v>
      </x:c>
      <x:c r="L1410" s="31" t="str">
        <x:v>D06, Markdown line 210; http://nas-1.tail55d152.ts.net:4100/static/MEDICAL_NORDICS_FINANCIALS_DOSSIER.html</x:v>
      </x:c>
    </x:row>
    <x:row r="1411" ht="42" customHeight="1">
      <x:c r="A1411" s="5" t="str">
        <x:v>D06</x:v>
      </x:c>
      <x:c r="B1411" s="5" t="str">
        <x:v>D06-T01</x:v>
      </x:c>
      <x:c r="C1411" s="5" t="str">
        <x:v>5. Complete Company Financial Table (135 Facilities Analyzed)</x:v>
      </x:c>
      <x:c r="D1411" s="5" t="n">
        <x:v>210</x:v>
      </x:c>
      <x:c r="E1411" s="5" t="n">
        <x:v>2</x:v>
      </x:c>
      <x:c r="F1411" s="5" t="str">
        <x:v>Company</x:v>
      </x:c>
      <x:c r="G1411" s="5" t="n">
        <x:v>1</x:v>
      </x:c>
      <x:c r="H1411" s="5" t="n">
        <x:v>1</x:v>
      </x:c>
      <x:c r="I1411" s="5" t="str">
        <x:v>BioInvent International</x:v>
      </x:c>
      <x:c r="J1411" s="5" t="str">
        <x:v>SOURCE QUOTE; unvalidated / superseded assessments</x:v>
      </x:c>
      <x:c r="L1411" s="31" t="str">
        <x:v>D06, Markdown line 210; http://nas-1.tail55d152.ts.net:4100/static/MEDICAL_NORDICS_FINANCIALS_DOSSIER.html</x:v>
      </x:c>
    </x:row>
    <x:row r="1412" ht="42" customHeight="1">
      <x:c r="A1412" s="5" t="str">
        <x:v>D06</x:v>
      </x:c>
      <x:c r="B1412" s="5" t="str">
        <x:v>D06-T01</x:v>
      </x:c>
      <x:c r="C1412" s="5" t="str">
        <x:v>5. Complete Company Financial Table (135 Facilities Analyzed)</x:v>
      </x:c>
      <x:c r="D1412" s="5" t="n">
        <x:v>210</x:v>
      </x:c>
      <x:c r="E1412" s="5" t="n">
        <x:v>3</x:v>
      </x:c>
      <x:c r="F1412" s="5" t="str">
        <x:v>Location</x:v>
      </x:c>
      <x:c r="G1412" s="5" t="n">
        <x:v>1</x:v>
      </x:c>
      <x:c r="H1412" s="5" t="n">
        <x:v>1</x:v>
      </x:c>
      <x:c r="I1412" s="5" t="str">
        <x:v>Lund, Sweden</x:v>
      </x:c>
      <x:c r="J1412" s="5" t="str">
        <x:v>SOURCE QUOTE; unvalidated / superseded assessments</x:v>
      </x:c>
      <x:c r="L1412" s="31" t="str">
        <x:v>D06, Markdown line 210; http://nas-1.tail55d152.ts.net:4100/static/MEDICAL_NORDICS_FINANCIALS_DOSSIER.html</x:v>
      </x:c>
    </x:row>
    <x:row r="1413" ht="42" customHeight="1">
      <x:c r="A1413" s="5" t="str">
        <x:v>D06</x:v>
      </x:c>
      <x:c r="B1413" s="5" t="str">
        <x:v>D06-T01</x:v>
      </x:c>
      <x:c r="C1413" s="5" t="str">
        <x:v>5. Complete Company Financial Table (135 Facilities Analyzed)</x:v>
      </x:c>
      <x:c r="D1413" s="5" t="n">
        <x:v>210</x:v>
      </x:c>
      <x:c r="E1413" s="5" t="n">
        <x:v>4</x:v>
      </x:c>
      <x:c r="F1413" s="5" t="str">
        <x:v>Focus Area</x:v>
      </x:c>
      <x:c r="G1413" s="5" t="n">
        <x:v>1</x:v>
      </x:c>
      <x:c r="H1413" s="5" t="n">
        <x:v>1</x:v>
      </x:c>
      <x:c r="I1413" s="5" t="str">
        <x:v>Immuno-Oncology Antibody Platforms</x:v>
      </x:c>
      <x:c r="J1413" s="5" t="str">
        <x:v>SOURCE QUOTE; unvalidated / superseded assessments</x:v>
      </x:c>
      <x:c r="L1413" s="31" t="str">
        <x:v>D06, Markdown line 210; http://nas-1.tail55d152.ts.net:4100/static/MEDICAL_NORDICS_FINANCIALS_DOSSIER.html</x:v>
      </x:c>
    </x:row>
    <x:row r="1414" ht="42" customHeight="1">
      <x:c r="A1414" s="5" t="str">
        <x:v>D06</x:v>
      </x:c>
      <x:c r="B1414" s="5" t="str">
        <x:v>D06-T01</x:v>
      </x:c>
      <x:c r="C1414" s="5" t="str">
        <x:v>5. Complete Company Financial Table (135 Facilities Analyzed)</x:v>
      </x:c>
      <x:c r="D1414" s="5" t="n">
        <x:v>210</x:v>
      </x:c>
      <x:c r="E1414" s="5" t="n">
        <x:v>5</x:v>
      </x:c>
      <x:c r="F1414" s="5" t="str">
        <x:v>Revenue / Net Sales</x:v>
      </x:c>
      <x:c r="G1414" s="5" t="n">
        <x:v>1</x:v>
      </x:c>
      <x:c r="H1414" s="5" t="n">
        <x:v>1</x:v>
      </x:c>
      <x:c r="I1414" s="5" t="str">
        <x:v>SEK 148.5M ($23.1M)</x:v>
      </x:c>
      <x:c r="J1414" s="5" t="str">
        <x:v>SOURCE QUOTE; unvalidated / superseded assessments</x:v>
      </x:c>
      <x:c r="L1414" s="31" t="str">
        <x:v>D06, Markdown line 210; http://nas-1.tail55d152.ts.net:4100/static/MEDICAL_NORDICS_FINANCIALS_DOSSIER.html</x:v>
      </x:c>
    </x:row>
    <x:row r="1415" ht="42" customHeight="1">
      <x:c r="A1415" s="5" t="str">
        <x:v>D06</x:v>
      </x:c>
      <x:c r="B1415" s="5" t="str">
        <x:v>D06-T01</x:v>
      </x:c>
      <x:c r="C1415" s="5" t="str">
        <x:v>5. Complete Company Financial Table (135 Facilities Analyzed)</x:v>
      </x:c>
      <x:c r="D1415" s="5" t="n">
        <x:v>210</x:v>
      </x:c>
      <x:c r="E1415" s="5" t="n">
        <x:v>6</x:v>
      </x:c>
      <x:c r="F1415" s="5" t="str">
        <x:v>R&amp;D Spend</x:v>
      </x:c>
      <x:c r="G1415" s="5" t="n">
        <x:v>1</x:v>
      </x:c>
      <x:c r="H1415" s="5" t="n">
        <x:v>1</x:v>
      </x:c>
      <x:c r="I1415" s="5" t="str">
        <x:v>SEK 342.6M</x:v>
      </x:c>
      <x:c r="J1415" s="5" t="str">
        <x:v>SOURCE QUOTE; unvalidated / superseded assessments</x:v>
      </x:c>
      <x:c r="L1415" s="31" t="str">
        <x:v>D06, Markdown line 210; http://nas-1.tail55d152.ts.net:4100/static/MEDICAL_NORDICS_FINANCIALS_DOSSIER.html</x:v>
      </x:c>
    </x:row>
    <x:row r="1416" ht="42" customHeight="1">
      <x:c r="A1416" s="5" t="str">
        <x:v>D06</x:v>
      </x:c>
      <x:c r="B1416" s="5" t="str">
        <x:v>D06-T01</x:v>
      </x:c>
      <x:c r="C1416" s="5" t="str">
        <x:v>5. Complete Company Financial Table (135 Facilities Analyzed)</x:v>
      </x:c>
      <x:c r="D1416" s="5" t="n">
        <x:v>210</x:v>
      </x:c>
      <x:c r="E1416" s="5" t="n">
        <x:v>7</x:v>
      </x:c>
      <x:c r="F1416" s="5" t="str">
        <x:v>Currency</x:v>
      </x:c>
      <x:c r="G1416" s="5" t="n">
        <x:v>1</x:v>
      </x:c>
      <x:c r="H1416" s="5" t="n">
        <x:v>1</x:v>
      </x:c>
      <x:c r="I1416" s="5" t="str">
        <x:v>SEK</x:v>
      </x:c>
      <x:c r="J1416" s="5" t="str">
        <x:v>SOURCE QUOTE; unvalidated / superseded assessments</x:v>
      </x:c>
      <x:c r="L1416" s="31" t="str">
        <x:v>D06, Markdown line 210; http://nas-1.tail55d152.ts.net:4100/static/MEDICAL_NORDICS_FINANCIALS_DOSSIER.html</x:v>
      </x:c>
    </x:row>
    <x:row r="1417" ht="42" customHeight="1">
      <x:c r="A1417" s="5" t="str">
        <x:v>D06</x:v>
      </x:c>
      <x:c r="B1417" s="5" t="str">
        <x:v>D06-T01</x:v>
      </x:c>
      <x:c r="C1417" s="5" t="str">
        <x:v>5. Complete Company Financial Table (135 Facilities Analyzed)</x:v>
      </x:c>
      <x:c r="D1417" s="5" t="n">
        <x:v>210</x:v>
      </x:c>
      <x:c r="E1417" s="5" t="n">
        <x:v>8</x:v>
      </x:c>
      <x:c r="F1417" s="5" t="str">
        <x:v>Fiscal Year</x:v>
      </x:c>
      <x:c r="G1417" s="5" t="n">
        <x:v>1</x:v>
      </x:c>
      <x:c r="H1417" s="5" t="n">
        <x:v>1</x:v>
      </x:c>
      <x:c r="I1417" s="5" t="str">
        <x:v>FY2023/24</x:v>
      </x:c>
      <x:c r="J1417" s="5" t="str">
        <x:v>SOURCE QUOTE; unvalidated / superseded assessments</x:v>
      </x:c>
      <x:c r="L1417" s="31" t="str">
        <x:v>D06, Markdown line 210; http://nas-1.tail55d152.ts.net:4100/static/MEDICAL_NORDICS_FINANCIALS_DOSSIER.html</x:v>
      </x:c>
    </x:row>
    <x:row r="1418" ht="42" customHeight="1">
      <x:c r="A1418" s="5" t="str">
        <x:v>D06</x:v>
      </x:c>
      <x:c r="B1418" s="5" t="str">
        <x:v>D06-T01</x:v>
      </x:c>
      <x:c r="C1418" s="5" t="str">
        <x:v>5. Complete Company Financial Table (135 Facilities Analyzed)</x:v>
      </x:c>
      <x:c r="D1418" s="5" t="n">
        <x:v>210</x:v>
      </x:c>
      <x:c r="E1418" s="5" t="n">
        <x:v>9</x:v>
      </x:c>
      <x:c r="F1418" s="5" t="str">
        <x:v>Status / Ownership / Strategic Service Alignment</x:v>
      </x:c>
      <x:c r="G1418" s="5" t="n">
        <x:v>1</x:v>
      </x:c>
      <x:c r="H1418" s="5" t="n">
        <x:v>1</x:v>
      </x:c>
      <x:c r="I1418" s="5" t="str">
        <x:v>Listed (Nasdaq: BINV); Package B (High-burn clinical enrollment acceleration)</x:v>
      </x:c>
      <x:c r="J1418" s="5" t="str">
        <x:v>SOURCE QUOTE; unvalidated / superseded assessments</x:v>
      </x:c>
      <x:c r="L1418" s="31" t="str">
        <x:v>D06, Markdown line 210; http://nas-1.tail55d152.ts.net:4100/static/MEDICAL_NORDICS_FINANCIALS_DOSSIER.html</x:v>
      </x:c>
    </x:row>
    <x:row r="1419" ht="42" customHeight="1">
      <x:c r="A1419" s="5" t="str">
        <x:v>D06</x:v>
      </x:c>
      <x:c r="B1419" s="5" t="str">
        <x:v>D06-T01</x:v>
      </x:c>
      <x:c r="C1419" s="5" t="str">
        <x:v>5. Complete Company Financial Table (135 Facilities Analyzed)</x:v>
      </x:c>
      <x:c r="D1419" s="5" t="n">
        <x:v>211</x:v>
      </x:c>
      <x:c r="E1419" s="5" t="n">
        <x:v>1</x:v>
      </x:c>
      <x:c r="F1419" s="5" t="str">
        <x:v>#</x:v>
      </x:c>
      <x:c r="G1419" s="5" t="n">
        <x:v>1</x:v>
      </x:c>
      <x:c r="H1419" s="5" t="n">
        <x:v>1</x:v>
      </x:c>
      <x:c r="I1419" s="5" t="str">
        <x:v>30</x:v>
      </x:c>
      <x:c r="J1419" s="5" t="str">
        <x:v>SOURCE QUOTE; unvalidated / superseded assessments</x:v>
      </x:c>
      <x:c r="L1419" s="31" t="str">
        <x:v>D06, Markdown line 211; http://nas-1.tail55d152.ts.net:4100/static/MEDICAL_NORDICS_FINANCIALS_DOSSIER.html</x:v>
      </x:c>
    </x:row>
    <x:row r="1420" ht="42" customHeight="1">
      <x:c r="A1420" s="5" t="str">
        <x:v>D06</x:v>
      </x:c>
      <x:c r="B1420" s="5" t="str">
        <x:v>D06-T01</x:v>
      </x:c>
      <x:c r="C1420" s="5" t="str">
        <x:v>5. Complete Company Financial Table (135 Facilities Analyzed)</x:v>
      </x:c>
      <x:c r="D1420" s="5" t="n">
        <x:v>211</x:v>
      </x:c>
      <x:c r="E1420" s="5" t="n">
        <x:v>2</x:v>
      </x:c>
      <x:c r="F1420" s="5" t="str">
        <x:v>Company</x:v>
      </x:c>
      <x:c r="G1420" s="5" t="n">
        <x:v>1</x:v>
      </x:c>
      <x:c r="H1420" s="5" t="n">
        <x:v>1</x:v>
      </x:c>
      <x:c r="I1420" s="5" t="str">
        <x:v>Bionamic</x:v>
      </x:c>
      <x:c r="J1420" s="5" t="str">
        <x:v>SOURCE QUOTE; unvalidated / superseded assessments</x:v>
      </x:c>
      <x:c r="L1420" s="31" t="str">
        <x:v>D06, Markdown line 211; http://nas-1.tail55d152.ts.net:4100/static/MEDICAL_NORDICS_FINANCIALS_DOSSIER.html</x:v>
      </x:c>
    </x:row>
    <x:row r="1421" ht="42" customHeight="1">
      <x:c r="A1421" s="5" t="str">
        <x:v>D06</x:v>
      </x:c>
      <x:c r="B1421" s="5" t="str">
        <x:v>D06-T01</x:v>
      </x:c>
      <x:c r="C1421" s="5" t="str">
        <x:v>5. Complete Company Financial Table (135 Facilities Analyzed)</x:v>
      </x:c>
      <x:c r="D1421" s="5" t="n">
        <x:v>211</x:v>
      </x:c>
      <x:c r="E1421" s="5" t="n">
        <x:v>3</x:v>
      </x:c>
      <x:c r="F1421" s="5" t="str">
        <x:v>Location</x:v>
      </x:c>
      <x:c r="G1421" s="5" t="n">
        <x:v>1</x:v>
      </x:c>
      <x:c r="H1421" s="5" t="n">
        <x:v>1</x:v>
      </x:c>
      <x:c r="I1421" s="5" t="str">
        <x:v>Lund, Sweden</x:v>
      </x:c>
      <x:c r="J1421" s="5" t="str">
        <x:v>SOURCE QUOTE; unvalidated / superseded assessments</x:v>
      </x:c>
      <x:c r="L1421" s="31" t="str">
        <x:v>D06, Markdown line 211; http://nas-1.tail55d152.ts.net:4100/static/MEDICAL_NORDICS_FINANCIALS_DOSSIER.html</x:v>
      </x:c>
    </x:row>
    <x:row r="1422" ht="42" customHeight="1">
      <x:c r="A1422" s="5" t="str">
        <x:v>D06</x:v>
      </x:c>
      <x:c r="B1422" s="5" t="str">
        <x:v>D06-T01</x:v>
      </x:c>
      <x:c r="C1422" s="5" t="str">
        <x:v>5. Complete Company Financial Table (135 Facilities Analyzed)</x:v>
      </x:c>
      <x:c r="D1422" s="5" t="n">
        <x:v>211</x:v>
      </x:c>
      <x:c r="E1422" s="5" t="n">
        <x:v>4</x:v>
      </x:c>
      <x:c r="F1422" s="5" t="str">
        <x:v>Focus Area</x:v>
      </x:c>
      <x:c r="G1422" s="5" t="n">
        <x:v>1</x:v>
      </x:c>
      <x:c r="H1422" s="5" t="n">
        <x:v>1</x:v>
      </x:c>
      <x:c r="I1422" s="5" t="str">
        <x:v>Antibody Drug Workflow Software</x:v>
      </x:c>
      <x:c r="J1422" s="5" t="str">
        <x:v>SOURCE QUOTE; unvalidated / superseded assessments</x:v>
      </x:c>
      <x:c r="L1422" s="31" t="str">
        <x:v>D06, Markdown line 211; http://nas-1.tail55d152.ts.net:4100/static/MEDICAL_NORDICS_FINANCIALS_DOSSIER.html</x:v>
      </x:c>
    </x:row>
    <x:row r="1423" ht="42" customHeight="1">
      <x:c r="A1423" s="5" t="str">
        <x:v>D06</x:v>
      </x:c>
      <x:c r="B1423" s="5" t="str">
        <x:v>D06-T01</x:v>
      </x:c>
      <x:c r="C1423" s="5" t="str">
        <x:v>5. Complete Company Financial Table (135 Facilities Analyzed)</x:v>
      </x:c>
      <x:c r="D1423" s="5" t="n">
        <x:v>211</x:v>
      </x:c>
      <x:c r="E1423" s="5" t="n">
        <x:v>5</x:v>
      </x:c>
      <x:c r="F1423" s="5" t="str">
        <x:v>Revenue / Net Sales</x:v>
      </x:c>
      <x:c r="G1423" s="5" t="n">
        <x:v>1</x:v>
      </x:c>
      <x:c r="H1423" s="5" t="n">
        <x:v>1</x:v>
      </x:c>
      <x:c r="I1423" s="5" t="str">
        <x:v>SEK 11.5M est.</x:v>
      </x:c>
      <x:c r="J1423" s="5" t="str">
        <x:v>SOURCE QUOTE; unvalidated / superseded assessments</x:v>
      </x:c>
      <x:c r="L1423" s="31" t="str">
        <x:v>D06, Markdown line 211; http://nas-1.tail55d152.ts.net:4100/static/MEDICAL_NORDICS_FINANCIALS_DOSSIER.html</x:v>
      </x:c>
    </x:row>
    <x:row r="1424" ht="42" customHeight="1">
      <x:c r="A1424" s="5" t="str">
        <x:v>D06</x:v>
      </x:c>
      <x:c r="B1424" s="5" t="str">
        <x:v>D06-T01</x:v>
      </x:c>
      <x:c r="C1424" s="5" t="str">
        <x:v>5. Complete Company Financial Table (135 Facilities Analyzed)</x:v>
      </x:c>
      <x:c r="D1424" s="5" t="n">
        <x:v>211</x:v>
      </x:c>
      <x:c r="E1424" s="5" t="n">
        <x:v>6</x:v>
      </x:c>
      <x:c r="F1424" s="5" t="str">
        <x:v>R&amp;D Spend</x:v>
      </x:c>
      <x:c r="G1424" s="5" t="n">
        <x:v>1</x:v>
      </x:c>
      <x:c r="H1424" s="5" t="n">
        <x:v>1</x:v>
      </x:c>
      <x:c r="I1424" s="5" t="str">
        <x:v>SEK 8.0M</x:v>
      </x:c>
      <x:c r="J1424" s="5" t="str">
        <x:v>SOURCE QUOTE; unvalidated / superseded assessments</x:v>
      </x:c>
      <x:c r="L1424" s="31" t="str">
        <x:v>D06, Markdown line 211; http://nas-1.tail55d152.ts.net:4100/static/MEDICAL_NORDICS_FINANCIALS_DOSSIER.html</x:v>
      </x:c>
    </x:row>
    <x:row r="1425" ht="42" customHeight="1">
      <x:c r="A1425" s="5" t="str">
        <x:v>D06</x:v>
      </x:c>
      <x:c r="B1425" s="5" t="str">
        <x:v>D06-T01</x:v>
      </x:c>
      <x:c r="C1425" s="5" t="str">
        <x:v>5. Complete Company Financial Table (135 Facilities Analyzed)</x:v>
      </x:c>
      <x:c r="D1425" s="5" t="n">
        <x:v>211</x:v>
      </x:c>
      <x:c r="E1425" s="5" t="n">
        <x:v>7</x:v>
      </x:c>
      <x:c r="F1425" s="5" t="str">
        <x:v>Currency</x:v>
      </x:c>
      <x:c r="G1425" s="5" t="n">
        <x:v>1</x:v>
      </x:c>
      <x:c r="H1425" s="5" t="n">
        <x:v>1</x:v>
      </x:c>
      <x:c r="I1425" s="5" t="str">
        <x:v>SEK</x:v>
      </x:c>
      <x:c r="J1425" s="5" t="str">
        <x:v>SOURCE QUOTE; unvalidated / superseded assessments</x:v>
      </x:c>
      <x:c r="L1425" s="31" t="str">
        <x:v>D06, Markdown line 211; http://nas-1.tail55d152.ts.net:4100/static/MEDICAL_NORDICS_FINANCIALS_DOSSIER.html</x:v>
      </x:c>
    </x:row>
    <x:row r="1426" ht="42" customHeight="1">
      <x:c r="A1426" s="5" t="str">
        <x:v>D06</x:v>
      </x:c>
      <x:c r="B1426" s="5" t="str">
        <x:v>D06-T01</x:v>
      </x:c>
      <x:c r="C1426" s="5" t="str">
        <x:v>5. Complete Company Financial Table (135 Facilities Analyzed)</x:v>
      </x:c>
      <x:c r="D1426" s="5" t="n">
        <x:v>211</x:v>
      </x:c>
      <x:c r="E1426" s="5" t="n">
        <x:v>8</x:v>
      </x:c>
      <x:c r="F1426" s="5" t="str">
        <x:v>Fiscal Year</x:v>
      </x:c>
      <x:c r="G1426" s="5" t="n">
        <x:v>1</x:v>
      </x:c>
      <x:c r="H1426" s="5" t="n">
        <x:v>1</x:v>
      </x:c>
      <x:c r="I1426" s="5" t="str">
        <x:v>FY2023/24</x:v>
      </x:c>
      <x:c r="J1426" s="5" t="str">
        <x:v>SOURCE QUOTE; unvalidated / superseded assessments</x:v>
      </x:c>
      <x:c r="L1426" s="31" t="str">
        <x:v>D06, Markdown line 211; http://nas-1.tail55d152.ts.net:4100/static/MEDICAL_NORDICS_FINANCIALS_DOSSIER.html</x:v>
      </x:c>
    </x:row>
    <x:row r="1427" ht="42" customHeight="1">
      <x:c r="A1427" s="5" t="str">
        <x:v>D06</x:v>
      </x:c>
      <x:c r="B1427" s="5" t="str">
        <x:v>D06-T01</x:v>
      </x:c>
      <x:c r="C1427" s="5" t="str">
        <x:v>5. Complete Company Financial Table (135 Facilities Analyzed)</x:v>
      </x:c>
      <x:c r="D1427" s="5" t="n">
        <x:v>211</x:v>
      </x:c>
      <x:c r="E1427" s="5" t="n">
        <x:v>9</x:v>
      </x:c>
      <x:c r="F1427" s="5" t="str">
        <x:v>Status / Ownership / Strategic Service Alignment</x:v>
      </x:c>
      <x:c r="G1427" s="5" t="n">
        <x:v>1</x:v>
      </x:c>
      <x:c r="H1427" s="5" t="n">
        <x:v>1</x:v>
      </x:c>
      <x:c r="I1427" s="5" t="str">
        <x:v>Private SaaS; Package C &amp; E (Cloud biopharma integration &amp; enterprise sales scaling)</x:v>
      </x:c>
      <x:c r="J1427" s="5" t="str">
        <x:v>SOURCE QUOTE; unvalidated / superseded assessments</x:v>
      </x:c>
      <x:c r="L1427" s="31" t="str">
        <x:v>D06, Markdown line 211; http://nas-1.tail55d152.ts.net:4100/static/MEDICAL_NORDICS_FINANCIALS_DOSSIER.html</x:v>
      </x:c>
    </x:row>
    <x:row r="1428" ht="42" customHeight="1">
      <x:c r="A1428" s="5" t="str">
        <x:v>D06</x:v>
      </x:c>
      <x:c r="B1428" s="5" t="str">
        <x:v>D06-T01</x:v>
      </x:c>
      <x:c r="C1428" s="5" t="str">
        <x:v>5. Complete Company Financial Table (135 Facilities Analyzed)</x:v>
      </x:c>
      <x:c r="D1428" s="5" t="n">
        <x:v>212</x:v>
      </x:c>
      <x:c r="E1428" s="5" t="n">
        <x:v>1</x:v>
      </x:c>
      <x:c r="F1428" s="5" t="str">
        <x:v>#</x:v>
      </x:c>
      <x:c r="G1428" s="5" t="n">
        <x:v>1</x:v>
      </x:c>
      <x:c r="H1428" s="5" t="n">
        <x:v>1</x:v>
      </x:c>
      <x:c r="I1428" s="5" t="str">
        <x:v>31</x:v>
      </x:c>
      <x:c r="J1428" s="5" t="str">
        <x:v>SOURCE QUOTE; unvalidated / superseded assessments</x:v>
      </x:c>
      <x:c r="L1428" s="31" t="str">
        <x:v>D06, Markdown line 212; http://nas-1.tail55d152.ts.net:4100/static/MEDICAL_NORDICS_FINANCIALS_DOSSIER.html</x:v>
      </x:c>
    </x:row>
    <x:row r="1429" ht="42" customHeight="1">
      <x:c r="A1429" s="5" t="str">
        <x:v>D06</x:v>
      </x:c>
      <x:c r="B1429" s="5" t="str">
        <x:v>D06-T01</x:v>
      </x:c>
      <x:c r="C1429" s="5" t="str">
        <x:v>5. Complete Company Financial Table (135 Facilities Analyzed)</x:v>
      </x:c>
      <x:c r="D1429" s="5" t="n">
        <x:v>212</x:v>
      </x:c>
      <x:c r="E1429" s="5" t="n">
        <x:v>2</x:v>
      </x:c>
      <x:c r="F1429" s="5" t="str">
        <x:v>Company</x:v>
      </x:c>
      <x:c r="G1429" s="5" t="n">
        <x:v>1</x:v>
      </x:c>
      <x:c r="H1429" s="5" t="n">
        <x:v>1</x:v>
      </x:c>
      <x:c r="I1429" s="5" t="str">
        <x:v>Camurus</x:v>
      </x:c>
      <x:c r="J1429" s="5" t="str">
        <x:v>SOURCE QUOTE; unvalidated / superseded assessments</x:v>
      </x:c>
      <x:c r="L1429" s="31" t="str">
        <x:v>D06, Markdown line 212; http://nas-1.tail55d152.ts.net:4100/static/MEDICAL_NORDICS_FINANCIALS_DOSSIER.html</x:v>
      </x:c>
    </x:row>
    <x:row r="1430" ht="42" customHeight="1">
      <x:c r="A1430" s="5" t="str">
        <x:v>D06</x:v>
      </x:c>
      <x:c r="B1430" s="5" t="str">
        <x:v>D06-T01</x:v>
      </x:c>
      <x:c r="C1430" s="5" t="str">
        <x:v>5. Complete Company Financial Table (135 Facilities Analyzed)</x:v>
      </x:c>
      <x:c r="D1430" s="5" t="n">
        <x:v>212</x:v>
      </x:c>
      <x:c r="E1430" s="5" t="n">
        <x:v>3</x:v>
      </x:c>
      <x:c r="F1430" s="5" t="str">
        <x:v>Location</x:v>
      </x:c>
      <x:c r="G1430" s="5" t="n">
        <x:v>1</x:v>
      </x:c>
      <x:c r="H1430" s="5" t="n">
        <x:v>1</x:v>
      </x:c>
      <x:c r="I1430" s="5" t="str">
        <x:v>Lund, Sweden</x:v>
      </x:c>
      <x:c r="J1430" s="5" t="str">
        <x:v>SOURCE QUOTE; unvalidated / superseded assessments</x:v>
      </x:c>
      <x:c r="L1430" s="31" t="str">
        <x:v>D06, Markdown line 212; http://nas-1.tail55d152.ts.net:4100/static/MEDICAL_NORDICS_FINANCIALS_DOSSIER.html</x:v>
      </x:c>
    </x:row>
    <x:row r="1431" ht="42" customHeight="1">
      <x:c r="A1431" s="5" t="str">
        <x:v>D06</x:v>
      </x:c>
      <x:c r="B1431" s="5" t="str">
        <x:v>D06-T01</x:v>
      </x:c>
      <x:c r="C1431" s="5" t="str">
        <x:v>5. Complete Company Financial Table (135 Facilities Analyzed)</x:v>
      </x:c>
      <x:c r="D1431" s="5" t="n">
        <x:v>212</x:v>
      </x:c>
      <x:c r="E1431" s="5" t="n">
        <x:v>4</x:v>
      </x:c>
      <x:c r="F1431" s="5" t="str">
        <x:v>Focus Area</x:v>
      </x:c>
      <x:c r="G1431" s="5" t="n">
        <x:v>1</x:v>
      </x:c>
      <x:c r="H1431" s="5" t="n">
        <x:v>1</x:v>
      </x:c>
      <x:c r="I1431" s="5" t="str">
        <x:v>FluidCrystal Specialty Medicines</x:v>
      </x:c>
      <x:c r="J1431" s="5" t="str">
        <x:v>SOURCE QUOTE; unvalidated / superseded assessments</x:v>
      </x:c>
      <x:c r="L1431" s="31" t="str">
        <x:v>D06, Markdown line 212; http://nas-1.tail55d152.ts.net:4100/static/MEDICAL_NORDICS_FINANCIALS_DOSSIER.html</x:v>
      </x:c>
    </x:row>
    <x:row r="1432" ht="42" customHeight="1">
      <x:c r="A1432" s="5" t="str">
        <x:v>D06</x:v>
      </x:c>
      <x:c r="B1432" s="5" t="str">
        <x:v>D06-T01</x:v>
      </x:c>
      <x:c r="C1432" s="5" t="str">
        <x:v>5. Complete Company Financial Table (135 Facilities Analyzed)</x:v>
      </x:c>
      <x:c r="D1432" s="5" t="n">
        <x:v>212</x:v>
      </x:c>
      <x:c r="E1432" s="5" t="n">
        <x:v>5</x:v>
      </x:c>
      <x:c r="F1432" s="5" t="str">
        <x:v>Revenue / Net Sales</x:v>
      </x:c>
      <x:c r="G1432" s="5" t="n">
        <x:v>1</x:v>
      </x:c>
      <x:c r="H1432" s="5" t="n">
        <x:v>1</x:v>
      </x:c>
      <x:c r="I1432" s="5" t="str">
        <x:v>SEK 1,868.0M</x:v>
      </x:c>
      <x:c r="J1432" s="5" t="str">
        <x:v>SOURCE QUOTE; unvalidated / superseded assessments</x:v>
      </x:c>
      <x:c r="L1432" s="31" t="str">
        <x:v>D06, Markdown line 212; http://nas-1.tail55d152.ts.net:4100/static/MEDICAL_NORDICS_FINANCIALS_DOSSIER.html</x:v>
      </x:c>
    </x:row>
    <x:row r="1433" ht="42" customHeight="1">
      <x:c r="A1433" s="5" t="str">
        <x:v>D06</x:v>
      </x:c>
      <x:c r="B1433" s="5" t="str">
        <x:v>D06-T01</x:v>
      </x:c>
      <x:c r="C1433" s="5" t="str">
        <x:v>5. Complete Company Financial Table (135 Facilities Analyzed)</x:v>
      </x:c>
      <x:c r="D1433" s="5" t="n">
        <x:v>212</x:v>
      </x:c>
      <x:c r="E1433" s="5" t="n">
        <x:v>6</x:v>
      </x:c>
      <x:c r="F1433" s="5" t="str">
        <x:v>R&amp;D Spend</x:v>
      </x:c>
      <x:c r="G1433" s="5" t="n">
        <x:v>1</x:v>
      </x:c>
      <x:c r="H1433" s="5" t="n">
        <x:v>1</x:v>
      </x:c>
      <x:c r="I1433" s="5" t="str">
        <x:v>SEK 485.0M</x:v>
      </x:c>
      <x:c r="J1433" s="5" t="str">
        <x:v>SOURCE QUOTE; unvalidated / superseded assessments</x:v>
      </x:c>
      <x:c r="L1433" s="31" t="str">
        <x:v>D06, Markdown line 212; http://nas-1.tail55d152.ts.net:4100/static/MEDICAL_NORDICS_FINANCIALS_DOSSIER.html</x:v>
      </x:c>
    </x:row>
    <x:row r="1434" ht="42" customHeight="1">
      <x:c r="A1434" s="5" t="str">
        <x:v>D06</x:v>
      </x:c>
      <x:c r="B1434" s="5" t="str">
        <x:v>D06-T01</x:v>
      </x:c>
      <x:c r="C1434" s="5" t="str">
        <x:v>5. Complete Company Financial Table (135 Facilities Analyzed)</x:v>
      </x:c>
      <x:c r="D1434" s="5" t="n">
        <x:v>212</x:v>
      </x:c>
      <x:c r="E1434" s="5" t="n">
        <x:v>7</x:v>
      </x:c>
      <x:c r="F1434" s="5" t="str">
        <x:v>Currency</x:v>
      </x:c>
      <x:c r="G1434" s="5" t="n">
        <x:v>1</x:v>
      </x:c>
      <x:c r="H1434" s="5" t="n">
        <x:v>1</x:v>
      </x:c>
      <x:c r="I1434" s="5" t="str">
        <x:v>SEK</x:v>
      </x:c>
      <x:c r="J1434" s="5" t="str">
        <x:v>SOURCE QUOTE; unvalidated / superseded assessments</x:v>
      </x:c>
      <x:c r="L1434" s="31" t="str">
        <x:v>D06, Markdown line 212; http://nas-1.tail55d152.ts.net:4100/static/MEDICAL_NORDICS_FINANCIALS_DOSSIER.html</x:v>
      </x:c>
    </x:row>
    <x:row r="1435" ht="42" customHeight="1">
      <x:c r="A1435" s="5" t="str">
        <x:v>D06</x:v>
      </x:c>
      <x:c r="B1435" s="5" t="str">
        <x:v>D06-T01</x:v>
      </x:c>
      <x:c r="C1435" s="5" t="str">
        <x:v>5. Complete Company Financial Table (135 Facilities Analyzed)</x:v>
      </x:c>
      <x:c r="D1435" s="5" t="n">
        <x:v>212</x:v>
      </x:c>
      <x:c r="E1435" s="5" t="n">
        <x:v>8</x:v>
      </x:c>
      <x:c r="F1435" s="5" t="str">
        <x:v>Fiscal Year</x:v>
      </x:c>
      <x:c r="G1435" s="5" t="n">
        <x:v>1</x:v>
      </x:c>
      <x:c r="H1435" s="5" t="n">
        <x:v>1</x:v>
      </x:c>
      <x:c r="I1435" s="5" t="str">
        <x:v>FY2024</x:v>
      </x:c>
      <x:c r="J1435" s="5" t="str">
        <x:v>SOURCE QUOTE; unvalidated / superseded assessments</x:v>
      </x:c>
      <x:c r="L1435" s="31" t="str">
        <x:v>D06, Markdown line 212; http://nas-1.tail55d152.ts.net:4100/static/MEDICAL_NORDICS_FINANCIALS_DOSSIER.html</x:v>
      </x:c>
    </x:row>
    <x:row r="1436" ht="42" customHeight="1">
      <x:c r="A1436" s="5" t="str">
        <x:v>D06</x:v>
      </x:c>
      <x:c r="B1436" s="5" t="str">
        <x:v>D06-T01</x:v>
      </x:c>
      <x:c r="C1436" s="5" t="str">
        <x:v>5. Complete Company Financial Table (135 Facilities Analyzed)</x:v>
      </x:c>
      <x:c r="D1436" s="5" t="n">
        <x:v>212</x:v>
      </x:c>
      <x:c r="E1436" s="5" t="n">
        <x:v>9</x:v>
      </x:c>
      <x:c r="F1436" s="5" t="str">
        <x:v>Status / Ownership / Strategic Service Alignment</x:v>
      </x:c>
      <x:c r="G1436" s="5" t="n">
        <x:v>1</x:v>
      </x:c>
      <x:c r="H1436" s="5" t="n">
        <x:v>1</x:v>
      </x:c>
      <x:c r="I1436" s="5" t="str">
        <x:v>Listed (Nasdaq: CAMX); Package C (Smart S&amp;OP replacing 4-month Excel cycles)</x:v>
      </x:c>
      <x:c r="J1436" s="5" t="str">
        <x:v>SOURCE QUOTE; unvalidated / superseded assessments</x:v>
      </x:c>
      <x:c r="L1436" s="31" t="str">
        <x:v>D06, Markdown line 212; http://nas-1.tail55d152.ts.net:4100/static/MEDICAL_NORDICS_FINANCIALS_DOSSIER.html</x:v>
      </x:c>
    </x:row>
    <x:row r="1437" ht="42" customHeight="1">
      <x:c r="A1437" s="5" t="str">
        <x:v>D06</x:v>
      </x:c>
      <x:c r="B1437" s="5" t="str">
        <x:v>D06-T01</x:v>
      </x:c>
      <x:c r="C1437" s="5" t="str">
        <x:v>5. Complete Company Financial Table (135 Facilities Analyzed)</x:v>
      </x:c>
      <x:c r="D1437" s="5" t="n">
        <x:v>213</x:v>
      </x:c>
      <x:c r="E1437" s="5" t="n">
        <x:v>1</x:v>
      </x:c>
      <x:c r="F1437" s="5" t="str">
        <x:v>#</x:v>
      </x:c>
      <x:c r="G1437" s="5" t="n">
        <x:v>1</x:v>
      </x:c>
      <x:c r="H1437" s="5" t="n">
        <x:v>1</x:v>
      </x:c>
      <x:c r="I1437" s="5" t="str">
        <x:v>32</x:v>
      </x:c>
      <x:c r="J1437" s="5" t="str">
        <x:v>SOURCE QUOTE; unvalidated / superseded assessments</x:v>
      </x:c>
      <x:c r="L1437" s="31" t="str">
        <x:v>D06, Markdown line 213; http://nas-1.tail55d152.ts.net:4100/static/MEDICAL_NORDICS_FINANCIALS_DOSSIER.html</x:v>
      </x:c>
    </x:row>
    <x:row r="1438" ht="42" customHeight="1">
      <x:c r="A1438" s="5" t="str">
        <x:v>D06</x:v>
      </x:c>
      <x:c r="B1438" s="5" t="str">
        <x:v>D06-T01</x:v>
      </x:c>
      <x:c r="C1438" s="5" t="str">
        <x:v>5. Complete Company Financial Table (135 Facilities Analyzed)</x:v>
      </x:c>
      <x:c r="D1438" s="5" t="n">
        <x:v>213</x:v>
      </x:c>
      <x:c r="E1438" s="5" t="n">
        <x:v>2</x:v>
      </x:c>
      <x:c r="F1438" s="5" t="str">
        <x:v>Company</x:v>
      </x:c>
      <x:c r="G1438" s="5" t="n">
        <x:v>1</x:v>
      </x:c>
      <x:c r="H1438" s="5" t="n">
        <x:v>1</x:v>
      </x:c>
      <x:c r="I1438" s="5" t="str">
        <x:v>Cantargia</x:v>
      </x:c>
      <x:c r="J1438" s="5" t="str">
        <x:v>SOURCE QUOTE; unvalidated / superseded assessments</x:v>
      </x:c>
      <x:c r="L1438" s="31" t="str">
        <x:v>D06, Markdown line 213; http://nas-1.tail55d152.ts.net:4100/static/MEDICAL_NORDICS_FINANCIALS_DOSSIER.html</x:v>
      </x:c>
    </x:row>
    <x:row r="1439" ht="42" customHeight="1">
      <x:c r="A1439" s="5" t="str">
        <x:v>D06</x:v>
      </x:c>
      <x:c r="B1439" s="5" t="str">
        <x:v>D06-T01</x:v>
      </x:c>
      <x:c r="C1439" s="5" t="str">
        <x:v>5. Complete Company Financial Table (135 Facilities Analyzed)</x:v>
      </x:c>
      <x:c r="D1439" s="5" t="n">
        <x:v>213</x:v>
      </x:c>
      <x:c r="E1439" s="5" t="n">
        <x:v>3</x:v>
      </x:c>
      <x:c r="F1439" s="5" t="str">
        <x:v>Location</x:v>
      </x:c>
      <x:c r="G1439" s="5" t="n">
        <x:v>1</x:v>
      </x:c>
      <x:c r="H1439" s="5" t="n">
        <x:v>1</x:v>
      </x:c>
      <x:c r="I1439" s="5" t="str">
        <x:v>Lund, Sweden</x:v>
      </x:c>
      <x:c r="J1439" s="5" t="str">
        <x:v>SOURCE QUOTE; unvalidated / superseded assessments</x:v>
      </x:c>
      <x:c r="L1439" s="31" t="str">
        <x:v>D06, Markdown line 213; http://nas-1.tail55d152.ts.net:4100/static/MEDICAL_NORDICS_FINANCIALS_DOSSIER.html</x:v>
      </x:c>
    </x:row>
    <x:row r="1440" ht="42" customHeight="1">
      <x:c r="A1440" s="5" t="str">
        <x:v>D06</x:v>
      </x:c>
      <x:c r="B1440" s="5" t="str">
        <x:v>D06-T01</x:v>
      </x:c>
      <x:c r="C1440" s="5" t="str">
        <x:v>5. Complete Company Financial Table (135 Facilities Analyzed)</x:v>
      </x:c>
      <x:c r="D1440" s="5" t="n">
        <x:v>213</x:v>
      </x:c>
      <x:c r="E1440" s="5" t="n">
        <x:v>4</x:v>
      </x:c>
      <x:c r="F1440" s="5" t="str">
        <x:v>Focus Area</x:v>
      </x:c>
      <x:c r="G1440" s="5" t="n">
        <x:v>1</x:v>
      </x:c>
      <x:c r="H1440" s="5" t="n">
        <x:v>1</x:v>
      </x:c>
      <x:c r="I1440" s="5" t="str">
        <x:v>IL1RAP Targeted Oncology Antibodies</x:v>
      </x:c>
      <x:c r="J1440" s="5" t="str">
        <x:v>SOURCE QUOTE; unvalidated / superseded assessments</x:v>
      </x:c>
      <x:c r="L1440" s="31" t="str">
        <x:v>D06, Markdown line 213; http://nas-1.tail55d152.ts.net:4100/static/MEDICAL_NORDICS_FINANCIALS_DOSSIER.html</x:v>
      </x:c>
    </x:row>
    <x:row r="1441" ht="42" customHeight="1">
      <x:c r="A1441" s="5" t="str">
        <x:v>D06</x:v>
      </x:c>
      <x:c r="B1441" s="5" t="str">
        <x:v>D06-T01</x:v>
      </x:c>
      <x:c r="C1441" s="5" t="str">
        <x:v>5. Complete Company Financial Table (135 Facilities Analyzed)</x:v>
      </x:c>
      <x:c r="D1441" s="5" t="n">
        <x:v>213</x:v>
      </x:c>
      <x:c r="E1441" s="5" t="n">
        <x:v>5</x:v>
      </x:c>
      <x:c r="F1441" s="5" t="str">
        <x:v>Revenue / Net Sales</x:v>
      </x:c>
      <x:c r="G1441" s="5" t="n">
        <x:v>1</x:v>
      </x:c>
      <x:c r="H1441" s="5" t="n">
        <x:v>1</x:v>
      </x:c>
      <x:c r="I1441" s="5" t="str">
        <x:v>SEK 0M (Clinical stage)</x:v>
      </x:c>
      <x:c r="J1441" s="5" t="str">
        <x:v>SOURCE QUOTE; unvalidated / superseded assessments</x:v>
      </x:c>
      <x:c r="L1441" s="31" t="str">
        <x:v>D06, Markdown line 213; http://nas-1.tail55d152.ts.net:4100/static/MEDICAL_NORDICS_FINANCIALS_DOSSIER.html</x:v>
      </x:c>
    </x:row>
    <x:row r="1442" ht="42" customHeight="1">
      <x:c r="A1442" s="5" t="str">
        <x:v>D06</x:v>
      </x:c>
      <x:c r="B1442" s="5" t="str">
        <x:v>D06-T01</x:v>
      </x:c>
      <x:c r="C1442" s="5" t="str">
        <x:v>5. Complete Company Financial Table (135 Facilities Analyzed)</x:v>
      </x:c>
      <x:c r="D1442" s="5" t="n">
        <x:v>213</x:v>
      </x:c>
      <x:c r="E1442" s="5" t="n">
        <x:v>6</x:v>
      </x:c>
      <x:c r="F1442" s="5" t="str">
        <x:v>R&amp;D Spend</x:v>
      </x:c>
      <x:c r="G1442" s="5" t="n">
        <x:v>1</x:v>
      </x:c>
      <x:c r="H1442" s="5" t="n">
        <x:v>1</x:v>
      </x:c>
      <x:c r="I1442" s="5" t="str">
        <x:v>SEK 178.5M</x:v>
      </x:c>
      <x:c r="J1442" s="5" t="str">
        <x:v>SOURCE QUOTE; unvalidated / superseded assessments</x:v>
      </x:c>
      <x:c r="L1442" s="31" t="str">
        <x:v>D06, Markdown line 213; http://nas-1.tail55d152.ts.net:4100/static/MEDICAL_NORDICS_FINANCIALS_DOSSIER.html</x:v>
      </x:c>
    </x:row>
    <x:row r="1443" ht="42" customHeight="1">
      <x:c r="A1443" s="5" t="str">
        <x:v>D06</x:v>
      </x:c>
      <x:c r="B1443" s="5" t="str">
        <x:v>D06-T01</x:v>
      </x:c>
      <x:c r="C1443" s="5" t="str">
        <x:v>5. Complete Company Financial Table (135 Facilities Analyzed)</x:v>
      </x:c>
      <x:c r="D1443" s="5" t="n">
        <x:v>213</x:v>
      </x:c>
      <x:c r="E1443" s="5" t="n">
        <x:v>7</x:v>
      </x:c>
      <x:c r="F1443" s="5" t="str">
        <x:v>Currency</x:v>
      </x:c>
      <x:c r="G1443" s="5" t="n">
        <x:v>1</x:v>
      </x:c>
      <x:c r="H1443" s="5" t="n">
        <x:v>1</x:v>
      </x:c>
      <x:c r="I1443" s="5" t="str">
        <x:v>SEK</x:v>
      </x:c>
      <x:c r="J1443" s="5" t="str">
        <x:v>SOURCE QUOTE; unvalidated / superseded assessments</x:v>
      </x:c>
      <x:c r="L1443" s="31" t="str">
        <x:v>D06, Markdown line 213; http://nas-1.tail55d152.ts.net:4100/static/MEDICAL_NORDICS_FINANCIALS_DOSSIER.html</x:v>
      </x:c>
    </x:row>
    <x:row r="1444" ht="42" customHeight="1">
      <x:c r="A1444" s="5" t="str">
        <x:v>D06</x:v>
      </x:c>
      <x:c r="B1444" s="5" t="str">
        <x:v>D06-T01</x:v>
      </x:c>
      <x:c r="C1444" s="5" t="str">
        <x:v>5. Complete Company Financial Table (135 Facilities Analyzed)</x:v>
      </x:c>
      <x:c r="D1444" s="5" t="n">
        <x:v>213</x:v>
      </x:c>
      <x:c r="E1444" s="5" t="n">
        <x:v>8</x:v>
      </x:c>
      <x:c r="F1444" s="5" t="str">
        <x:v>Fiscal Year</x:v>
      </x:c>
      <x:c r="G1444" s="5" t="n">
        <x:v>1</x:v>
      </x:c>
      <x:c r="H1444" s="5" t="n">
        <x:v>1</x:v>
      </x:c>
      <x:c r="I1444" s="5" t="str">
        <x:v>FY2024</x:v>
      </x:c>
      <x:c r="J1444" s="5" t="str">
        <x:v>SOURCE QUOTE; unvalidated / superseded assessments</x:v>
      </x:c>
      <x:c r="L1444" s="31" t="str">
        <x:v>D06, Markdown line 213; http://nas-1.tail55d152.ts.net:4100/static/MEDICAL_NORDICS_FINANCIALS_DOSSIER.html</x:v>
      </x:c>
    </x:row>
    <x:row r="1445" ht="42" customHeight="1">
      <x:c r="A1445" s="5" t="str">
        <x:v>D06</x:v>
      </x:c>
      <x:c r="B1445" s="5" t="str">
        <x:v>D06-T01</x:v>
      </x:c>
      <x:c r="C1445" s="5" t="str">
        <x:v>5. Complete Company Financial Table (135 Facilities Analyzed)</x:v>
      </x:c>
      <x:c r="D1445" s="5" t="n">
        <x:v>213</x:v>
      </x:c>
      <x:c r="E1445" s="5" t="n">
        <x:v>9</x:v>
      </x:c>
      <x:c r="F1445" s="5" t="str">
        <x:v>Status / Ownership / Strategic Service Alignment</x:v>
      </x:c>
      <x:c r="G1445" s="5" t="n">
        <x:v>1</x:v>
      </x:c>
      <x:c r="H1445" s="5" t="n">
        <x:v>1</x:v>
      </x:c>
      <x:c r="I1445" s="5" t="str">
        <x:v>Listed (Nasdaq: CANTA); Package B (Nadunolimab clinical site milestone governance)</x:v>
      </x:c>
      <x:c r="J1445" s="5" t="str">
        <x:v>SOURCE QUOTE; unvalidated / superseded assessments</x:v>
      </x:c>
      <x:c r="L1445" s="31" t="str">
        <x:v>D06, Markdown line 213; http://nas-1.tail55d152.ts.net:4100/static/MEDICAL_NORDICS_FINANCIALS_DOSSIER.html</x:v>
      </x:c>
    </x:row>
    <x:row r="1446" ht="42" customHeight="1">
      <x:c r="A1446" s="5" t="str">
        <x:v>D06</x:v>
      </x:c>
      <x:c r="B1446" s="5" t="str">
        <x:v>D06-T01</x:v>
      </x:c>
      <x:c r="C1446" s="5" t="str">
        <x:v>5. Complete Company Financial Table (135 Facilities Analyzed)</x:v>
      </x:c>
      <x:c r="D1446" s="5" t="n">
        <x:v>214</x:v>
      </x:c>
      <x:c r="E1446" s="5" t="n">
        <x:v>1</x:v>
      </x:c>
      <x:c r="F1446" s="5" t="str">
        <x:v>#</x:v>
      </x:c>
      <x:c r="G1446" s="5" t="n">
        <x:v>1</x:v>
      </x:c>
      <x:c r="H1446" s="5" t="n">
        <x:v>1</x:v>
      </x:c>
      <x:c r="I1446" s="5" t="str">
        <x:v>33</x:v>
      </x:c>
      <x:c r="J1446" s="5" t="str">
        <x:v>SOURCE QUOTE; unvalidated / superseded assessments</x:v>
      </x:c>
      <x:c r="L1446" s="31" t="str">
        <x:v>D06, Markdown line 214; http://nas-1.tail55d152.ts.net:4100/static/MEDICAL_NORDICS_FINANCIALS_DOSSIER.html</x:v>
      </x:c>
    </x:row>
    <x:row r="1447" ht="42" customHeight="1">
      <x:c r="A1447" s="5" t="str">
        <x:v>D06</x:v>
      </x:c>
      <x:c r="B1447" s="5" t="str">
        <x:v>D06-T01</x:v>
      </x:c>
      <x:c r="C1447" s="5" t="str">
        <x:v>5. Complete Company Financial Table (135 Facilities Analyzed)</x:v>
      </x:c>
      <x:c r="D1447" s="5" t="n">
        <x:v>214</x:v>
      </x:c>
      <x:c r="E1447" s="5" t="n">
        <x:v>2</x:v>
      </x:c>
      <x:c r="F1447" s="5" t="str">
        <x:v>Company</x:v>
      </x:c>
      <x:c r="G1447" s="5" t="n">
        <x:v>1</x:v>
      </x:c>
      <x:c r="H1447" s="5" t="n">
        <x:v>1</x:v>
      </x:c>
      <x:c r="I1447" s="5" t="str">
        <x:v>Carbiotix</x:v>
      </x:c>
      <x:c r="J1447" s="5" t="str">
        <x:v>SOURCE QUOTE; unvalidated / superseded assessments</x:v>
      </x:c>
      <x:c r="L1447" s="31" t="str">
        <x:v>D06, Markdown line 214; http://nas-1.tail55d152.ts.net:4100/static/MEDICAL_NORDICS_FINANCIALS_DOSSIER.html</x:v>
      </x:c>
    </x:row>
    <x:row r="1448" ht="42" customHeight="1">
      <x:c r="A1448" s="5" t="str">
        <x:v>D06</x:v>
      </x:c>
      <x:c r="B1448" s="5" t="str">
        <x:v>D06-T01</x:v>
      </x:c>
      <x:c r="C1448" s="5" t="str">
        <x:v>5. Complete Company Financial Table (135 Facilities Analyzed)</x:v>
      </x:c>
      <x:c r="D1448" s="5" t="n">
        <x:v>214</x:v>
      </x:c>
      <x:c r="E1448" s="5" t="n">
        <x:v>3</x:v>
      </x:c>
      <x:c r="F1448" s="5" t="str">
        <x:v>Location</x:v>
      </x:c>
      <x:c r="G1448" s="5" t="n">
        <x:v>1</x:v>
      </x:c>
      <x:c r="H1448" s="5" t="n">
        <x:v>1</x:v>
      </x:c>
      <x:c r="I1448" s="5" t="str">
        <x:v>Lund, Sweden</x:v>
      </x:c>
      <x:c r="J1448" s="5" t="str">
        <x:v>SOURCE QUOTE; unvalidated / superseded assessments</x:v>
      </x:c>
      <x:c r="L1448" s="31" t="str">
        <x:v>D06, Markdown line 214; http://nas-1.tail55d152.ts.net:4100/static/MEDICAL_NORDICS_FINANCIALS_DOSSIER.html</x:v>
      </x:c>
    </x:row>
    <x:row r="1449" ht="42" customHeight="1">
      <x:c r="A1449" s="5" t="str">
        <x:v>D06</x:v>
      </x:c>
      <x:c r="B1449" s="5" t="str">
        <x:v>D06-T01</x:v>
      </x:c>
      <x:c r="C1449" s="5" t="str">
        <x:v>5. Complete Company Financial Table (135 Facilities Analyzed)</x:v>
      </x:c>
      <x:c r="D1449" s="5" t="n">
        <x:v>214</x:v>
      </x:c>
      <x:c r="E1449" s="5" t="n">
        <x:v>4</x:v>
      </x:c>
      <x:c r="F1449" s="5" t="str">
        <x:v>Focus Area</x:v>
      </x:c>
      <x:c r="G1449" s="5" t="n">
        <x:v>1</x:v>
      </x:c>
      <x:c r="H1449" s="5" t="n">
        <x:v>1</x:v>
      </x:c>
      <x:c r="I1449" s="5" t="str">
        <x:v>Prebiotic Fibers &amp; Microbiome Testing</x:v>
      </x:c>
      <x:c r="J1449" s="5" t="str">
        <x:v>SOURCE QUOTE; unvalidated / superseded assessments</x:v>
      </x:c>
      <x:c r="L1449" s="31" t="str">
        <x:v>D06, Markdown line 214; http://nas-1.tail55d152.ts.net:4100/static/MEDICAL_NORDICS_FINANCIALS_DOSSIER.html</x:v>
      </x:c>
    </x:row>
    <x:row r="1450" ht="42" customHeight="1">
      <x:c r="A1450" s="5" t="str">
        <x:v>D06</x:v>
      </x:c>
      <x:c r="B1450" s="5" t="str">
        <x:v>D06-T01</x:v>
      </x:c>
      <x:c r="C1450" s="5" t="str">
        <x:v>5. Complete Company Financial Table (135 Facilities Analyzed)</x:v>
      </x:c>
      <x:c r="D1450" s="5" t="n">
        <x:v>214</x:v>
      </x:c>
      <x:c r="E1450" s="5" t="n">
        <x:v>5</x:v>
      </x:c>
      <x:c r="F1450" s="5" t="str">
        <x:v>Revenue / Net Sales</x:v>
      </x:c>
      <x:c r="G1450" s="5" t="n">
        <x:v>1</x:v>
      </x:c>
      <x:c r="H1450" s="5" t="n">
        <x:v>1</x:v>
      </x:c>
      <x:c r="I1450" s="5" t="str">
        <x:v>SEK 1.8M</x:v>
      </x:c>
      <x:c r="J1450" s="5" t="str">
        <x:v>SOURCE QUOTE; unvalidated / superseded assessments</x:v>
      </x:c>
      <x:c r="L1450" s="31" t="str">
        <x:v>D06, Markdown line 214; http://nas-1.tail55d152.ts.net:4100/static/MEDICAL_NORDICS_FINANCIALS_DOSSIER.html</x:v>
      </x:c>
    </x:row>
    <x:row r="1451" ht="42" customHeight="1">
      <x:c r="A1451" s="5" t="str">
        <x:v>D06</x:v>
      </x:c>
      <x:c r="B1451" s="5" t="str">
        <x:v>D06-T01</x:v>
      </x:c>
      <x:c r="C1451" s="5" t="str">
        <x:v>5. Complete Company Financial Table (135 Facilities Analyzed)</x:v>
      </x:c>
      <x:c r="D1451" s="5" t="n">
        <x:v>214</x:v>
      </x:c>
      <x:c r="E1451" s="5" t="n">
        <x:v>6</x:v>
      </x:c>
      <x:c r="F1451" s="5" t="str">
        <x:v>R&amp;D Spend</x:v>
      </x:c>
      <x:c r="G1451" s="5" t="n">
        <x:v>1</x:v>
      </x:c>
      <x:c r="H1451" s="5" t="n">
        <x:v>1</x:v>
      </x:c>
      <x:c r="I1451" s="5" t="str">
        <x:v>SEK 9.2M</x:v>
      </x:c>
      <x:c r="J1451" s="5" t="str">
        <x:v>SOURCE QUOTE; unvalidated / superseded assessments</x:v>
      </x:c>
      <x:c r="L1451" s="31" t="str">
        <x:v>D06, Markdown line 214; http://nas-1.tail55d152.ts.net:4100/static/MEDICAL_NORDICS_FINANCIALS_DOSSIER.html</x:v>
      </x:c>
    </x:row>
    <x:row r="1452" ht="42" customHeight="1">
      <x:c r="A1452" s="5" t="str">
        <x:v>D06</x:v>
      </x:c>
      <x:c r="B1452" s="5" t="str">
        <x:v>D06-T01</x:v>
      </x:c>
      <x:c r="C1452" s="5" t="str">
        <x:v>5. Complete Company Financial Table (135 Facilities Analyzed)</x:v>
      </x:c>
      <x:c r="D1452" s="5" t="n">
        <x:v>214</x:v>
      </x:c>
      <x:c r="E1452" s="5" t="n">
        <x:v>7</x:v>
      </x:c>
      <x:c r="F1452" s="5" t="str">
        <x:v>Currency</x:v>
      </x:c>
      <x:c r="G1452" s="5" t="n">
        <x:v>1</x:v>
      </x:c>
      <x:c r="H1452" s="5" t="n">
        <x:v>1</x:v>
      </x:c>
      <x:c r="I1452" s="5" t="str">
        <x:v>SEK</x:v>
      </x:c>
      <x:c r="J1452" s="5" t="str">
        <x:v>SOURCE QUOTE; unvalidated / superseded assessments</x:v>
      </x:c>
      <x:c r="L1452" s="31" t="str">
        <x:v>D06, Markdown line 214; http://nas-1.tail55d152.ts.net:4100/static/MEDICAL_NORDICS_FINANCIALS_DOSSIER.html</x:v>
      </x:c>
    </x:row>
    <x:row r="1453" ht="42" customHeight="1">
      <x:c r="A1453" s="5" t="str">
        <x:v>D06</x:v>
      </x:c>
      <x:c r="B1453" s="5" t="str">
        <x:v>D06-T01</x:v>
      </x:c>
      <x:c r="C1453" s="5" t="str">
        <x:v>5. Complete Company Financial Table (135 Facilities Analyzed)</x:v>
      </x:c>
      <x:c r="D1453" s="5" t="n">
        <x:v>214</x:v>
      </x:c>
      <x:c r="E1453" s="5" t="n">
        <x:v>8</x:v>
      </x:c>
      <x:c r="F1453" s="5" t="str">
        <x:v>Fiscal Year</x:v>
      </x:c>
      <x:c r="G1453" s="5" t="n">
        <x:v>1</x:v>
      </x:c>
      <x:c r="H1453" s="5" t="n">
        <x:v>1</x:v>
      </x:c>
      <x:c r="I1453" s="5" t="str">
        <x:v>FY2023/24</x:v>
      </x:c>
      <x:c r="J1453" s="5" t="str">
        <x:v>SOURCE QUOTE; unvalidated / superseded assessments</x:v>
      </x:c>
      <x:c r="L1453" s="31" t="str">
        <x:v>D06, Markdown line 214; http://nas-1.tail55d152.ts.net:4100/static/MEDICAL_NORDICS_FINANCIALS_DOSSIER.html</x:v>
      </x:c>
    </x:row>
    <x:row r="1454" ht="42" customHeight="1">
      <x:c r="A1454" s="5" t="str">
        <x:v>D06</x:v>
      </x:c>
      <x:c r="B1454" s="5" t="str">
        <x:v>D06-T01</x:v>
      </x:c>
      <x:c r="C1454" s="5" t="str">
        <x:v>5. Complete Company Financial Table (135 Facilities Analyzed)</x:v>
      </x:c>
      <x:c r="D1454" s="5" t="n">
        <x:v>214</x:v>
      </x:c>
      <x:c r="E1454" s="5" t="n">
        <x:v>9</x:v>
      </x:c>
      <x:c r="F1454" s="5" t="str">
        <x:v>Status / Ownership / Strategic Service Alignment</x:v>
      </x:c>
      <x:c r="G1454" s="5" t="n">
        <x:v>1</x:v>
      </x:c>
      <x:c r="H1454" s="5" t="n">
        <x:v>1</x:v>
      </x:c>
      <x:c r="I1454" s="5" t="str">
        <x:v>Listed (Spotlight: CRBX); Package C (DTC microbiome test commercial logistics)</x:v>
      </x:c>
      <x:c r="J1454" s="5" t="str">
        <x:v>SOURCE QUOTE; unvalidated / superseded assessments</x:v>
      </x:c>
      <x:c r="L1454" s="31" t="str">
        <x:v>D06, Markdown line 214; http://nas-1.tail55d152.ts.net:4100/static/MEDICAL_NORDICS_FINANCIALS_DOSSIER.html</x:v>
      </x:c>
    </x:row>
    <x:row r="1455" ht="42" customHeight="1">
      <x:c r="A1455" s="5" t="str">
        <x:v>D06</x:v>
      </x:c>
      <x:c r="B1455" s="5" t="str">
        <x:v>D06-T01</x:v>
      </x:c>
      <x:c r="C1455" s="5" t="str">
        <x:v>5. Complete Company Financial Table (135 Facilities Analyzed)</x:v>
      </x:c>
      <x:c r="D1455" s="5" t="n">
        <x:v>215</x:v>
      </x:c>
      <x:c r="E1455" s="5" t="n">
        <x:v>1</x:v>
      </x:c>
      <x:c r="F1455" s="5" t="str">
        <x:v>#</x:v>
      </x:c>
      <x:c r="G1455" s="5" t="n">
        <x:v>1</x:v>
      </x:c>
      <x:c r="H1455" s="5" t="n">
        <x:v>1</x:v>
      </x:c>
      <x:c r="I1455" s="5" t="str">
        <x:v>34</x:v>
      </x:c>
      <x:c r="J1455" s="5" t="str">
        <x:v>SOURCE QUOTE; unvalidated / superseded assessments</x:v>
      </x:c>
      <x:c r="L1455" s="31" t="str">
        <x:v>D06, Markdown line 215; http://nas-1.tail55d152.ts.net:4100/static/MEDICAL_NORDICS_FINANCIALS_DOSSIER.html</x:v>
      </x:c>
    </x:row>
    <x:row r="1456" ht="42" customHeight="1">
      <x:c r="A1456" s="5" t="str">
        <x:v>D06</x:v>
      </x:c>
      <x:c r="B1456" s="5" t="str">
        <x:v>D06-T01</x:v>
      </x:c>
      <x:c r="C1456" s="5" t="str">
        <x:v>5. Complete Company Financial Table (135 Facilities Analyzed)</x:v>
      </x:c>
      <x:c r="D1456" s="5" t="n">
        <x:v>215</x:v>
      </x:c>
      <x:c r="E1456" s="5" t="n">
        <x:v>2</x:v>
      </x:c>
      <x:c r="F1456" s="5" t="str">
        <x:v>Company</x:v>
      </x:c>
      <x:c r="G1456" s="5" t="n">
        <x:v>1</x:v>
      </x:c>
      <x:c r="H1456" s="5" t="n">
        <x:v>1</x:v>
      </x:c>
      <x:c r="I1456" s="5" t="str">
        <x:v>Cellevate</x:v>
      </x:c>
      <x:c r="J1456" s="5" t="str">
        <x:v>SOURCE QUOTE; unvalidated / superseded assessments</x:v>
      </x:c>
      <x:c r="L1456" s="31" t="str">
        <x:v>D06, Markdown line 215; http://nas-1.tail55d152.ts.net:4100/static/MEDICAL_NORDICS_FINANCIALS_DOSSIER.html</x:v>
      </x:c>
    </x:row>
    <x:row r="1457" ht="42" customHeight="1">
      <x:c r="A1457" s="5" t="str">
        <x:v>D06</x:v>
      </x:c>
      <x:c r="B1457" s="5" t="str">
        <x:v>D06-T01</x:v>
      </x:c>
      <x:c r="C1457" s="5" t="str">
        <x:v>5. Complete Company Financial Table (135 Facilities Analyzed)</x:v>
      </x:c>
      <x:c r="D1457" s="5" t="n">
        <x:v>215</x:v>
      </x:c>
      <x:c r="E1457" s="5" t="n">
        <x:v>3</x:v>
      </x:c>
      <x:c r="F1457" s="5" t="str">
        <x:v>Location</x:v>
      </x:c>
      <x:c r="G1457" s="5" t="n">
        <x:v>1</x:v>
      </x:c>
      <x:c r="H1457" s="5" t="n">
        <x:v>1</x:v>
      </x:c>
      <x:c r="I1457" s="5" t="str">
        <x:v>Lund, Sweden</x:v>
      </x:c>
      <x:c r="J1457" s="5" t="str">
        <x:v>SOURCE QUOTE; unvalidated / superseded assessments</x:v>
      </x:c>
      <x:c r="L1457" s="31" t="str">
        <x:v>D06, Markdown line 215; http://nas-1.tail55d152.ts.net:4100/static/MEDICAL_NORDICS_FINANCIALS_DOSSIER.html</x:v>
      </x:c>
    </x:row>
    <x:row r="1458" ht="42" customHeight="1">
      <x:c r="A1458" s="5" t="str">
        <x:v>D06</x:v>
      </x:c>
      <x:c r="B1458" s="5" t="str">
        <x:v>D06-T01</x:v>
      </x:c>
      <x:c r="C1458" s="5" t="str">
        <x:v>5. Complete Company Financial Table (135 Facilities Analyzed)</x:v>
      </x:c>
      <x:c r="D1458" s="5" t="n">
        <x:v>215</x:v>
      </x:c>
      <x:c r="E1458" s="5" t="n">
        <x:v>4</x:v>
      </x:c>
      <x:c r="F1458" s="5" t="str">
        <x:v>Focus Area</x:v>
      </x:c>
      <x:c r="G1458" s="5" t="n">
        <x:v>1</x:v>
      </x:c>
      <x:c r="H1458" s="5" t="n">
        <x:v>1</x:v>
      </x:c>
      <x:c r="I1458" s="5" t="str">
        <x:v>Nanofiber Biomanufacturing Carriers</x:v>
      </x:c>
      <x:c r="J1458" s="5" t="str">
        <x:v>SOURCE QUOTE; unvalidated / superseded assessments</x:v>
      </x:c>
      <x:c r="L1458" s="31" t="str">
        <x:v>D06, Markdown line 215; http://nas-1.tail55d152.ts.net:4100/static/MEDICAL_NORDICS_FINANCIALS_DOSSIER.html</x:v>
      </x:c>
    </x:row>
    <x:row r="1459" ht="42" customHeight="1">
      <x:c r="A1459" s="5" t="str">
        <x:v>D06</x:v>
      </x:c>
      <x:c r="B1459" s="5" t="str">
        <x:v>D06-T01</x:v>
      </x:c>
      <x:c r="C1459" s="5" t="str">
        <x:v>5. Complete Company Financial Table (135 Facilities Analyzed)</x:v>
      </x:c>
      <x:c r="D1459" s="5" t="n">
        <x:v>215</x:v>
      </x:c>
      <x:c r="E1459" s="5" t="n">
        <x:v>5</x:v>
      </x:c>
      <x:c r="F1459" s="5" t="str">
        <x:v>Revenue / Net Sales</x:v>
      </x:c>
      <x:c r="G1459" s="5" t="n">
        <x:v>1</x:v>
      </x:c>
      <x:c r="H1459" s="5" t="n">
        <x:v>1</x:v>
      </x:c>
      <x:c r="I1459" s="5" t="str">
        <x:v>SEK 4.5M est.</x:v>
      </x:c>
      <x:c r="J1459" s="5" t="str">
        <x:v>SOURCE QUOTE; unvalidated / superseded assessments</x:v>
      </x:c>
      <x:c r="L1459" s="31" t="str">
        <x:v>D06, Markdown line 215; http://nas-1.tail55d152.ts.net:4100/static/MEDICAL_NORDICS_FINANCIALS_DOSSIER.html</x:v>
      </x:c>
    </x:row>
    <x:row r="1460" ht="42" customHeight="1">
      <x:c r="A1460" s="5" t="str">
        <x:v>D06</x:v>
      </x:c>
      <x:c r="B1460" s="5" t="str">
        <x:v>D06-T01</x:v>
      </x:c>
      <x:c r="C1460" s="5" t="str">
        <x:v>5. Complete Company Financial Table (135 Facilities Analyzed)</x:v>
      </x:c>
      <x:c r="D1460" s="5" t="n">
        <x:v>215</x:v>
      </x:c>
      <x:c r="E1460" s="5" t="n">
        <x:v>6</x:v>
      </x:c>
      <x:c r="F1460" s="5" t="str">
        <x:v>R&amp;D Spend</x:v>
      </x:c>
      <x:c r="G1460" s="5" t="n">
        <x:v>1</x:v>
      </x:c>
      <x:c r="H1460" s="5" t="n">
        <x:v>1</x:v>
      </x:c>
      <x:c r="I1460" s="5" t="str">
        <x:v>SEK 18.2M</x:v>
      </x:c>
      <x:c r="J1460" s="5" t="str">
        <x:v>SOURCE QUOTE; unvalidated / superseded assessments</x:v>
      </x:c>
      <x:c r="L1460" s="31" t="str">
        <x:v>D06, Markdown line 215; http://nas-1.tail55d152.ts.net:4100/static/MEDICAL_NORDICS_FINANCIALS_DOSSIER.html</x:v>
      </x:c>
    </x:row>
    <x:row r="1461" ht="42" customHeight="1">
      <x:c r="A1461" s="5" t="str">
        <x:v>D06</x:v>
      </x:c>
      <x:c r="B1461" s="5" t="str">
        <x:v>D06-T01</x:v>
      </x:c>
      <x:c r="C1461" s="5" t="str">
        <x:v>5. Complete Company Financial Table (135 Facilities Analyzed)</x:v>
      </x:c>
      <x:c r="D1461" s="5" t="n">
        <x:v>215</x:v>
      </x:c>
      <x:c r="E1461" s="5" t="n">
        <x:v>7</x:v>
      </x:c>
      <x:c r="F1461" s="5" t="str">
        <x:v>Currency</x:v>
      </x:c>
      <x:c r="G1461" s="5" t="n">
        <x:v>1</x:v>
      </x:c>
      <x:c r="H1461" s="5" t="n">
        <x:v>1</x:v>
      </x:c>
      <x:c r="I1461" s="5" t="str">
        <x:v>SEK</x:v>
      </x:c>
      <x:c r="J1461" s="5" t="str">
        <x:v>SOURCE QUOTE; unvalidated / superseded assessments</x:v>
      </x:c>
      <x:c r="L1461" s="31" t="str">
        <x:v>D06, Markdown line 215; http://nas-1.tail55d152.ts.net:4100/static/MEDICAL_NORDICS_FINANCIALS_DOSSIER.html</x:v>
      </x:c>
    </x:row>
    <x:row r="1462" ht="42" customHeight="1">
      <x:c r="A1462" s="5" t="str">
        <x:v>D06</x:v>
      </x:c>
      <x:c r="B1462" s="5" t="str">
        <x:v>D06-T01</x:v>
      </x:c>
      <x:c r="C1462" s="5" t="str">
        <x:v>5. Complete Company Financial Table (135 Facilities Analyzed)</x:v>
      </x:c>
      <x:c r="D1462" s="5" t="n">
        <x:v>215</x:v>
      </x:c>
      <x:c r="E1462" s="5" t="n">
        <x:v>8</x:v>
      </x:c>
      <x:c r="F1462" s="5" t="str">
        <x:v>Fiscal Year</x:v>
      </x:c>
      <x:c r="G1462" s="5" t="n">
        <x:v>1</x:v>
      </x:c>
      <x:c r="H1462" s="5" t="n">
        <x:v>1</x:v>
      </x:c>
      <x:c r="I1462" s="5" t="str">
        <x:v>FY2023/24</x:v>
      </x:c>
      <x:c r="J1462" s="5" t="str">
        <x:v>SOURCE QUOTE; unvalidated / superseded assessments</x:v>
      </x:c>
      <x:c r="L1462" s="31" t="str">
        <x:v>D06, Markdown line 215; http://nas-1.tail55d152.ts.net:4100/static/MEDICAL_NORDICS_FINANCIALS_DOSSIER.html</x:v>
      </x:c>
    </x:row>
    <x:row r="1463" ht="42" customHeight="1">
      <x:c r="A1463" s="5" t="str">
        <x:v>D06</x:v>
      </x:c>
      <x:c r="B1463" s="5" t="str">
        <x:v>D06-T01</x:v>
      </x:c>
      <x:c r="C1463" s="5" t="str">
        <x:v>5. Complete Company Financial Table (135 Facilities Analyzed)</x:v>
      </x:c>
      <x:c r="D1463" s="5" t="n">
        <x:v>215</x:v>
      </x:c>
      <x:c r="E1463" s="5" t="n">
        <x:v>9</x:v>
      </x:c>
      <x:c r="F1463" s="5" t="str">
        <x:v>Status / Ownership / Strategic Service Alignment</x:v>
      </x:c>
      <x:c r="G1463" s="5" t="n">
        <x:v>1</x:v>
      </x:c>
      <x:c r="H1463" s="5" t="n">
        <x:v>1</x:v>
      </x:c>
      <x:c r="I1463" s="5" t="str">
        <x:v>Private nanotech; Package D (Upstream bioprocess yield benchmarking)</x:v>
      </x:c>
      <x:c r="J1463" s="5" t="str">
        <x:v>SOURCE QUOTE; unvalidated / superseded assessments</x:v>
      </x:c>
      <x:c r="L1463" s="31" t="str">
        <x:v>D06, Markdown line 215; http://nas-1.tail55d152.ts.net:4100/static/MEDICAL_NORDICS_FINANCIALS_DOSSIER.html</x:v>
      </x:c>
    </x:row>
    <x:row r="1464" ht="42" customHeight="1">
      <x:c r="A1464" s="5" t="str">
        <x:v>D06</x:v>
      </x:c>
      <x:c r="B1464" s="5" t="str">
        <x:v>D06-T01</x:v>
      </x:c>
      <x:c r="C1464" s="5" t="str">
        <x:v>5. Complete Company Financial Table (135 Facilities Analyzed)</x:v>
      </x:c>
      <x:c r="D1464" s="5" t="n">
        <x:v>216</x:v>
      </x:c>
      <x:c r="E1464" s="5" t="n">
        <x:v>1</x:v>
      </x:c>
      <x:c r="F1464" s="5" t="str">
        <x:v>#</x:v>
      </x:c>
      <x:c r="G1464" s="5" t="n">
        <x:v>1</x:v>
      </x:c>
      <x:c r="H1464" s="5" t="n">
        <x:v>1</x:v>
      </x:c>
      <x:c r="I1464" s="5" t="str">
        <x:v>35</x:v>
      </x:c>
      <x:c r="J1464" s="5" t="str">
        <x:v>SOURCE QUOTE; unvalidated / superseded assessments</x:v>
      </x:c>
      <x:c r="L1464" s="31" t="str">
        <x:v>D06, Markdown line 216; http://nas-1.tail55d152.ts.net:4100/static/MEDICAL_NORDICS_FINANCIALS_DOSSIER.html</x:v>
      </x:c>
    </x:row>
    <x:row r="1465" ht="42" customHeight="1">
      <x:c r="A1465" s="5" t="str">
        <x:v>D06</x:v>
      </x:c>
      <x:c r="B1465" s="5" t="str">
        <x:v>D06-T01</x:v>
      </x:c>
      <x:c r="C1465" s="5" t="str">
        <x:v>5. Complete Company Financial Table (135 Facilities Analyzed)</x:v>
      </x:c>
      <x:c r="D1465" s="5" t="n">
        <x:v>216</x:v>
      </x:c>
      <x:c r="E1465" s="5" t="n">
        <x:v>2</x:v>
      </x:c>
      <x:c r="F1465" s="5" t="str">
        <x:v>Company</x:v>
      </x:c>
      <x:c r="G1465" s="5" t="n">
        <x:v>1</x:v>
      </x:c>
      <x:c r="H1465" s="5" t="n">
        <x:v>1</x:v>
      </x:c>
      <x:c r="I1465" s="5" t="str">
        <x:v>Cytely</x:v>
      </x:c>
      <x:c r="J1465" s="5" t="str">
        <x:v>SOURCE QUOTE; unvalidated / superseded assessments</x:v>
      </x:c>
      <x:c r="L1465" s="31" t="str">
        <x:v>D06, Markdown line 216; http://nas-1.tail55d152.ts.net:4100/static/MEDICAL_NORDICS_FINANCIALS_DOSSIER.html</x:v>
      </x:c>
    </x:row>
    <x:row r="1466" ht="42" customHeight="1">
      <x:c r="A1466" s="5" t="str">
        <x:v>D06</x:v>
      </x:c>
      <x:c r="B1466" s="5" t="str">
        <x:v>D06-T01</x:v>
      </x:c>
      <x:c r="C1466" s="5" t="str">
        <x:v>5. Complete Company Financial Table (135 Facilities Analyzed)</x:v>
      </x:c>
      <x:c r="D1466" s="5" t="n">
        <x:v>216</x:v>
      </x:c>
      <x:c r="E1466" s="5" t="n">
        <x:v>3</x:v>
      </x:c>
      <x:c r="F1466" s="5" t="str">
        <x:v>Location</x:v>
      </x:c>
      <x:c r="G1466" s="5" t="n">
        <x:v>1</x:v>
      </x:c>
      <x:c r="H1466" s="5" t="n">
        <x:v>1</x:v>
      </x:c>
      <x:c r="I1466" s="5" t="str">
        <x:v>Lund, Sweden</x:v>
      </x:c>
      <x:c r="J1466" s="5" t="str">
        <x:v>SOURCE QUOTE; unvalidated / superseded assessments</x:v>
      </x:c>
      <x:c r="L1466" s="31" t="str">
        <x:v>D06, Markdown line 216; http://nas-1.tail55d152.ts.net:4100/static/MEDICAL_NORDICS_FINANCIALS_DOSSIER.html</x:v>
      </x:c>
    </x:row>
    <x:row r="1467" ht="42" customHeight="1">
      <x:c r="A1467" s="5" t="str">
        <x:v>D06</x:v>
      </x:c>
      <x:c r="B1467" s="5" t="str">
        <x:v>D06-T01</x:v>
      </x:c>
      <x:c r="C1467" s="5" t="str">
        <x:v>5. Complete Company Financial Table (135 Facilities Analyzed)</x:v>
      </x:c>
      <x:c r="D1467" s="5" t="n">
        <x:v>216</x:v>
      </x:c>
      <x:c r="E1467" s="5" t="n">
        <x:v>4</x:v>
      </x:c>
      <x:c r="F1467" s="5" t="str">
        <x:v>Focus Area</x:v>
      </x:c>
      <x:c r="G1467" s="5" t="n">
        <x:v>1</x:v>
      </x:c>
      <x:c r="H1467" s="5" t="n">
        <x:v>1</x:v>
      </x:c>
      <x:c r="I1467" s="5" t="str">
        <x:v>AI Smart Microscopy Automation</x:v>
      </x:c>
      <x:c r="J1467" s="5" t="str">
        <x:v>SOURCE QUOTE; unvalidated / superseded assessments</x:v>
      </x:c>
      <x:c r="L1467" s="31" t="str">
        <x:v>D06, Markdown line 216; http://nas-1.tail55d152.ts.net:4100/static/MEDICAL_NORDICS_FINANCIALS_DOSSIER.html</x:v>
      </x:c>
    </x:row>
    <x:row r="1468" ht="42" customHeight="1">
      <x:c r="A1468" s="5" t="str">
        <x:v>D06</x:v>
      </x:c>
      <x:c r="B1468" s="5" t="str">
        <x:v>D06-T01</x:v>
      </x:c>
      <x:c r="C1468" s="5" t="str">
        <x:v>5. Complete Company Financial Table (135 Facilities Analyzed)</x:v>
      </x:c>
      <x:c r="D1468" s="5" t="n">
        <x:v>216</x:v>
      </x:c>
      <x:c r="E1468" s="5" t="n">
        <x:v>5</x:v>
      </x:c>
      <x:c r="F1468" s="5" t="str">
        <x:v>Revenue / Net Sales</x:v>
      </x:c>
      <x:c r="G1468" s="5" t="n">
        <x:v>1</x:v>
      </x:c>
      <x:c r="H1468" s="5" t="n">
        <x:v>1</x:v>
      </x:c>
      <x:c r="I1468" s="5" t="str">
        <x:v>EUR 0.1M est.</x:v>
      </x:c>
      <x:c r="J1468" s="5" t="str">
        <x:v>SOURCE QUOTE; unvalidated / superseded assessments</x:v>
      </x:c>
      <x:c r="L1468" s="31" t="str">
        <x:v>D06, Markdown line 216; http://nas-1.tail55d152.ts.net:4100/static/MEDICAL_NORDICS_FINANCIALS_DOSSIER.html</x:v>
      </x:c>
    </x:row>
    <x:row r="1469" ht="42" customHeight="1">
      <x:c r="A1469" s="5" t="str">
        <x:v>D06</x:v>
      </x:c>
      <x:c r="B1469" s="5" t="str">
        <x:v>D06-T01</x:v>
      </x:c>
      <x:c r="C1469" s="5" t="str">
        <x:v>5. Complete Company Financial Table (135 Facilities Analyzed)</x:v>
      </x:c>
      <x:c r="D1469" s="5" t="n">
        <x:v>216</x:v>
      </x:c>
      <x:c r="E1469" s="5" t="n">
        <x:v>6</x:v>
      </x:c>
      <x:c r="F1469" s="5" t="str">
        <x:v>R&amp;D Spend</x:v>
      </x:c>
      <x:c r="G1469" s="5" t="n">
        <x:v>1</x:v>
      </x:c>
      <x:c r="H1469" s="5" t="n">
        <x:v>1</x:v>
      </x:c>
      <x:c r="I1469" s="5" t="str">
        <x:v>EUR 2.5M (~SEK 28M)</x:v>
      </x:c>
      <x:c r="J1469" s="5" t="str">
        <x:v>SOURCE QUOTE; unvalidated / superseded assessments</x:v>
      </x:c>
      <x:c r="L1469" s="31" t="str">
        <x:v>D06, Markdown line 216; http://nas-1.tail55d152.ts.net:4100/static/MEDICAL_NORDICS_FINANCIALS_DOSSIER.html</x:v>
      </x:c>
    </x:row>
    <x:row r="1470" ht="42" customHeight="1">
      <x:c r="A1470" s="5" t="str">
        <x:v>D06</x:v>
      </x:c>
      <x:c r="B1470" s="5" t="str">
        <x:v>D06-T01</x:v>
      </x:c>
      <x:c r="C1470" s="5" t="str">
        <x:v>5. Complete Company Financial Table (135 Facilities Analyzed)</x:v>
      </x:c>
      <x:c r="D1470" s="5" t="n">
        <x:v>216</x:v>
      </x:c>
      <x:c r="E1470" s="5" t="n">
        <x:v>7</x:v>
      </x:c>
      <x:c r="F1470" s="5" t="str">
        <x:v>Currency</x:v>
      </x:c>
      <x:c r="G1470" s="5" t="n">
        <x:v>1</x:v>
      </x:c>
      <x:c r="H1470" s="5" t="n">
        <x:v>1</x:v>
      </x:c>
      <x:c r="I1470" s="5" t="str">
        <x:v>EUR</x:v>
      </x:c>
      <x:c r="J1470" s="5" t="str">
        <x:v>SOURCE QUOTE; unvalidated / superseded assessments</x:v>
      </x:c>
      <x:c r="L1470" s="31" t="str">
        <x:v>D06, Markdown line 216; http://nas-1.tail55d152.ts.net:4100/static/MEDICAL_NORDICS_FINANCIALS_DOSSIER.html</x:v>
      </x:c>
    </x:row>
    <x:row r="1471" ht="42" customHeight="1">
      <x:c r="A1471" s="5" t="str">
        <x:v>D06</x:v>
      </x:c>
      <x:c r="B1471" s="5" t="str">
        <x:v>D06-T01</x:v>
      </x:c>
      <x:c r="C1471" s="5" t="str">
        <x:v>5. Complete Company Financial Table (135 Facilities Analyzed)</x:v>
      </x:c>
      <x:c r="D1471" s="5" t="n">
        <x:v>216</x:v>
      </x:c>
      <x:c r="E1471" s="5" t="n">
        <x:v>8</x:v>
      </x:c>
      <x:c r="F1471" s="5" t="str">
        <x:v>Fiscal Year</x:v>
      </x:c>
      <x:c r="G1471" s="5" t="n">
        <x:v>1</x:v>
      </x:c>
      <x:c r="H1471" s="5" t="n">
        <x:v>1</x:v>
      </x:c>
      <x:c r="I1471" s="5" t="str">
        <x:v>FY2024</x:v>
      </x:c>
      <x:c r="J1471" s="5" t="str">
        <x:v>SOURCE QUOTE; unvalidated / superseded assessments</x:v>
      </x:c>
      <x:c r="L1471" s="31" t="str">
        <x:v>D06, Markdown line 216; http://nas-1.tail55d152.ts.net:4100/static/MEDICAL_NORDICS_FINANCIALS_DOSSIER.html</x:v>
      </x:c>
    </x:row>
    <x:row r="1472" ht="42" customHeight="1">
      <x:c r="A1472" s="5" t="str">
        <x:v>D06</x:v>
      </x:c>
      <x:c r="B1472" s="5" t="str">
        <x:v>D06-T01</x:v>
      </x:c>
      <x:c r="C1472" s="5" t="str">
        <x:v>5. Complete Company Financial Table (135 Facilities Analyzed)</x:v>
      </x:c>
      <x:c r="D1472" s="5" t="n">
        <x:v>216</x:v>
      </x:c>
      <x:c r="E1472" s="5" t="n">
        <x:v>9</x:v>
      </x:c>
      <x:c r="F1472" s="5" t="str">
        <x:v>Status / Ownership / Strategic Service Alignment</x:v>
      </x:c>
      <x:c r="G1472" s="5" t="n">
        <x:v>1</x:v>
      </x:c>
      <x:c r="H1472" s="5" t="n">
        <x:v>1</x:v>
      </x:c>
      <x:c r="I1472" s="5" t="str">
        <x:v>Private AI imaging; Package E (EU AI Act diagnostic software conformity audit)</x:v>
      </x:c>
      <x:c r="J1472" s="5" t="str">
        <x:v>SOURCE QUOTE; unvalidated / superseded assessments</x:v>
      </x:c>
      <x:c r="L1472" s="31" t="str">
        <x:v>D06, Markdown line 216; http://nas-1.tail55d152.ts.net:4100/static/MEDICAL_NORDICS_FINANCIALS_DOSSIER.html</x:v>
      </x:c>
    </x:row>
    <x:row r="1473" ht="42" customHeight="1">
      <x:c r="A1473" s="5" t="str">
        <x:v>D06</x:v>
      </x:c>
      <x:c r="B1473" s="5" t="str">
        <x:v>D06-T01</x:v>
      </x:c>
      <x:c r="C1473" s="5" t="str">
        <x:v>5. Complete Company Financial Table (135 Facilities Analyzed)</x:v>
      </x:c>
      <x:c r="D1473" s="5" t="n">
        <x:v>217</x:v>
      </x:c>
      <x:c r="E1473" s="5" t="n">
        <x:v>1</x:v>
      </x:c>
      <x:c r="F1473" s="5" t="str">
        <x:v>#</x:v>
      </x:c>
      <x:c r="G1473" s="5" t="n">
        <x:v>1</x:v>
      </x:c>
      <x:c r="H1473" s="5" t="n">
        <x:v>1</x:v>
      </x:c>
      <x:c r="I1473" s="5" t="str">
        <x:v>36</x:v>
      </x:c>
      <x:c r="J1473" s="5" t="str">
        <x:v>SOURCE QUOTE; unvalidated / superseded assessments</x:v>
      </x:c>
      <x:c r="L1473" s="31" t="str">
        <x:v>D06, Markdown line 217; http://nas-1.tail55d152.ts.net:4100/static/MEDICAL_NORDICS_FINANCIALS_DOSSIER.html</x:v>
      </x:c>
    </x:row>
    <x:row r="1474" ht="42" customHeight="1">
      <x:c r="A1474" s="5" t="str">
        <x:v>D06</x:v>
      </x:c>
      <x:c r="B1474" s="5" t="str">
        <x:v>D06-T01</x:v>
      </x:c>
      <x:c r="C1474" s="5" t="str">
        <x:v>5. Complete Company Financial Table (135 Facilities Analyzed)</x:v>
      </x:c>
      <x:c r="D1474" s="5" t="n">
        <x:v>217</x:v>
      </x:c>
      <x:c r="E1474" s="5" t="n">
        <x:v>2</x:v>
      </x:c>
      <x:c r="F1474" s="5" t="str">
        <x:v>Company</x:v>
      </x:c>
      <x:c r="G1474" s="5" t="n">
        <x:v>1</x:v>
      </x:c>
      <x:c r="H1474" s="5" t="n">
        <x:v>1</x:v>
      </x:c>
      <x:c r="I1474" s="5" t="str">
        <x:v>Diagonal Bio</x:v>
      </x:c>
      <x:c r="J1474" s="5" t="str">
        <x:v>SOURCE QUOTE; unvalidated / superseded assessments</x:v>
      </x:c>
      <x:c r="L1474" s="31" t="str">
        <x:v>D06, Markdown line 217; http://nas-1.tail55d152.ts.net:4100/static/MEDICAL_NORDICS_FINANCIALS_DOSSIER.html</x:v>
      </x:c>
    </x:row>
    <x:row r="1475" ht="42" customHeight="1">
      <x:c r="A1475" s="5" t="str">
        <x:v>D06</x:v>
      </x:c>
      <x:c r="B1475" s="5" t="str">
        <x:v>D06-T01</x:v>
      </x:c>
      <x:c r="C1475" s="5" t="str">
        <x:v>5. Complete Company Financial Table (135 Facilities Analyzed)</x:v>
      </x:c>
      <x:c r="D1475" s="5" t="n">
        <x:v>217</x:v>
      </x:c>
      <x:c r="E1475" s="5" t="n">
        <x:v>3</x:v>
      </x:c>
      <x:c r="F1475" s="5" t="str">
        <x:v>Location</x:v>
      </x:c>
      <x:c r="G1475" s="5" t="n">
        <x:v>1</x:v>
      </x:c>
      <x:c r="H1475" s="5" t="n">
        <x:v>1</x:v>
      </x:c>
      <x:c r="I1475" s="5" t="str">
        <x:v>Lund, Sweden</x:v>
      </x:c>
      <x:c r="J1475" s="5" t="str">
        <x:v>SOURCE QUOTE; unvalidated / superseded assessments</x:v>
      </x:c>
      <x:c r="L1475" s="31" t="str">
        <x:v>D06, Markdown line 217; http://nas-1.tail55d152.ts.net:4100/static/MEDICAL_NORDICS_FINANCIALS_DOSSIER.html</x:v>
      </x:c>
    </x:row>
    <x:row r="1476" ht="42" customHeight="1">
      <x:c r="A1476" s="5" t="str">
        <x:v>D06</x:v>
      </x:c>
      <x:c r="B1476" s="5" t="str">
        <x:v>D06-T01</x:v>
      </x:c>
      <x:c r="C1476" s="5" t="str">
        <x:v>5. Complete Company Financial Table (135 Facilities Analyzed)</x:v>
      </x:c>
      <x:c r="D1476" s="5" t="n">
        <x:v>217</x:v>
      </x:c>
      <x:c r="E1476" s="5" t="n">
        <x:v>4</x:v>
      </x:c>
      <x:c r="F1476" s="5" t="str">
        <x:v>Focus Area</x:v>
      </x:c>
      <x:c r="G1476" s="5" t="n">
        <x:v>1</x:v>
      </x:c>
      <x:c r="H1476" s="5" t="n">
        <x:v>1</x:v>
      </x:c>
      <x:c r="I1476" s="5" t="str">
        <x:v>Rapid Molecular Pathogen Testing</x:v>
      </x:c>
      <x:c r="J1476" s="5" t="str">
        <x:v>SOURCE QUOTE; unvalidated / superseded assessments</x:v>
      </x:c>
      <x:c r="L1476" s="31" t="str">
        <x:v>D06, Markdown line 217; http://nas-1.tail55d152.ts.net:4100/static/MEDICAL_NORDICS_FINANCIALS_DOSSIER.html</x:v>
      </x:c>
    </x:row>
    <x:row r="1477" ht="42" customHeight="1">
      <x:c r="A1477" s="5" t="str">
        <x:v>D06</x:v>
      </x:c>
      <x:c r="B1477" s="5" t="str">
        <x:v>D06-T01</x:v>
      </x:c>
      <x:c r="C1477" s="5" t="str">
        <x:v>5. Complete Company Financial Table (135 Facilities Analyzed)</x:v>
      </x:c>
      <x:c r="D1477" s="5" t="n">
        <x:v>217</x:v>
      </x:c>
      <x:c r="E1477" s="5" t="n">
        <x:v>5</x:v>
      </x:c>
      <x:c r="F1477" s="5" t="str">
        <x:v>Revenue / Net Sales</x:v>
      </x:c>
      <x:c r="G1477" s="5" t="n">
        <x:v>1</x:v>
      </x:c>
      <x:c r="H1477" s="5" t="n">
        <x:v>1</x:v>
      </x:c>
      <x:c r="I1477" s="5" t="str">
        <x:v>SEK 2.7M</x:v>
      </x:c>
      <x:c r="J1477" s="5" t="str">
        <x:v>SOURCE QUOTE; unvalidated / superseded assessments</x:v>
      </x:c>
      <x:c r="L1477" s="31" t="str">
        <x:v>D06, Markdown line 217; http://nas-1.tail55d152.ts.net:4100/static/MEDICAL_NORDICS_FINANCIALS_DOSSIER.html</x:v>
      </x:c>
    </x:row>
    <x:row r="1478" ht="42" customHeight="1">
      <x:c r="A1478" s="5" t="str">
        <x:v>D06</x:v>
      </x:c>
      <x:c r="B1478" s="5" t="str">
        <x:v>D06-T01</x:v>
      </x:c>
      <x:c r="C1478" s="5" t="str">
        <x:v>5. Complete Company Financial Table (135 Facilities Analyzed)</x:v>
      </x:c>
      <x:c r="D1478" s="5" t="n">
        <x:v>217</x:v>
      </x:c>
      <x:c r="E1478" s="5" t="n">
        <x:v>6</x:v>
      </x:c>
      <x:c r="F1478" s="5" t="str">
        <x:v>R&amp;D Spend</x:v>
      </x:c>
      <x:c r="G1478" s="5" t="n">
        <x:v>1</x:v>
      </x:c>
      <x:c r="H1478" s="5" t="n">
        <x:v>1</x:v>
      </x:c>
      <x:c r="I1478" s="5" t="str">
        <x:v>SEK 14.2M</x:v>
      </x:c>
      <x:c r="J1478" s="5" t="str">
        <x:v>SOURCE QUOTE; unvalidated / superseded assessments</x:v>
      </x:c>
      <x:c r="L1478" s="31" t="str">
        <x:v>D06, Markdown line 217; http://nas-1.tail55d152.ts.net:4100/static/MEDICAL_NORDICS_FINANCIALS_DOSSIER.html</x:v>
      </x:c>
    </x:row>
    <x:row r="1479" ht="42" customHeight="1">
      <x:c r="A1479" s="5" t="str">
        <x:v>D06</x:v>
      </x:c>
      <x:c r="B1479" s="5" t="str">
        <x:v>D06-T01</x:v>
      </x:c>
      <x:c r="C1479" s="5" t="str">
        <x:v>5. Complete Company Financial Table (135 Facilities Analyzed)</x:v>
      </x:c>
      <x:c r="D1479" s="5" t="n">
        <x:v>217</x:v>
      </x:c>
      <x:c r="E1479" s="5" t="n">
        <x:v>7</x:v>
      </x:c>
      <x:c r="F1479" s="5" t="str">
        <x:v>Currency</x:v>
      </x:c>
      <x:c r="G1479" s="5" t="n">
        <x:v>1</x:v>
      </x:c>
      <x:c r="H1479" s="5" t="n">
        <x:v>1</x:v>
      </x:c>
      <x:c r="I1479" s="5" t="str">
        <x:v>SEK</x:v>
      </x:c>
      <x:c r="J1479" s="5" t="str">
        <x:v>SOURCE QUOTE; unvalidated / superseded assessments</x:v>
      </x:c>
      <x:c r="L1479" s="31" t="str">
        <x:v>D06, Markdown line 217; http://nas-1.tail55d152.ts.net:4100/static/MEDICAL_NORDICS_FINANCIALS_DOSSIER.html</x:v>
      </x:c>
    </x:row>
    <x:row r="1480" ht="42" customHeight="1">
      <x:c r="A1480" s="5" t="str">
        <x:v>D06</x:v>
      </x:c>
      <x:c r="B1480" s="5" t="str">
        <x:v>D06-T01</x:v>
      </x:c>
      <x:c r="C1480" s="5" t="str">
        <x:v>5. Complete Company Financial Table (135 Facilities Analyzed)</x:v>
      </x:c>
      <x:c r="D1480" s="5" t="n">
        <x:v>217</x:v>
      </x:c>
      <x:c r="E1480" s="5" t="n">
        <x:v>8</x:v>
      </x:c>
      <x:c r="F1480" s="5" t="str">
        <x:v>Fiscal Year</x:v>
      </x:c>
      <x:c r="G1480" s="5" t="n">
        <x:v>1</x:v>
      </x:c>
      <x:c r="H1480" s="5" t="n">
        <x:v>1</x:v>
      </x:c>
      <x:c r="I1480" s="5" t="str">
        <x:v>FY2023/24</x:v>
      </x:c>
      <x:c r="J1480" s="5" t="str">
        <x:v>SOURCE QUOTE; unvalidated / superseded assessments</x:v>
      </x:c>
      <x:c r="L1480" s="31" t="str">
        <x:v>D06, Markdown line 217; http://nas-1.tail55d152.ts.net:4100/static/MEDICAL_NORDICS_FINANCIALS_DOSSIER.html</x:v>
      </x:c>
    </x:row>
    <x:row r="1481" ht="42" customHeight="1">
      <x:c r="A1481" s="5" t="str">
        <x:v>D06</x:v>
      </x:c>
      <x:c r="B1481" s="5" t="str">
        <x:v>D06-T01</x:v>
      </x:c>
      <x:c r="C1481" s="5" t="str">
        <x:v>5. Complete Company Financial Table (135 Facilities Analyzed)</x:v>
      </x:c>
      <x:c r="D1481" s="5" t="n">
        <x:v>217</x:v>
      </x:c>
      <x:c r="E1481" s="5" t="n">
        <x:v>9</x:v>
      </x:c>
      <x:c r="F1481" s="5" t="str">
        <x:v>Status / Ownership / Strategic Service Alignment</x:v>
      </x:c>
      <x:c r="G1481" s="5" t="n">
        <x:v>1</x:v>
      </x:c>
      <x:c r="H1481" s="5" t="n">
        <x:v>1</x:v>
      </x:c>
      <x:c r="I1481" s="5" t="str">
        <x:v>Listed (First North: DIA BIO); Package A (LAMPlify POC hospital emergency ROI models)</x:v>
      </x:c>
      <x:c r="J1481" s="5" t="str">
        <x:v>SOURCE QUOTE; unvalidated / superseded assessments</x:v>
      </x:c>
      <x:c r="L1481" s="31" t="str">
        <x:v>D06, Markdown line 217; http://nas-1.tail55d152.ts.net:4100/static/MEDICAL_NORDICS_FINANCIALS_DOSSIER.html</x:v>
      </x:c>
    </x:row>
    <x:row r="1482" ht="42" customHeight="1">
      <x:c r="A1482" s="5" t="str">
        <x:v>D06</x:v>
      </x:c>
      <x:c r="B1482" s="5" t="str">
        <x:v>D06-T01</x:v>
      </x:c>
      <x:c r="C1482" s="5" t="str">
        <x:v>5. Complete Company Financial Table (135 Facilities Analyzed)</x:v>
      </x:c>
      <x:c r="D1482" s="5" t="n">
        <x:v>218</x:v>
      </x:c>
      <x:c r="E1482" s="5" t="n">
        <x:v>1</x:v>
      </x:c>
      <x:c r="F1482" s="5" t="str">
        <x:v>#</x:v>
      </x:c>
      <x:c r="G1482" s="5" t="n">
        <x:v>1</x:v>
      </x:c>
      <x:c r="H1482" s="5" t="n">
        <x:v>1</x:v>
      </x:c>
      <x:c r="I1482" s="5" t="str">
        <x:v>37</x:v>
      </x:c>
      <x:c r="J1482" s="5" t="str">
        <x:v>SOURCE QUOTE; unvalidated / superseded assessments</x:v>
      </x:c>
      <x:c r="L1482" s="31" t="str">
        <x:v>D06, Markdown line 218; http://nas-1.tail55d152.ts.net:4100/static/MEDICAL_NORDICS_FINANCIALS_DOSSIER.html</x:v>
      </x:c>
    </x:row>
    <x:row r="1483" ht="42" customHeight="1">
      <x:c r="A1483" s="5" t="str">
        <x:v>D06</x:v>
      </x:c>
      <x:c r="B1483" s="5" t="str">
        <x:v>D06-T01</x:v>
      </x:c>
      <x:c r="C1483" s="5" t="str">
        <x:v>5. Complete Company Financial Table (135 Facilities Analyzed)</x:v>
      </x:c>
      <x:c r="D1483" s="5" t="n">
        <x:v>218</x:v>
      </x:c>
      <x:c r="E1483" s="5" t="n">
        <x:v>2</x:v>
      </x:c>
      <x:c r="F1483" s="5" t="str">
        <x:v>Company</x:v>
      </x:c>
      <x:c r="G1483" s="5" t="n">
        <x:v>1</x:v>
      </x:c>
      <x:c r="H1483" s="5" t="n">
        <x:v>1</x:v>
      </x:c>
      <x:c r="I1483" s="5" t="str">
        <x:v>DIGNITANA</x:v>
      </x:c>
      <x:c r="J1483" s="5" t="str">
        <x:v>SOURCE QUOTE; unvalidated / superseded assessments</x:v>
      </x:c>
      <x:c r="L1483" s="31" t="str">
        <x:v>D06, Markdown line 218; http://nas-1.tail55d152.ts.net:4100/static/MEDICAL_NORDICS_FINANCIALS_DOSSIER.html</x:v>
      </x:c>
    </x:row>
    <x:row r="1484" ht="42" customHeight="1">
      <x:c r="A1484" s="5" t="str">
        <x:v>D06</x:v>
      </x:c>
      <x:c r="B1484" s="5" t="str">
        <x:v>D06-T01</x:v>
      </x:c>
      <x:c r="C1484" s="5" t="str">
        <x:v>5. Complete Company Financial Table (135 Facilities Analyzed)</x:v>
      </x:c>
      <x:c r="D1484" s="5" t="n">
        <x:v>218</x:v>
      </x:c>
      <x:c r="E1484" s="5" t="n">
        <x:v>3</x:v>
      </x:c>
      <x:c r="F1484" s="5" t="str">
        <x:v>Location</x:v>
      </x:c>
      <x:c r="G1484" s="5" t="n">
        <x:v>1</x:v>
      </x:c>
      <x:c r="H1484" s="5" t="n">
        <x:v>1</x:v>
      </x:c>
      <x:c r="I1484" s="5" t="str">
        <x:v>Lund, Sweden</x:v>
      </x:c>
      <x:c r="J1484" s="5" t="str">
        <x:v>SOURCE QUOTE; unvalidated / superseded assessments</x:v>
      </x:c>
      <x:c r="L1484" s="31" t="str">
        <x:v>D06, Markdown line 218; http://nas-1.tail55d152.ts.net:4100/static/MEDICAL_NORDICS_FINANCIALS_DOSSIER.html</x:v>
      </x:c>
    </x:row>
    <x:row r="1485" ht="42" customHeight="1">
      <x:c r="A1485" s="5" t="str">
        <x:v>D06</x:v>
      </x:c>
      <x:c r="B1485" s="5" t="str">
        <x:v>D06-T01</x:v>
      </x:c>
      <x:c r="C1485" s="5" t="str">
        <x:v>5. Complete Company Financial Table (135 Facilities Analyzed)</x:v>
      </x:c>
      <x:c r="D1485" s="5" t="n">
        <x:v>218</x:v>
      </x:c>
      <x:c r="E1485" s="5" t="n">
        <x:v>4</x:v>
      </x:c>
      <x:c r="F1485" s="5" t="str">
        <x:v>Focus Area</x:v>
      </x:c>
      <x:c r="G1485" s="5" t="n">
        <x:v>1</x:v>
      </x:c>
      <x:c r="H1485" s="5" t="n">
        <x:v>1</x:v>
      </x:c>
      <x:c r="I1485" s="5" t="str">
        <x:v>DigniCap Scalp Cooling Systems</x:v>
      </x:c>
      <x:c r="J1485" s="5" t="str">
        <x:v>SOURCE QUOTE; unvalidated / superseded assessments</x:v>
      </x:c>
      <x:c r="L1485" s="31" t="str">
        <x:v>D06, Markdown line 218; http://nas-1.tail55d152.ts.net:4100/static/MEDICAL_NORDICS_FINANCIALS_DOSSIER.html</x:v>
      </x:c>
    </x:row>
    <x:row r="1486" ht="42" customHeight="1">
      <x:c r="A1486" s="5" t="str">
        <x:v>D06</x:v>
      </x:c>
      <x:c r="B1486" s="5" t="str">
        <x:v>D06-T01</x:v>
      </x:c>
      <x:c r="C1486" s="5" t="str">
        <x:v>5. Complete Company Financial Table (135 Facilities Analyzed)</x:v>
      </x:c>
      <x:c r="D1486" s="5" t="n">
        <x:v>218</x:v>
      </x:c>
      <x:c r="E1486" s="5" t="n">
        <x:v>5</x:v>
      </x:c>
      <x:c r="F1486" s="5" t="str">
        <x:v>Revenue / Net Sales</x:v>
      </x:c>
      <x:c r="G1486" s="5" t="n">
        <x:v>1</x:v>
      </x:c>
      <x:c r="H1486" s="5" t="n">
        <x:v>1</x:v>
      </x:c>
      <x:c r="I1486" s="5" t="str">
        <x:v>SEK 91.8M (FY23; ~88M FY24)</x:v>
      </x:c>
      <x:c r="J1486" s="5" t="str">
        <x:v>SOURCE QUOTE; unvalidated / superseded assessments</x:v>
      </x:c>
      <x:c r="L1486" s="31" t="str">
        <x:v>D06, Markdown line 218; http://nas-1.tail55d152.ts.net:4100/static/MEDICAL_NORDICS_FINANCIALS_DOSSIER.html</x:v>
      </x:c>
    </x:row>
    <x:row r="1487" ht="42" customHeight="1">
      <x:c r="A1487" s="5" t="str">
        <x:v>D06</x:v>
      </x:c>
      <x:c r="B1487" s="5" t="str">
        <x:v>D06-T01</x:v>
      </x:c>
      <x:c r="C1487" s="5" t="str">
        <x:v>5. Complete Company Financial Table (135 Facilities Analyzed)</x:v>
      </x:c>
      <x:c r="D1487" s="5" t="n">
        <x:v>218</x:v>
      </x:c>
      <x:c r="E1487" s="5" t="n">
        <x:v>6</x:v>
      </x:c>
      <x:c r="F1487" s="5" t="str">
        <x:v>R&amp;D Spend</x:v>
      </x:c>
      <x:c r="G1487" s="5" t="n">
        <x:v>1</x:v>
      </x:c>
      <x:c r="H1487" s="5" t="n">
        <x:v>1</x:v>
      </x:c>
      <x:c r="I1487" s="5" t="str">
        <x:v>SEK 16.5M</x:v>
      </x:c>
      <x:c r="J1487" s="5" t="str">
        <x:v>SOURCE QUOTE; unvalidated / superseded assessments</x:v>
      </x:c>
      <x:c r="L1487" s="31" t="str">
        <x:v>D06, Markdown line 218; http://nas-1.tail55d152.ts.net:4100/static/MEDICAL_NORDICS_FINANCIALS_DOSSIER.html</x:v>
      </x:c>
    </x:row>
    <x:row r="1488" ht="42" customHeight="1">
      <x:c r="A1488" s="5" t="str">
        <x:v>D06</x:v>
      </x:c>
      <x:c r="B1488" s="5" t="str">
        <x:v>D06-T01</x:v>
      </x:c>
      <x:c r="C1488" s="5" t="str">
        <x:v>5. Complete Company Financial Table (135 Facilities Analyzed)</x:v>
      </x:c>
      <x:c r="D1488" s="5" t="n">
        <x:v>218</x:v>
      </x:c>
      <x:c r="E1488" s="5" t="n">
        <x:v>7</x:v>
      </x:c>
      <x:c r="F1488" s="5" t="str">
        <x:v>Currency</x:v>
      </x:c>
      <x:c r="G1488" s="5" t="n">
        <x:v>1</x:v>
      </x:c>
      <x:c r="H1488" s="5" t="n">
        <x:v>1</x:v>
      </x:c>
      <x:c r="I1488" s="5" t="str">
        <x:v>SEK</x:v>
      </x:c>
      <x:c r="J1488" s="5" t="str">
        <x:v>SOURCE QUOTE; unvalidated / superseded assessments</x:v>
      </x:c>
      <x:c r="L1488" s="31" t="str">
        <x:v>D06, Markdown line 218; http://nas-1.tail55d152.ts.net:4100/static/MEDICAL_NORDICS_FINANCIALS_DOSSIER.html</x:v>
      </x:c>
    </x:row>
    <x:row r="1489" ht="42" customHeight="1">
      <x:c r="A1489" s="5" t="str">
        <x:v>D06</x:v>
      </x:c>
      <x:c r="B1489" s="5" t="str">
        <x:v>D06-T01</x:v>
      </x:c>
      <x:c r="C1489" s="5" t="str">
        <x:v>5. Complete Company Financial Table (135 Facilities Analyzed)</x:v>
      </x:c>
      <x:c r="D1489" s="5" t="n">
        <x:v>218</x:v>
      </x:c>
      <x:c r="E1489" s="5" t="n">
        <x:v>8</x:v>
      </x:c>
      <x:c r="F1489" s="5" t="str">
        <x:v>Fiscal Year</x:v>
      </x:c>
      <x:c r="G1489" s="5" t="n">
        <x:v>1</x:v>
      </x:c>
      <x:c r="H1489" s="5" t="n">
        <x:v>1</x:v>
      </x:c>
      <x:c r="I1489" s="5" t="str">
        <x:v>FY2023/24</x:v>
      </x:c>
      <x:c r="J1489" s="5" t="str">
        <x:v>SOURCE QUOTE; unvalidated / superseded assessments</x:v>
      </x:c>
      <x:c r="L1489" s="31" t="str">
        <x:v>D06, Markdown line 218; http://nas-1.tail55d152.ts.net:4100/static/MEDICAL_NORDICS_FINANCIALS_DOSSIER.html</x:v>
      </x:c>
    </x:row>
    <x:row r="1490" ht="42" customHeight="1">
      <x:c r="A1490" s="5" t="str">
        <x:v>D06</x:v>
      </x:c>
      <x:c r="B1490" s="5" t="str">
        <x:v>D06-T01</x:v>
      </x:c>
      <x:c r="C1490" s="5" t="str">
        <x:v>5. Complete Company Financial Table (135 Facilities Analyzed)</x:v>
      </x:c>
      <x:c r="D1490" s="5" t="n">
        <x:v>218</x:v>
      </x:c>
      <x:c r="E1490" s="5" t="n">
        <x:v>9</x:v>
      </x:c>
      <x:c r="F1490" s="5" t="str">
        <x:v>Status / Ownership / Strategic Service Alignment</x:v>
      </x:c>
      <x:c r="G1490" s="5" t="n">
        <x:v>1</x:v>
      </x:c>
      <x:c r="H1490" s="5" t="n">
        <x:v>1</x:v>
      </x:c>
      <x:c r="I1490" s="5" t="str">
        <x:v>Listed (First North: DIGN); Package A (Hospital oncology infusion center DaaS)</x:v>
      </x:c>
      <x:c r="J1490" s="5" t="str">
        <x:v>SOURCE QUOTE; unvalidated / superseded assessments</x:v>
      </x:c>
      <x:c r="L1490" s="31" t="str">
        <x:v>D06, Markdown line 218; http://nas-1.tail55d152.ts.net:4100/static/MEDICAL_NORDICS_FINANCIALS_DOSSIER.html</x:v>
      </x:c>
    </x:row>
    <x:row r="1491" ht="42" customHeight="1">
      <x:c r="A1491" s="5" t="str">
        <x:v>D06</x:v>
      </x:c>
      <x:c r="B1491" s="5" t="str">
        <x:v>D06-T01</x:v>
      </x:c>
      <x:c r="C1491" s="5" t="str">
        <x:v>5. Complete Company Financial Table (135 Facilities Analyzed)</x:v>
      </x:c>
      <x:c r="D1491" s="5" t="n">
        <x:v>219</x:v>
      </x:c>
      <x:c r="E1491" s="5" t="n">
        <x:v>1</x:v>
      </x:c>
      <x:c r="F1491" s="5" t="str">
        <x:v>#</x:v>
      </x:c>
      <x:c r="G1491" s="5" t="n">
        <x:v>1</x:v>
      </x:c>
      <x:c r="H1491" s="5" t="n">
        <x:v>1</x:v>
      </x:c>
      <x:c r="I1491" s="5" t="str">
        <x:v>38</x:v>
      </x:c>
      <x:c r="J1491" s="5" t="str">
        <x:v>SOURCE QUOTE; unvalidated / superseded assessments</x:v>
      </x:c>
      <x:c r="L1491" s="31" t="str">
        <x:v>D06, Markdown line 219; http://nas-1.tail55d152.ts.net:4100/static/MEDICAL_NORDICS_FINANCIALS_DOSSIER.html</x:v>
      </x:c>
    </x:row>
    <x:row r="1492" ht="42" customHeight="1">
      <x:c r="A1492" s="5" t="str">
        <x:v>D06</x:v>
      </x:c>
      <x:c r="B1492" s="5" t="str">
        <x:v>D06-T01</x:v>
      </x:c>
      <x:c r="C1492" s="5" t="str">
        <x:v>5. Complete Company Financial Table (135 Facilities Analyzed)</x:v>
      </x:c>
      <x:c r="D1492" s="5" t="n">
        <x:v>219</x:v>
      </x:c>
      <x:c r="E1492" s="5" t="n">
        <x:v>2</x:v>
      </x:c>
      <x:c r="F1492" s="5" t="str">
        <x:v>Company</x:v>
      </x:c>
      <x:c r="G1492" s="5" t="n">
        <x:v>1</x:v>
      </x:c>
      <x:c r="H1492" s="5" t="n">
        <x:v>1</x:v>
      </x:c>
      <x:c r="I1492" s="5" t="str">
        <x:v>EQL Pharma</x:v>
      </x:c>
      <x:c r="J1492" s="5" t="str">
        <x:v>SOURCE QUOTE; unvalidated / superseded assessments</x:v>
      </x:c>
      <x:c r="L1492" s="31" t="str">
        <x:v>D06, Markdown line 219; http://nas-1.tail55d152.ts.net:4100/static/MEDICAL_NORDICS_FINANCIALS_DOSSIER.html</x:v>
      </x:c>
    </x:row>
    <x:row r="1493" ht="42" customHeight="1">
      <x:c r="A1493" s="5" t="str">
        <x:v>D06</x:v>
      </x:c>
      <x:c r="B1493" s="5" t="str">
        <x:v>D06-T01</x:v>
      </x:c>
      <x:c r="C1493" s="5" t="str">
        <x:v>5. Complete Company Financial Table (135 Facilities Analyzed)</x:v>
      </x:c>
      <x:c r="D1493" s="5" t="n">
        <x:v>219</x:v>
      </x:c>
      <x:c r="E1493" s="5" t="n">
        <x:v>3</x:v>
      </x:c>
      <x:c r="F1493" s="5" t="str">
        <x:v>Location</x:v>
      </x:c>
      <x:c r="G1493" s="5" t="n">
        <x:v>1</x:v>
      </x:c>
      <x:c r="H1493" s="5" t="n">
        <x:v>1</x:v>
      </x:c>
      <x:c r="I1493" s="5" t="str">
        <x:v>Lund, Sweden</x:v>
      </x:c>
      <x:c r="J1493" s="5" t="str">
        <x:v>SOURCE QUOTE; unvalidated / superseded assessments</x:v>
      </x:c>
      <x:c r="L1493" s="31" t="str">
        <x:v>D06, Markdown line 219; http://nas-1.tail55d152.ts.net:4100/static/MEDICAL_NORDICS_FINANCIALS_DOSSIER.html</x:v>
      </x:c>
    </x:row>
    <x:row r="1494" ht="42" customHeight="1">
      <x:c r="A1494" s="5" t="str">
        <x:v>D06</x:v>
      </x:c>
      <x:c r="B1494" s="5" t="str">
        <x:v>D06-T01</x:v>
      </x:c>
      <x:c r="C1494" s="5" t="str">
        <x:v>5. Complete Company Financial Table (135 Facilities Analyzed)</x:v>
      </x:c>
      <x:c r="D1494" s="5" t="n">
        <x:v>219</x:v>
      </x:c>
      <x:c r="E1494" s="5" t="n">
        <x:v>4</x:v>
      </x:c>
      <x:c r="F1494" s="5" t="str">
        <x:v>Focus Area</x:v>
      </x:c>
      <x:c r="G1494" s="5" t="n">
        <x:v>1</x:v>
      </x:c>
      <x:c r="H1494" s="5" t="n">
        <x:v>1</x:v>
      </x:c>
      <x:c r="I1494" s="5" t="str">
        <x:v>Specialty &amp; Niche Generics</x:v>
      </x:c>
      <x:c r="J1494" s="5" t="str">
        <x:v>SOURCE QUOTE; unvalidated / superseded assessments</x:v>
      </x:c>
      <x:c r="L1494" s="31" t="str">
        <x:v>D06, Markdown line 219; http://nas-1.tail55d152.ts.net:4100/static/MEDICAL_NORDICS_FINANCIALS_DOSSIER.html</x:v>
      </x:c>
    </x:row>
    <x:row r="1495" ht="42" customHeight="1">
      <x:c r="A1495" s="5" t="str">
        <x:v>D06</x:v>
      </x:c>
      <x:c r="B1495" s="5" t="str">
        <x:v>D06-T01</x:v>
      </x:c>
      <x:c r="C1495" s="5" t="str">
        <x:v>5. Complete Company Financial Table (135 Facilities Analyzed)</x:v>
      </x:c>
      <x:c r="D1495" s="5" t="n">
        <x:v>219</x:v>
      </x:c>
      <x:c r="E1495" s="5" t="n">
        <x:v>5</x:v>
      </x:c>
      <x:c r="F1495" s="5" t="str">
        <x:v>Revenue / Net Sales</x:v>
      </x:c>
      <x:c r="G1495" s="5" t="n">
        <x:v>1</x:v>
      </x:c>
      <x:c r="H1495" s="5" t="n">
        <x:v>1</x:v>
      </x:c>
      <x:c r="I1495" s="5" t="str">
        <x:v>SEK 373.5M (SEK 302M FY23)</x:v>
      </x:c>
      <x:c r="J1495" s="5" t="str">
        <x:v>SOURCE QUOTE; unvalidated / superseded assessments</x:v>
      </x:c>
      <x:c r="L1495" s="31" t="str">
        <x:v>D06, Markdown line 219; http://nas-1.tail55d152.ts.net:4100/static/MEDICAL_NORDICS_FINANCIALS_DOSSIER.html</x:v>
      </x:c>
    </x:row>
    <x:row r="1496" ht="42" customHeight="1">
      <x:c r="A1496" s="5" t="str">
        <x:v>D06</x:v>
      </x:c>
      <x:c r="B1496" s="5" t="str">
        <x:v>D06-T01</x:v>
      </x:c>
      <x:c r="C1496" s="5" t="str">
        <x:v>5. Complete Company Financial Table (135 Facilities Analyzed)</x:v>
      </x:c>
      <x:c r="D1496" s="5" t="n">
        <x:v>219</x:v>
      </x:c>
      <x:c r="E1496" s="5" t="n">
        <x:v>6</x:v>
      </x:c>
      <x:c r="F1496" s="5" t="str">
        <x:v>R&amp;D Spend</x:v>
      </x:c>
      <x:c r="G1496" s="5" t="n">
        <x:v>1</x:v>
      </x:c>
      <x:c r="H1496" s="5" t="n">
        <x:v>1</x:v>
      </x:c>
      <x:c r="I1496" s="5" t="str">
        <x:v>SEK 28.6M</x:v>
      </x:c>
      <x:c r="J1496" s="5" t="str">
        <x:v>SOURCE QUOTE; unvalidated / superseded assessments</x:v>
      </x:c>
      <x:c r="L1496" s="31" t="str">
        <x:v>D06, Markdown line 219; http://nas-1.tail55d152.ts.net:4100/static/MEDICAL_NORDICS_FINANCIALS_DOSSIER.html</x:v>
      </x:c>
    </x:row>
    <x:row r="1497" ht="42" customHeight="1">
      <x:c r="A1497" s="5" t="str">
        <x:v>D06</x:v>
      </x:c>
      <x:c r="B1497" s="5" t="str">
        <x:v>D06-T01</x:v>
      </x:c>
      <x:c r="C1497" s="5" t="str">
        <x:v>5. Complete Company Financial Table (135 Facilities Analyzed)</x:v>
      </x:c>
      <x:c r="D1497" s="5" t="n">
        <x:v>219</x:v>
      </x:c>
      <x:c r="E1497" s="5" t="n">
        <x:v>7</x:v>
      </x:c>
      <x:c r="F1497" s="5" t="str">
        <x:v>Currency</x:v>
      </x:c>
      <x:c r="G1497" s="5" t="n">
        <x:v>1</x:v>
      </x:c>
      <x:c r="H1497" s="5" t="n">
        <x:v>1</x:v>
      </x:c>
      <x:c r="I1497" s="5" t="str">
        <x:v>SEK</x:v>
      </x:c>
      <x:c r="J1497" s="5" t="str">
        <x:v>SOURCE QUOTE; unvalidated / superseded assessments</x:v>
      </x:c>
      <x:c r="L1497" s="31" t="str">
        <x:v>D06, Markdown line 219; http://nas-1.tail55d152.ts.net:4100/static/MEDICAL_NORDICS_FINANCIALS_DOSSIER.html</x:v>
      </x:c>
    </x:row>
    <x:row r="1498" ht="42" customHeight="1">
      <x:c r="A1498" s="5" t="str">
        <x:v>D06</x:v>
      </x:c>
      <x:c r="B1498" s="5" t="str">
        <x:v>D06-T01</x:v>
      </x:c>
      <x:c r="C1498" s="5" t="str">
        <x:v>5. Complete Company Financial Table (135 Facilities Analyzed)</x:v>
      </x:c>
      <x:c r="D1498" s="5" t="n">
        <x:v>219</x:v>
      </x:c>
      <x:c r="E1498" s="5" t="n">
        <x:v>8</x:v>
      </x:c>
      <x:c r="F1498" s="5" t="str">
        <x:v>Fiscal Year</x:v>
      </x:c>
      <x:c r="G1498" s="5" t="n">
        <x:v>1</x:v>
      </x:c>
      <x:c r="H1498" s="5" t="n">
        <x:v>1</x:v>
      </x:c>
      <x:c r="I1498" s="5" t="str">
        <x:v>FY2024/25</x:v>
      </x:c>
      <x:c r="J1498" s="5" t="str">
        <x:v>SOURCE QUOTE; unvalidated / superseded assessments</x:v>
      </x:c>
      <x:c r="L1498" s="31" t="str">
        <x:v>D06, Markdown line 219; http://nas-1.tail55d152.ts.net:4100/static/MEDICAL_NORDICS_FINANCIALS_DOSSIER.html</x:v>
      </x:c>
    </x:row>
    <x:row r="1499" ht="42" customHeight="1">
      <x:c r="A1499" s="5" t="str">
        <x:v>D06</x:v>
      </x:c>
      <x:c r="B1499" s="5" t="str">
        <x:v>D06-T01</x:v>
      </x:c>
      <x:c r="C1499" s="5" t="str">
        <x:v>5. Complete Company Financial Table (135 Facilities Analyzed)</x:v>
      </x:c>
      <x:c r="D1499" s="5" t="n">
        <x:v>219</x:v>
      </x:c>
      <x:c r="E1499" s="5" t="n">
        <x:v>9</x:v>
      </x:c>
      <x:c r="F1499" s="5" t="str">
        <x:v>Status / Ownership / Strategic Service Alignment</x:v>
      </x:c>
      <x:c r="G1499" s="5" t="n">
        <x:v>1</x:v>
      </x:c>
      <x:c r="H1499" s="5" t="n">
        <x:v>1</x:v>
      </x:c>
      <x:c r="I1499" s="5" t="str">
        <x:v>Listed (Nasdaq: EQL); Package C (Tender pricing analytics &amp; stockist sales tracking)</x:v>
      </x:c>
      <x:c r="J1499" s="5" t="str">
        <x:v>SOURCE QUOTE; unvalidated / superseded assessments</x:v>
      </x:c>
      <x:c r="L1499" s="31" t="str">
        <x:v>D06, Markdown line 219; http://nas-1.tail55d152.ts.net:4100/static/MEDICAL_NORDICS_FINANCIALS_DOSSIER.html</x:v>
      </x:c>
    </x:row>
    <x:row r="1500" ht="42" customHeight="1">
      <x:c r="A1500" s="5" t="str">
        <x:v>D06</x:v>
      </x:c>
      <x:c r="B1500" s="5" t="str">
        <x:v>D06-T01</x:v>
      </x:c>
      <x:c r="C1500" s="5" t="str">
        <x:v>5. Complete Company Financial Table (135 Facilities Analyzed)</x:v>
      </x:c>
      <x:c r="D1500" s="5" t="n">
        <x:v>220</x:v>
      </x:c>
      <x:c r="E1500" s="5" t="n">
        <x:v>1</x:v>
      </x:c>
      <x:c r="F1500" s="5" t="str">
        <x:v>#</x:v>
      </x:c>
      <x:c r="G1500" s="5" t="n">
        <x:v>1</x:v>
      </x:c>
      <x:c r="H1500" s="5" t="n">
        <x:v>1</x:v>
      </x:c>
      <x:c r="I1500" s="5" t="str">
        <x:v>39</x:v>
      </x:c>
      <x:c r="J1500" s="5" t="str">
        <x:v>SOURCE QUOTE; unvalidated / superseded assessments</x:v>
      </x:c>
      <x:c r="L1500" s="31" t="str">
        <x:v>D06, Markdown line 220; http://nas-1.tail55d152.ts.net:4100/static/MEDICAL_NORDICS_FINANCIALS_DOSSIER.html</x:v>
      </x:c>
    </x:row>
    <x:row r="1501" ht="42" customHeight="1">
      <x:c r="A1501" s="5" t="str">
        <x:v>D06</x:v>
      </x:c>
      <x:c r="B1501" s="5" t="str">
        <x:v>D06-T01</x:v>
      </x:c>
      <x:c r="C1501" s="5" t="str">
        <x:v>5. Complete Company Financial Table (135 Facilities Analyzed)</x:v>
      </x:c>
      <x:c r="D1501" s="5" t="n">
        <x:v>220</x:v>
      </x:c>
      <x:c r="E1501" s="5" t="n">
        <x:v>2</x:v>
      </x:c>
      <x:c r="F1501" s="5" t="str">
        <x:v>Company</x:v>
      </x:c>
      <x:c r="G1501" s="5" t="n">
        <x:v>1</x:v>
      </x:c>
      <x:c r="H1501" s="5" t="n">
        <x:v>1</x:v>
      </x:c>
      <x:c r="I1501" s="5" t="str">
        <x:v>EXINI Diagnostics</x:v>
      </x:c>
      <x:c r="J1501" s="5" t="str">
        <x:v>SOURCE QUOTE; unvalidated / superseded assessments</x:v>
      </x:c>
      <x:c r="L1501" s="31" t="str">
        <x:v>D06, Markdown line 220; http://nas-1.tail55d152.ts.net:4100/static/MEDICAL_NORDICS_FINANCIALS_DOSSIER.html</x:v>
      </x:c>
    </x:row>
    <x:row r="1502" ht="42" customHeight="1">
      <x:c r="A1502" s="5" t="str">
        <x:v>D06</x:v>
      </x:c>
      <x:c r="B1502" s="5" t="str">
        <x:v>D06-T01</x:v>
      </x:c>
      <x:c r="C1502" s="5" t="str">
        <x:v>5. Complete Company Financial Table (135 Facilities Analyzed)</x:v>
      </x:c>
      <x:c r="D1502" s="5" t="n">
        <x:v>220</x:v>
      </x:c>
      <x:c r="E1502" s="5" t="n">
        <x:v>3</x:v>
      </x:c>
      <x:c r="F1502" s="5" t="str">
        <x:v>Location</x:v>
      </x:c>
      <x:c r="G1502" s="5" t="n">
        <x:v>1</x:v>
      </x:c>
      <x:c r="H1502" s="5" t="n">
        <x:v>1</x:v>
      </x:c>
      <x:c r="I1502" s="5" t="str">
        <x:v>Lund, Sweden</x:v>
      </x:c>
      <x:c r="J1502" s="5" t="str">
        <x:v>SOURCE QUOTE; unvalidated / superseded assessments</x:v>
      </x:c>
      <x:c r="L1502" s="31" t="str">
        <x:v>D06, Markdown line 220; http://nas-1.tail55d152.ts.net:4100/static/MEDICAL_NORDICS_FINANCIALS_DOSSIER.html</x:v>
      </x:c>
    </x:row>
    <x:row r="1503" ht="42" customHeight="1">
      <x:c r="A1503" s="5" t="str">
        <x:v>D06</x:v>
      </x:c>
      <x:c r="B1503" s="5" t="str">
        <x:v>D06-T01</x:v>
      </x:c>
      <x:c r="C1503" s="5" t="str">
        <x:v>5. Complete Company Financial Table (135 Facilities Analyzed)</x:v>
      </x:c>
      <x:c r="D1503" s="5" t="n">
        <x:v>220</x:v>
      </x:c>
      <x:c r="E1503" s="5" t="n">
        <x:v>4</x:v>
      </x:c>
      <x:c r="F1503" s="5" t="str">
        <x:v>Focus Area</x:v>
      </x:c>
      <x:c r="G1503" s="5" t="n">
        <x:v>1</x:v>
      </x:c>
      <x:c r="H1503" s="5" t="n">
        <x:v>1</x:v>
      </x:c>
      <x:c r="I1503" s="5" t="str">
        <x:v>AI Medical Image Analysis (PSMA PET)</x:v>
      </x:c>
      <x:c r="J1503" s="5" t="str">
        <x:v>SOURCE QUOTE; unvalidated / superseded assessments</x:v>
      </x:c>
      <x:c r="L1503" s="31" t="str">
        <x:v>D06, Markdown line 220; http://nas-1.tail55d152.ts.net:4100/static/MEDICAL_NORDICS_FINANCIALS_DOSSIER.html</x:v>
      </x:c>
    </x:row>
    <x:row r="1504" ht="42" customHeight="1">
      <x:c r="A1504" s="5" t="str">
        <x:v>D06</x:v>
      </x:c>
      <x:c r="B1504" s="5" t="str">
        <x:v>D06-T01</x:v>
      </x:c>
      <x:c r="C1504" s="5" t="str">
        <x:v>5. Complete Company Financial Table (135 Facilities Analyzed)</x:v>
      </x:c>
      <x:c r="D1504" s="5" t="n">
        <x:v>220</x:v>
      </x:c>
      <x:c r="E1504" s="5" t="n">
        <x:v>5</x:v>
      </x:c>
      <x:c r="F1504" s="5" t="str">
        <x:v>Revenue / Net Sales</x:v>
      </x:c>
      <x:c r="G1504" s="5" t="n">
        <x:v>1</x:v>
      </x:c>
      <x:c r="H1504" s="5" t="n">
        <x:v>1</x:v>
      </x:c>
      <x:c r="I1504" s="5" t="str">
        <x:v>SEK 30.0M est.</x:v>
      </x:c>
      <x:c r="J1504" s="5" t="str">
        <x:v>SOURCE QUOTE; unvalidated / superseded assessments</x:v>
      </x:c>
      <x:c r="L1504" s="31" t="str">
        <x:v>D06, Markdown line 220; http://nas-1.tail55d152.ts.net:4100/static/MEDICAL_NORDICS_FINANCIALS_DOSSIER.html</x:v>
      </x:c>
    </x:row>
    <x:row r="1505" ht="42" customHeight="1">
      <x:c r="A1505" s="5" t="str">
        <x:v>D06</x:v>
      </x:c>
      <x:c r="B1505" s="5" t="str">
        <x:v>D06-T01</x:v>
      </x:c>
      <x:c r="C1505" s="5" t="str">
        <x:v>5. Complete Company Financial Table (135 Facilities Analyzed)</x:v>
      </x:c>
      <x:c r="D1505" s="5" t="n">
        <x:v>220</x:v>
      </x:c>
      <x:c r="E1505" s="5" t="n">
        <x:v>6</x:v>
      </x:c>
      <x:c r="F1505" s="5" t="str">
        <x:v>R&amp;D Spend</x:v>
      </x:c>
      <x:c r="G1505" s="5" t="n">
        <x:v>1</x:v>
      </x:c>
      <x:c r="H1505" s="5" t="n">
        <x:v>1</x:v>
      </x:c>
      <x:c r="I1505" s="5" t="str">
        <x:v>SEK 18.0M</x:v>
      </x:c>
      <x:c r="J1505" s="5" t="str">
        <x:v>SOURCE QUOTE; unvalidated / superseded assessments</x:v>
      </x:c>
      <x:c r="L1505" s="31" t="str">
        <x:v>D06, Markdown line 220; http://nas-1.tail55d152.ts.net:4100/static/MEDICAL_NORDICS_FINANCIALS_DOSSIER.html</x:v>
      </x:c>
    </x:row>
    <x:row r="1506" ht="42" customHeight="1">
      <x:c r="A1506" s="5" t="str">
        <x:v>D06</x:v>
      </x:c>
      <x:c r="B1506" s="5" t="str">
        <x:v>D06-T01</x:v>
      </x:c>
      <x:c r="C1506" s="5" t="str">
        <x:v>5. Complete Company Financial Table (135 Facilities Analyzed)</x:v>
      </x:c>
      <x:c r="D1506" s="5" t="n">
        <x:v>220</x:v>
      </x:c>
      <x:c r="E1506" s="5" t="n">
        <x:v>7</x:v>
      </x:c>
      <x:c r="F1506" s="5" t="str">
        <x:v>Currency</x:v>
      </x:c>
      <x:c r="G1506" s="5" t="n">
        <x:v>1</x:v>
      </x:c>
      <x:c r="H1506" s="5" t="n">
        <x:v>1</x:v>
      </x:c>
      <x:c r="I1506" s="5" t="str">
        <x:v>SEK</x:v>
      </x:c>
      <x:c r="J1506" s="5" t="str">
        <x:v>SOURCE QUOTE; unvalidated / superseded assessments</x:v>
      </x:c>
      <x:c r="L1506" s="31" t="str">
        <x:v>D06, Markdown line 220; http://nas-1.tail55d152.ts.net:4100/static/MEDICAL_NORDICS_FINANCIALS_DOSSIER.html</x:v>
      </x:c>
    </x:row>
    <x:row r="1507" ht="42" customHeight="1">
      <x:c r="A1507" s="5" t="str">
        <x:v>D06</x:v>
      </x:c>
      <x:c r="B1507" s="5" t="str">
        <x:v>D06-T01</x:v>
      </x:c>
      <x:c r="C1507" s="5" t="str">
        <x:v>5. Complete Company Financial Table (135 Facilities Analyzed)</x:v>
      </x:c>
      <x:c r="D1507" s="5" t="n">
        <x:v>220</x:v>
      </x:c>
      <x:c r="E1507" s="5" t="n">
        <x:v>8</x:v>
      </x:c>
      <x:c r="F1507" s="5" t="str">
        <x:v>Fiscal Year</x:v>
      </x:c>
      <x:c r="G1507" s="5" t="n">
        <x:v>1</x:v>
      </x:c>
      <x:c r="H1507" s="5" t="n">
        <x:v>1</x:v>
      </x:c>
      <x:c r="I1507" s="5" t="str">
        <x:v>FY2023/24</x:v>
      </x:c>
      <x:c r="J1507" s="5" t="str">
        <x:v>SOURCE QUOTE; unvalidated / superseded assessments</x:v>
      </x:c>
      <x:c r="L1507" s="31" t="str">
        <x:v>D06, Markdown line 220; http://nas-1.tail55d152.ts.net:4100/static/MEDICAL_NORDICS_FINANCIALS_DOSSIER.html</x:v>
      </x:c>
    </x:row>
    <x:row r="1508" ht="42" customHeight="1">
      <x:c r="A1508" s="5" t="str">
        <x:v>D06</x:v>
      </x:c>
      <x:c r="B1508" s="5" t="str">
        <x:v>D06-T01</x:v>
      </x:c>
      <x:c r="C1508" s="5" t="str">
        <x:v>5. Complete Company Financial Table (135 Facilities Analyzed)</x:v>
      </x:c>
      <x:c r="D1508" s="5" t="n">
        <x:v>220</x:v>
      </x:c>
      <x:c r="E1508" s="5" t="n">
        <x:v>9</x:v>
      </x:c>
      <x:c r="F1508" s="5" t="str">
        <x:v>Status / Ownership / Strategic Service Alignment</x:v>
      </x:c>
      <x:c r="G1508" s="5" t="n">
        <x:v>1</x:v>
      </x:c>
      <x:c r="H1508" s="5" t="n">
        <x:v>1</x:v>
      </x:c>
      <x:c r="I1508" s="5" t="str">
        <x:v>Lantheus (Nasdaq: LNTH) unit; Package E (AI imaging clinical verification &amp; CE-MDR)</x:v>
      </x:c>
      <x:c r="J1508" s="5" t="str">
        <x:v>SOURCE QUOTE; unvalidated / superseded assessments</x:v>
      </x:c>
      <x:c r="L1508" s="31" t="str">
        <x:v>D06, Markdown line 220; http://nas-1.tail55d152.ts.net:4100/static/MEDICAL_NORDICS_FINANCIALS_DOSSIER.html</x:v>
      </x:c>
    </x:row>
    <x:row r="1509" ht="42" customHeight="1">
      <x:c r="A1509" s="5" t="str">
        <x:v>D06</x:v>
      </x:c>
      <x:c r="B1509" s="5" t="str">
        <x:v>D06-T01</x:v>
      </x:c>
      <x:c r="C1509" s="5" t="str">
        <x:v>5. Complete Company Financial Table (135 Facilities Analyzed)</x:v>
      </x:c>
      <x:c r="D1509" s="5" t="n">
        <x:v>221</x:v>
      </x:c>
      <x:c r="E1509" s="5" t="n">
        <x:v>1</x:v>
      </x:c>
      <x:c r="F1509" s="5" t="str">
        <x:v>#</x:v>
      </x:c>
      <x:c r="G1509" s="5" t="n">
        <x:v>1</x:v>
      </x:c>
      <x:c r="H1509" s="5" t="n">
        <x:v>1</x:v>
      </x:c>
      <x:c r="I1509" s="5" t="str">
        <x:v>40</x:v>
      </x:c>
      <x:c r="J1509" s="5" t="str">
        <x:v>SOURCE QUOTE; unvalidated / superseded assessments</x:v>
      </x:c>
      <x:c r="L1509" s="31" t="str">
        <x:v>D06, Markdown line 221; http://nas-1.tail55d152.ts.net:4100/static/MEDICAL_NORDICS_FINANCIALS_DOSSIER.html</x:v>
      </x:c>
    </x:row>
    <x:row r="1510" ht="42" customHeight="1">
      <x:c r="A1510" s="5" t="str">
        <x:v>D06</x:v>
      </x:c>
      <x:c r="B1510" s="5" t="str">
        <x:v>D06-T01</x:v>
      </x:c>
      <x:c r="C1510" s="5" t="str">
        <x:v>5. Complete Company Financial Table (135 Facilities Analyzed)</x:v>
      </x:c>
      <x:c r="D1510" s="5" t="n">
        <x:v>221</x:v>
      </x:c>
      <x:c r="E1510" s="5" t="n">
        <x:v>2</x:v>
      </x:c>
      <x:c r="F1510" s="5" t="str">
        <x:v>Company</x:v>
      </x:c>
      <x:c r="G1510" s="5" t="n">
        <x:v>1</x:v>
      </x:c>
      <x:c r="H1510" s="5" t="n">
        <x:v>1</x:v>
      </x:c>
      <x:c r="I1510" s="5" t="str">
        <x:v>Hansa Biopharma</x:v>
      </x:c>
      <x:c r="J1510" s="5" t="str">
        <x:v>SOURCE QUOTE; unvalidated / superseded assessments</x:v>
      </x:c>
      <x:c r="L1510" s="31" t="str">
        <x:v>D06, Markdown line 221; http://nas-1.tail55d152.ts.net:4100/static/MEDICAL_NORDICS_FINANCIALS_DOSSIER.html</x:v>
      </x:c>
    </x:row>
    <x:row r="1511" ht="42" customHeight="1">
      <x:c r="A1511" s="5" t="str">
        <x:v>D06</x:v>
      </x:c>
      <x:c r="B1511" s="5" t="str">
        <x:v>D06-T01</x:v>
      </x:c>
      <x:c r="C1511" s="5" t="str">
        <x:v>5. Complete Company Financial Table (135 Facilities Analyzed)</x:v>
      </x:c>
      <x:c r="D1511" s="5" t="n">
        <x:v>221</x:v>
      </x:c>
      <x:c r="E1511" s="5" t="n">
        <x:v>3</x:v>
      </x:c>
      <x:c r="F1511" s="5" t="str">
        <x:v>Location</x:v>
      </x:c>
      <x:c r="G1511" s="5" t="n">
        <x:v>1</x:v>
      </x:c>
      <x:c r="H1511" s="5" t="n">
        <x:v>1</x:v>
      </x:c>
      <x:c r="I1511" s="5" t="str">
        <x:v>Lund, Sweden</x:v>
      </x:c>
      <x:c r="J1511" s="5" t="str">
        <x:v>SOURCE QUOTE; unvalidated / superseded assessments</x:v>
      </x:c>
      <x:c r="L1511" s="31" t="str">
        <x:v>D06, Markdown line 221; http://nas-1.tail55d152.ts.net:4100/static/MEDICAL_NORDICS_FINANCIALS_DOSSIER.html</x:v>
      </x:c>
    </x:row>
    <x:row r="1512" ht="42" customHeight="1">
      <x:c r="A1512" s="5" t="str">
        <x:v>D06</x:v>
      </x:c>
      <x:c r="B1512" s="5" t="str">
        <x:v>D06-T01</x:v>
      </x:c>
      <x:c r="C1512" s="5" t="str">
        <x:v>5. Complete Company Financial Table (135 Facilities Analyzed)</x:v>
      </x:c>
      <x:c r="D1512" s="5" t="n">
        <x:v>221</x:v>
      </x:c>
      <x:c r="E1512" s="5" t="n">
        <x:v>4</x:v>
      </x:c>
      <x:c r="F1512" s="5" t="str">
        <x:v>Focus Area</x:v>
      </x:c>
      <x:c r="G1512" s="5" t="n">
        <x:v>1</x:v>
      </x:c>
      <x:c r="H1512" s="5" t="n">
        <x:v>1</x:v>
      </x:c>
      <x:c r="I1512" s="5" t="str">
        <x:v>Idefirix Desensitization Enzymes</x:v>
      </x:c>
      <x:c r="J1512" s="5" t="str">
        <x:v>SOURCE QUOTE; unvalidated / superseded assessments</x:v>
      </x:c>
      <x:c r="L1512" s="31" t="str">
        <x:v>D06, Markdown line 221; http://nas-1.tail55d152.ts.net:4100/static/MEDICAL_NORDICS_FINANCIALS_DOSSIER.html</x:v>
      </x:c>
    </x:row>
    <x:row r="1513" ht="42" customHeight="1">
      <x:c r="A1513" s="5" t="str">
        <x:v>D06</x:v>
      </x:c>
      <x:c r="B1513" s="5" t="str">
        <x:v>D06-T01</x:v>
      </x:c>
      <x:c r="C1513" s="5" t="str">
        <x:v>5. Complete Company Financial Table (135 Facilities Analyzed)</x:v>
      </x:c>
      <x:c r="D1513" s="5" t="n">
        <x:v>221</x:v>
      </x:c>
      <x:c r="E1513" s="5" t="n">
        <x:v>5</x:v>
      </x:c>
      <x:c r="F1513" s="5" t="str">
        <x:v>Revenue / Net Sales</x:v>
      </x:c>
      <x:c r="G1513" s="5" t="n">
        <x:v>1</x:v>
      </x:c>
      <x:c r="H1513" s="5" t="n">
        <x:v>1</x:v>
      </x:c>
      <x:c r="I1513" s="5" t="str">
        <x:v>SEK 171.3M</x:v>
      </x:c>
      <x:c r="J1513" s="5" t="str">
        <x:v>SOURCE QUOTE; unvalidated / superseded assessments</x:v>
      </x:c>
      <x:c r="L1513" s="31" t="str">
        <x:v>D06, Markdown line 221; http://nas-1.tail55d152.ts.net:4100/static/MEDICAL_NORDICS_FINANCIALS_DOSSIER.html</x:v>
      </x:c>
    </x:row>
    <x:row r="1514" ht="42" customHeight="1">
      <x:c r="A1514" s="5" t="str">
        <x:v>D06</x:v>
      </x:c>
      <x:c r="B1514" s="5" t="str">
        <x:v>D06-T01</x:v>
      </x:c>
      <x:c r="C1514" s="5" t="str">
        <x:v>5. Complete Company Financial Table (135 Facilities Analyzed)</x:v>
      </x:c>
      <x:c r="D1514" s="5" t="n">
        <x:v>221</x:v>
      </x:c>
      <x:c r="E1514" s="5" t="n">
        <x:v>6</x:v>
      </x:c>
      <x:c r="F1514" s="5" t="str">
        <x:v>R&amp;D Spend</x:v>
      </x:c>
      <x:c r="G1514" s="5" t="n">
        <x:v>1</x:v>
      </x:c>
      <x:c r="H1514" s="5" t="n">
        <x:v>1</x:v>
      </x:c>
      <x:c r="I1514" s="5" t="str">
        <x:v>SEK 398.5M</x:v>
      </x:c>
      <x:c r="J1514" s="5" t="str">
        <x:v>SOURCE QUOTE; unvalidated / superseded assessments</x:v>
      </x:c>
      <x:c r="L1514" s="31" t="str">
        <x:v>D06, Markdown line 221; http://nas-1.tail55d152.ts.net:4100/static/MEDICAL_NORDICS_FINANCIALS_DOSSIER.html</x:v>
      </x:c>
    </x:row>
    <x:row r="1515" ht="42" customHeight="1">
      <x:c r="A1515" s="5" t="str">
        <x:v>D06</x:v>
      </x:c>
      <x:c r="B1515" s="5" t="str">
        <x:v>D06-T01</x:v>
      </x:c>
      <x:c r="C1515" s="5" t="str">
        <x:v>5. Complete Company Financial Table (135 Facilities Analyzed)</x:v>
      </x:c>
      <x:c r="D1515" s="5" t="n">
        <x:v>221</x:v>
      </x:c>
      <x:c r="E1515" s="5" t="n">
        <x:v>7</x:v>
      </x:c>
      <x:c r="F1515" s="5" t="str">
        <x:v>Currency</x:v>
      </x:c>
      <x:c r="G1515" s="5" t="n">
        <x:v>1</x:v>
      </x:c>
      <x:c r="H1515" s="5" t="n">
        <x:v>1</x:v>
      </x:c>
      <x:c r="I1515" s="5" t="str">
        <x:v>SEK</x:v>
      </x:c>
      <x:c r="J1515" s="5" t="str">
        <x:v>SOURCE QUOTE; unvalidated / superseded assessments</x:v>
      </x:c>
      <x:c r="L1515" s="31" t="str">
        <x:v>D06, Markdown line 221; http://nas-1.tail55d152.ts.net:4100/static/MEDICAL_NORDICS_FINANCIALS_DOSSIER.html</x:v>
      </x:c>
    </x:row>
    <x:row r="1516" ht="42" customHeight="1">
      <x:c r="A1516" s="5" t="str">
        <x:v>D06</x:v>
      </x:c>
      <x:c r="B1516" s="5" t="str">
        <x:v>D06-T01</x:v>
      </x:c>
      <x:c r="C1516" s="5" t="str">
        <x:v>5. Complete Company Financial Table (135 Facilities Analyzed)</x:v>
      </x:c>
      <x:c r="D1516" s="5" t="n">
        <x:v>221</x:v>
      </x:c>
      <x:c r="E1516" s="5" t="n">
        <x:v>8</x:v>
      </x:c>
      <x:c r="F1516" s="5" t="str">
        <x:v>Fiscal Year</x:v>
      </x:c>
      <x:c r="G1516" s="5" t="n">
        <x:v>1</x:v>
      </x:c>
      <x:c r="H1516" s="5" t="n">
        <x:v>1</x:v>
      </x:c>
      <x:c r="I1516" s="5" t="str">
        <x:v>FY2024</x:v>
      </x:c>
      <x:c r="J1516" s="5" t="str">
        <x:v>SOURCE QUOTE; unvalidated / superseded assessments</x:v>
      </x:c>
      <x:c r="L1516" s="31" t="str">
        <x:v>D06, Markdown line 221; http://nas-1.tail55d152.ts.net:4100/static/MEDICAL_NORDICS_FINANCIALS_DOSSIER.html</x:v>
      </x:c>
    </x:row>
    <x:row r="1517" ht="42" customHeight="1">
      <x:c r="A1517" s="5" t="str">
        <x:v>D06</x:v>
      </x:c>
      <x:c r="B1517" s="5" t="str">
        <x:v>D06-T01</x:v>
      </x:c>
      <x:c r="C1517" s="5" t="str">
        <x:v>5. Complete Company Financial Table (135 Facilities Analyzed)</x:v>
      </x:c>
      <x:c r="D1517" s="5" t="n">
        <x:v>221</x:v>
      </x:c>
      <x:c r="E1517" s="5" t="n">
        <x:v>9</x:v>
      </x:c>
      <x:c r="F1517" s="5" t="str">
        <x:v>Status / Ownership / Strategic Service Alignment</x:v>
      </x:c>
      <x:c r="G1517" s="5" t="n">
        <x:v>1</x:v>
      </x:c>
      <x:c r="H1517" s="5" t="n">
        <x:v>1</x:v>
      </x:c>
      <x:c r="I1517" s="5" t="str">
        <x:v>Listed (Nasdaq: HNSA); Package B (NLP EHR screening for HLA-sensitized kidney patients)</x:v>
      </x:c>
      <x:c r="J1517" s="5" t="str">
        <x:v>SOURCE QUOTE; unvalidated / superseded assessments</x:v>
      </x:c>
      <x:c r="L1517" s="31" t="str">
        <x:v>D06, Markdown line 221; http://nas-1.tail55d152.ts.net:4100/static/MEDICAL_NORDICS_FINANCIALS_DOSSIER.html</x:v>
      </x:c>
    </x:row>
    <x:row r="1518" ht="42" customHeight="1">
      <x:c r="A1518" s="5" t="str">
        <x:v>D06</x:v>
      </x:c>
      <x:c r="B1518" s="5" t="str">
        <x:v>D06-T01</x:v>
      </x:c>
      <x:c r="C1518" s="5" t="str">
        <x:v>5. Complete Company Financial Table (135 Facilities Analyzed)</x:v>
      </x:c>
      <x:c r="D1518" s="5" t="n">
        <x:v>222</x:v>
      </x:c>
      <x:c r="E1518" s="5" t="n">
        <x:v>1</x:v>
      </x:c>
      <x:c r="F1518" s="5" t="str">
        <x:v>#</x:v>
      </x:c>
      <x:c r="G1518" s="5" t="n">
        <x:v>1</x:v>
      </x:c>
      <x:c r="H1518" s="5" t="n">
        <x:v>1</x:v>
      </x:c>
      <x:c r="I1518" s="5" t="str">
        <x:v>41</x:v>
      </x:c>
      <x:c r="J1518" s="5" t="str">
        <x:v>SOURCE QUOTE; unvalidated / superseded assessments</x:v>
      </x:c>
      <x:c r="L1518" s="31" t="str">
        <x:v>D06, Markdown line 222; http://nas-1.tail55d152.ts.net:4100/static/MEDICAL_NORDICS_FINANCIALS_DOSSIER.html</x:v>
      </x:c>
    </x:row>
    <x:row r="1519" ht="42" customHeight="1">
      <x:c r="A1519" s="5" t="str">
        <x:v>D06</x:v>
      </x:c>
      <x:c r="B1519" s="5" t="str">
        <x:v>D06-T01</x:v>
      </x:c>
      <x:c r="C1519" s="5" t="str">
        <x:v>5. Complete Company Financial Table (135 Facilities Analyzed)</x:v>
      </x:c>
      <x:c r="D1519" s="5" t="n">
        <x:v>222</x:v>
      </x:c>
      <x:c r="E1519" s="5" t="n">
        <x:v>2</x:v>
      </x:c>
      <x:c r="F1519" s="5" t="str">
        <x:v>Company</x:v>
      </x:c>
      <x:c r="G1519" s="5" t="n">
        <x:v>1</x:v>
      </x:c>
      <x:c r="H1519" s="5" t="n">
        <x:v>1</x:v>
      </x:c>
      <x:c r="I1519" s="5" t="str">
        <x:v>Iconovo</x:v>
      </x:c>
      <x:c r="J1519" s="5" t="str">
        <x:v>SOURCE QUOTE; unvalidated / superseded assessments</x:v>
      </x:c>
      <x:c r="L1519" s="31" t="str">
        <x:v>D06, Markdown line 222; http://nas-1.tail55d152.ts.net:4100/static/MEDICAL_NORDICS_FINANCIALS_DOSSIER.html</x:v>
      </x:c>
    </x:row>
    <x:row r="1520" ht="42" customHeight="1">
      <x:c r="A1520" s="5" t="str">
        <x:v>D06</x:v>
      </x:c>
      <x:c r="B1520" s="5" t="str">
        <x:v>D06-T01</x:v>
      </x:c>
      <x:c r="C1520" s="5" t="str">
        <x:v>5. Complete Company Financial Table (135 Facilities Analyzed)</x:v>
      </x:c>
      <x:c r="D1520" s="5" t="n">
        <x:v>222</x:v>
      </x:c>
      <x:c r="E1520" s="5" t="n">
        <x:v>3</x:v>
      </x:c>
      <x:c r="F1520" s="5" t="str">
        <x:v>Location</x:v>
      </x:c>
      <x:c r="G1520" s="5" t="n">
        <x:v>1</x:v>
      </x:c>
      <x:c r="H1520" s="5" t="n">
        <x:v>1</x:v>
      </x:c>
      <x:c r="I1520" s="5" t="str">
        <x:v>Lund, Sweden</x:v>
      </x:c>
      <x:c r="J1520" s="5" t="str">
        <x:v>SOURCE QUOTE; unvalidated / superseded assessments</x:v>
      </x:c>
      <x:c r="L1520" s="31" t="str">
        <x:v>D06, Markdown line 222; http://nas-1.tail55d152.ts.net:4100/static/MEDICAL_NORDICS_FINANCIALS_DOSSIER.html</x:v>
      </x:c>
    </x:row>
    <x:row r="1521" ht="42" customHeight="1">
      <x:c r="A1521" s="5" t="str">
        <x:v>D06</x:v>
      </x:c>
      <x:c r="B1521" s="5" t="str">
        <x:v>D06-T01</x:v>
      </x:c>
      <x:c r="C1521" s="5" t="str">
        <x:v>5. Complete Company Financial Table (135 Facilities Analyzed)</x:v>
      </x:c>
      <x:c r="D1521" s="5" t="n">
        <x:v>222</x:v>
      </x:c>
      <x:c r="E1521" s="5" t="n">
        <x:v>4</x:v>
      </x:c>
      <x:c r="F1521" s="5" t="str">
        <x:v>Focus Area</x:v>
      </x:c>
      <x:c r="G1521" s="5" t="n">
        <x:v>1</x:v>
      </x:c>
      <x:c r="H1521" s="5" t="n">
        <x:v>1</x:v>
      </x:c>
      <x:c r="I1521" s="5" t="str">
        <x:v>Dry Powder Inhalation Devices</x:v>
      </x:c>
      <x:c r="J1521" s="5" t="str">
        <x:v>SOURCE QUOTE; unvalidated / superseded assessments</x:v>
      </x:c>
      <x:c r="L1521" s="31" t="str">
        <x:v>D06, Markdown line 222; http://nas-1.tail55d152.ts.net:4100/static/MEDICAL_NORDICS_FINANCIALS_DOSSIER.html</x:v>
      </x:c>
    </x:row>
    <x:row r="1522" ht="42" customHeight="1">
      <x:c r="A1522" s="5" t="str">
        <x:v>D06</x:v>
      </x:c>
      <x:c r="B1522" s="5" t="str">
        <x:v>D06-T01</x:v>
      </x:c>
      <x:c r="C1522" s="5" t="str">
        <x:v>5. Complete Company Financial Table (135 Facilities Analyzed)</x:v>
      </x:c>
      <x:c r="D1522" s="5" t="n">
        <x:v>222</x:v>
      </x:c>
      <x:c r="E1522" s="5" t="n">
        <x:v>5</x:v>
      </x:c>
      <x:c r="F1522" s="5" t="str">
        <x:v>Revenue / Net Sales</x:v>
      </x:c>
      <x:c r="G1522" s="5" t="n">
        <x:v>1</x:v>
      </x:c>
      <x:c r="H1522" s="5" t="n">
        <x:v>1</x:v>
      </x:c>
      <x:c r="I1522" s="5" t="str">
        <x:v>SEK 16.8M</x:v>
      </x:c>
      <x:c r="J1522" s="5" t="str">
        <x:v>SOURCE QUOTE; unvalidated / superseded assessments</x:v>
      </x:c>
      <x:c r="L1522" s="31" t="str">
        <x:v>D06, Markdown line 222; http://nas-1.tail55d152.ts.net:4100/static/MEDICAL_NORDICS_FINANCIALS_DOSSIER.html</x:v>
      </x:c>
    </x:row>
    <x:row r="1523" ht="42" customHeight="1">
      <x:c r="A1523" s="5" t="str">
        <x:v>D06</x:v>
      </x:c>
      <x:c r="B1523" s="5" t="str">
        <x:v>D06-T01</x:v>
      </x:c>
      <x:c r="C1523" s="5" t="str">
        <x:v>5. Complete Company Financial Table (135 Facilities Analyzed)</x:v>
      </x:c>
      <x:c r="D1523" s="5" t="n">
        <x:v>222</x:v>
      </x:c>
      <x:c r="E1523" s="5" t="n">
        <x:v>6</x:v>
      </x:c>
      <x:c r="F1523" s="5" t="str">
        <x:v>R&amp;D Spend</x:v>
      </x:c>
      <x:c r="G1523" s="5" t="n">
        <x:v>1</x:v>
      </x:c>
      <x:c r="H1523" s="5" t="n">
        <x:v>1</x:v>
      </x:c>
      <x:c r="I1523" s="5" t="str">
        <x:v>SEK 38.4M</x:v>
      </x:c>
      <x:c r="J1523" s="5" t="str">
        <x:v>SOURCE QUOTE; unvalidated / superseded assessments</x:v>
      </x:c>
      <x:c r="L1523" s="31" t="str">
        <x:v>D06, Markdown line 222; http://nas-1.tail55d152.ts.net:4100/static/MEDICAL_NORDICS_FINANCIALS_DOSSIER.html</x:v>
      </x:c>
    </x:row>
    <x:row r="1524" ht="42" customHeight="1">
      <x:c r="A1524" s="5" t="str">
        <x:v>D06</x:v>
      </x:c>
      <x:c r="B1524" s="5" t="str">
        <x:v>D06-T01</x:v>
      </x:c>
      <x:c r="C1524" s="5" t="str">
        <x:v>5. Complete Company Financial Table (135 Facilities Analyzed)</x:v>
      </x:c>
      <x:c r="D1524" s="5" t="n">
        <x:v>222</x:v>
      </x:c>
      <x:c r="E1524" s="5" t="n">
        <x:v>7</x:v>
      </x:c>
      <x:c r="F1524" s="5" t="str">
        <x:v>Currency</x:v>
      </x:c>
      <x:c r="G1524" s="5" t="n">
        <x:v>1</x:v>
      </x:c>
      <x:c r="H1524" s="5" t="n">
        <x:v>1</x:v>
      </x:c>
      <x:c r="I1524" s="5" t="str">
        <x:v>SEK</x:v>
      </x:c>
      <x:c r="J1524" s="5" t="str">
        <x:v>SOURCE QUOTE; unvalidated / superseded assessments</x:v>
      </x:c>
      <x:c r="L1524" s="31" t="str">
        <x:v>D06, Markdown line 222; http://nas-1.tail55d152.ts.net:4100/static/MEDICAL_NORDICS_FINANCIALS_DOSSIER.html</x:v>
      </x:c>
    </x:row>
    <x:row r="1525" ht="42" customHeight="1">
      <x:c r="A1525" s="5" t="str">
        <x:v>D06</x:v>
      </x:c>
      <x:c r="B1525" s="5" t="str">
        <x:v>D06-T01</x:v>
      </x:c>
      <x:c r="C1525" s="5" t="str">
        <x:v>5. Complete Company Financial Table (135 Facilities Analyzed)</x:v>
      </x:c>
      <x:c r="D1525" s="5" t="n">
        <x:v>222</x:v>
      </x:c>
      <x:c r="E1525" s="5" t="n">
        <x:v>8</x:v>
      </x:c>
      <x:c r="F1525" s="5" t="str">
        <x:v>Fiscal Year</x:v>
      </x:c>
      <x:c r="G1525" s="5" t="n">
        <x:v>1</x:v>
      </x:c>
      <x:c r="H1525" s="5" t="n">
        <x:v>1</x:v>
      </x:c>
      <x:c r="I1525" s="5" t="str">
        <x:v>FY2023/24</x:v>
      </x:c>
      <x:c r="J1525" s="5" t="str">
        <x:v>SOURCE QUOTE; unvalidated / superseded assessments</x:v>
      </x:c>
      <x:c r="L1525" s="31" t="str">
        <x:v>D06, Markdown line 222; http://nas-1.tail55d152.ts.net:4100/static/MEDICAL_NORDICS_FINANCIALS_DOSSIER.html</x:v>
      </x:c>
    </x:row>
    <x:row r="1526" ht="42" customHeight="1">
      <x:c r="A1526" s="5" t="str">
        <x:v>D06</x:v>
      </x:c>
      <x:c r="B1526" s="5" t="str">
        <x:v>D06-T01</x:v>
      </x:c>
      <x:c r="C1526" s="5" t="str">
        <x:v>5. Complete Company Financial Table (135 Facilities Analyzed)</x:v>
      </x:c>
      <x:c r="D1526" s="5" t="n">
        <x:v>222</x:v>
      </x:c>
      <x:c r="E1526" s="5" t="n">
        <x:v>9</x:v>
      </x:c>
      <x:c r="F1526" s="5" t="str">
        <x:v>Status / Ownership / Strategic Service Alignment</x:v>
      </x:c>
      <x:c r="G1526" s="5" t="n">
        <x:v>1</x:v>
      </x:c>
      <x:c r="H1526" s="5" t="n">
        <x:v>1</x:v>
      </x:c>
      <x:c r="I1526" s="5" t="str">
        <x:v>Listed (First North: ICO); Package A &amp; D (Device licensing &amp; manufacturing scale-up)</x:v>
      </x:c>
      <x:c r="J1526" s="5" t="str">
        <x:v>SOURCE QUOTE; unvalidated / superseded assessments</x:v>
      </x:c>
      <x:c r="L1526" s="31" t="str">
        <x:v>D06, Markdown line 222; http://nas-1.tail55d152.ts.net:4100/static/MEDICAL_NORDICS_FINANCIALS_DOSSIER.html</x:v>
      </x:c>
    </x:row>
    <x:row r="1527" ht="42" customHeight="1">
      <x:c r="A1527" s="5" t="str">
        <x:v>D06</x:v>
      </x:c>
      <x:c r="B1527" s="5" t="str">
        <x:v>D06-T01</x:v>
      </x:c>
      <x:c r="C1527" s="5" t="str">
        <x:v>5. Complete Company Financial Table (135 Facilities Analyzed)</x:v>
      </x:c>
      <x:c r="D1527" s="5" t="n">
        <x:v>223</x:v>
      </x:c>
      <x:c r="E1527" s="5" t="n">
        <x:v>1</x:v>
      </x:c>
      <x:c r="F1527" s="5" t="str">
        <x:v>#</x:v>
      </x:c>
      <x:c r="G1527" s="5" t="n">
        <x:v>1</x:v>
      </x:c>
      <x:c r="H1527" s="5" t="n">
        <x:v>1</x:v>
      </x:c>
      <x:c r="I1527" s="5" t="str">
        <x:v>42</x:v>
      </x:c>
      <x:c r="J1527" s="5" t="str">
        <x:v>SOURCE QUOTE; unvalidated / superseded assessments</x:v>
      </x:c>
      <x:c r="L1527" s="31" t="str">
        <x:v>D06, Markdown line 223; http://nas-1.tail55d152.ts.net:4100/static/MEDICAL_NORDICS_FINANCIALS_DOSSIER.html</x:v>
      </x:c>
    </x:row>
    <x:row r="1528" ht="42" customHeight="1">
      <x:c r="A1528" s="5" t="str">
        <x:v>D06</x:v>
      </x:c>
      <x:c r="B1528" s="5" t="str">
        <x:v>D06-T01</x:v>
      </x:c>
      <x:c r="C1528" s="5" t="str">
        <x:v>5. Complete Company Financial Table (135 Facilities Analyzed)</x:v>
      </x:c>
      <x:c r="D1528" s="5" t="n">
        <x:v>223</x:v>
      </x:c>
      <x:c r="E1528" s="5" t="n">
        <x:v>2</x:v>
      </x:c>
      <x:c r="F1528" s="5" t="str">
        <x:v>Company</x:v>
      </x:c>
      <x:c r="G1528" s="5" t="n">
        <x:v>1</x:v>
      </x:c>
      <x:c r="H1528" s="5" t="n">
        <x:v>1</x:v>
      </x:c>
      <x:c r="I1528" s="5" t="str">
        <x:v>Innovagen</x:v>
      </x:c>
      <x:c r="J1528" s="5" t="str">
        <x:v>SOURCE QUOTE; unvalidated / superseded assessments</x:v>
      </x:c>
      <x:c r="L1528" s="31" t="str">
        <x:v>D06, Markdown line 223; http://nas-1.tail55d152.ts.net:4100/static/MEDICAL_NORDICS_FINANCIALS_DOSSIER.html</x:v>
      </x:c>
    </x:row>
    <x:row r="1529" ht="42" customHeight="1">
      <x:c r="A1529" s="5" t="str">
        <x:v>D06</x:v>
      </x:c>
      <x:c r="B1529" s="5" t="str">
        <x:v>D06-T01</x:v>
      </x:c>
      <x:c r="C1529" s="5" t="str">
        <x:v>5. Complete Company Financial Table (135 Facilities Analyzed)</x:v>
      </x:c>
      <x:c r="D1529" s="5" t="n">
        <x:v>223</x:v>
      </x:c>
      <x:c r="E1529" s="5" t="n">
        <x:v>3</x:v>
      </x:c>
      <x:c r="F1529" s="5" t="str">
        <x:v>Location</x:v>
      </x:c>
      <x:c r="G1529" s="5" t="n">
        <x:v>1</x:v>
      </x:c>
      <x:c r="H1529" s="5" t="n">
        <x:v>1</x:v>
      </x:c>
      <x:c r="I1529" s="5" t="str">
        <x:v>Lund, Sweden</x:v>
      </x:c>
      <x:c r="J1529" s="5" t="str">
        <x:v>SOURCE QUOTE; unvalidated / superseded assessments</x:v>
      </x:c>
      <x:c r="L1529" s="31" t="str">
        <x:v>D06, Markdown line 223; http://nas-1.tail55d152.ts.net:4100/static/MEDICAL_NORDICS_FINANCIALS_DOSSIER.html</x:v>
      </x:c>
    </x:row>
    <x:row r="1530" ht="42" customHeight="1">
      <x:c r="A1530" s="5" t="str">
        <x:v>D06</x:v>
      </x:c>
      <x:c r="B1530" s="5" t="str">
        <x:v>D06-T01</x:v>
      </x:c>
      <x:c r="C1530" s="5" t="str">
        <x:v>5. Complete Company Financial Table (135 Facilities Analyzed)</x:v>
      </x:c>
      <x:c r="D1530" s="5" t="n">
        <x:v>223</x:v>
      </x:c>
      <x:c r="E1530" s="5" t="n">
        <x:v>4</x:v>
      </x:c>
      <x:c r="F1530" s="5" t="str">
        <x:v>Focus Area</x:v>
      </x:c>
      <x:c r="G1530" s="5" t="n">
        <x:v>1</x:v>
      </x:c>
      <x:c r="H1530" s="5" t="n">
        <x:v>1</x:v>
      </x:c>
      <x:c r="I1530" s="5" t="str">
        <x:v>Custom Antibodies &amp; Peptide Synthesis</x:v>
      </x:c>
      <x:c r="J1530" s="5" t="str">
        <x:v>SOURCE QUOTE; unvalidated / superseded assessments</x:v>
      </x:c>
      <x:c r="L1530" s="31" t="str">
        <x:v>D06, Markdown line 223; http://nas-1.tail55d152.ts.net:4100/static/MEDICAL_NORDICS_FINANCIALS_DOSSIER.html</x:v>
      </x:c>
    </x:row>
    <x:row r="1531" ht="42" customHeight="1">
      <x:c r="A1531" s="5" t="str">
        <x:v>D06</x:v>
      </x:c>
      <x:c r="B1531" s="5" t="str">
        <x:v>D06-T01</x:v>
      </x:c>
      <x:c r="C1531" s="5" t="str">
        <x:v>5. Complete Company Financial Table (135 Facilities Analyzed)</x:v>
      </x:c>
      <x:c r="D1531" s="5" t="n">
        <x:v>223</x:v>
      </x:c>
      <x:c r="E1531" s="5" t="n">
        <x:v>5</x:v>
      </x:c>
      <x:c r="F1531" s="5" t="str">
        <x:v>Revenue / Net Sales</x:v>
      </x:c>
      <x:c r="G1531" s="5" t="n">
        <x:v>1</x:v>
      </x:c>
      <x:c r="H1531" s="5" t="n">
        <x:v>1</x:v>
      </x:c>
      <x:c r="I1531" s="5" t="str">
        <x:v>SEK 22.4M</x:v>
      </x:c>
      <x:c r="J1531" s="5" t="str">
        <x:v>SOURCE QUOTE; unvalidated / superseded assessments</x:v>
      </x:c>
      <x:c r="L1531" s="31" t="str">
        <x:v>D06, Markdown line 223; http://nas-1.tail55d152.ts.net:4100/static/MEDICAL_NORDICS_FINANCIALS_DOSSIER.html</x:v>
      </x:c>
    </x:row>
    <x:row r="1532" ht="42" customHeight="1">
      <x:c r="A1532" s="5" t="str">
        <x:v>D06</x:v>
      </x:c>
      <x:c r="B1532" s="5" t="str">
        <x:v>D06-T01</x:v>
      </x:c>
      <x:c r="C1532" s="5" t="str">
        <x:v>5. Complete Company Financial Table (135 Facilities Analyzed)</x:v>
      </x:c>
      <x:c r="D1532" s="5" t="n">
        <x:v>223</x:v>
      </x:c>
      <x:c r="E1532" s="5" t="n">
        <x:v>6</x:v>
      </x:c>
      <x:c r="F1532" s="5" t="str">
        <x:v>R&amp;D Spend</x:v>
      </x:c>
      <x:c r="G1532" s="5" t="n">
        <x:v>1</x:v>
      </x:c>
      <x:c r="H1532" s="5" t="n">
        <x:v>1</x:v>
      </x:c>
      <x:c r="I1532" s="5" t="str">
        <x:v>SEK 4.2M</x:v>
      </x:c>
      <x:c r="J1532" s="5" t="str">
        <x:v>SOURCE QUOTE; unvalidated / superseded assessments</x:v>
      </x:c>
      <x:c r="L1532" s="31" t="str">
        <x:v>D06, Markdown line 223; http://nas-1.tail55d152.ts.net:4100/static/MEDICAL_NORDICS_FINANCIALS_DOSSIER.html</x:v>
      </x:c>
    </x:row>
    <x:row r="1533" ht="42" customHeight="1">
      <x:c r="A1533" s="5" t="str">
        <x:v>D06</x:v>
      </x:c>
      <x:c r="B1533" s="5" t="str">
        <x:v>D06-T01</x:v>
      </x:c>
      <x:c r="C1533" s="5" t="str">
        <x:v>5. Complete Company Financial Table (135 Facilities Analyzed)</x:v>
      </x:c>
      <x:c r="D1533" s="5" t="n">
        <x:v>223</x:v>
      </x:c>
      <x:c r="E1533" s="5" t="n">
        <x:v>7</x:v>
      </x:c>
      <x:c r="F1533" s="5" t="str">
        <x:v>Currency</x:v>
      </x:c>
      <x:c r="G1533" s="5" t="n">
        <x:v>1</x:v>
      </x:c>
      <x:c r="H1533" s="5" t="n">
        <x:v>1</x:v>
      </x:c>
      <x:c r="I1533" s="5" t="str">
        <x:v>SEK</x:v>
      </x:c>
      <x:c r="J1533" s="5" t="str">
        <x:v>SOURCE QUOTE; unvalidated / superseded assessments</x:v>
      </x:c>
      <x:c r="L1533" s="31" t="str">
        <x:v>D06, Markdown line 223; http://nas-1.tail55d152.ts.net:4100/static/MEDICAL_NORDICS_FINANCIALS_DOSSIER.html</x:v>
      </x:c>
    </x:row>
    <x:row r="1534" ht="42" customHeight="1">
      <x:c r="A1534" s="5" t="str">
        <x:v>D06</x:v>
      </x:c>
      <x:c r="B1534" s="5" t="str">
        <x:v>D06-T01</x:v>
      </x:c>
      <x:c r="C1534" s="5" t="str">
        <x:v>5. Complete Company Financial Table (135 Facilities Analyzed)</x:v>
      </x:c>
      <x:c r="D1534" s="5" t="n">
        <x:v>223</x:v>
      </x:c>
      <x:c r="E1534" s="5" t="n">
        <x:v>8</x:v>
      </x:c>
      <x:c r="F1534" s="5" t="str">
        <x:v>Fiscal Year</x:v>
      </x:c>
      <x:c r="G1534" s="5" t="n">
        <x:v>1</x:v>
      </x:c>
      <x:c r="H1534" s="5" t="n">
        <x:v>1</x:v>
      </x:c>
      <x:c r="I1534" s="5" t="str">
        <x:v>FY2023</x:v>
      </x:c>
      <x:c r="J1534" s="5" t="str">
        <x:v>SOURCE QUOTE; unvalidated / superseded assessments</x:v>
      </x:c>
      <x:c r="L1534" s="31" t="str">
        <x:v>D06, Markdown line 223; http://nas-1.tail55d152.ts.net:4100/static/MEDICAL_NORDICS_FINANCIALS_DOSSIER.html</x:v>
      </x:c>
    </x:row>
    <x:row r="1535" ht="42" customHeight="1">
      <x:c r="A1535" s="5" t="str">
        <x:v>D06</x:v>
      </x:c>
      <x:c r="B1535" s="5" t="str">
        <x:v>D06-T01</x:v>
      </x:c>
      <x:c r="C1535" s="5" t="str">
        <x:v>5. Complete Company Financial Table (135 Facilities Analyzed)</x:v>
      </x:c>
      <x:c r="D1535" s="5" t="n">
        <x:v>223</x:v>
      </x:c>
      <x:c r="E1535" s="5" t="n">
        <x:v>9</x:v>
      </x:c>
      <x:c r="F1535" s="5" t="str">
        <x:v>Status / Ownership / Strategic Service Alignment</x:v>
      </x:c>
      <x:c r="G1535" s="5" t="n">
        <x:v>1</x:v>
      </x:c>
      <x:c r="H1535" s="5" t="n">
        <x:v>1</x:v>
      </x:c>
      <x:c r="I1535" s="5" t="str">
        <x:v>Private CRO; Package D (Custom synthesis batch profitability modeling)</x:v>
      </x:c>
      <x:c r="J1535" s="5" t="str">
        <x:v>SOURCE QUOTE; unvalidated / superseded assessments</x:v>
      </x:c>
      <x:c r="L1535" s="31" t="str">
        <x:v>D06, Markdown line 223; http://nas-1.tail55d152.ts.net:4100/static/MEDICAL_NORDICS_FINANCIALS_DOSSIER.html</x:v>
      </x:c>
    </x:row>
    <x:row r="1536" ht="42" customHeight="1">
      <x:c r="A1536" s="5" t="str">
        <x:v>D06</x:v>
      </x:c>
      <x:c r="B1536" s="5" t="str">
        <x:v>D06-T01</x:v>
      </x:c>
      <x:c r="C1536" s="5" t="str">
        <x:v>5. Complete Company Financial Table (135 Facilities Analyzed)</x:v>
      </x:c>
      <x:c r="D1536" s="5" t="n">
        <x:v>224</x:v>
      </x:c>
      <x:c r="E1536" s="5" t="n">
        <x:v>1</x:v>
      </x:c>
      <x:c r="F1536" s="5" t="str">
        <x:v>#</x:v>
      </x:c>
      <x:c r="G1536" s="5" t="n">
        <x:v>1</x:v>
      </x:c>
      <x:c r="H1536" s="5" t="n">
        <x:v>1</x:v>
      </x:c>
      <x:c r="I1536" s="5" t="str">
        <x:v>43</x:v>
      </x:c>
      <x:c r="J1536" s="5" t="str">
        <x:v>SOURCE QUOTE; unvalidated / superseded assessments</x:v>
      </x:c>
      <x:c r="L1536" s="31" t="str">
        <x:v>D06, Markdown line 224; http://nas-1.tail55d152.ts.net:4100/static/MEDICAL_NORDICS_FINANCIALS_DOSSIER.html</x:v>
      </x:c>
    </x:row>
    <x:row r="1537" ht="42" customHeight="1">
      <x:c r="A1537" s="5" t="str">
        <x:v>D06</x:v>
      </x:c>
      <x:c r="B1537" s="5" t="str">
        <x:v>D06-T01</x:v>
      </x:c>
      <x:c r="C1537" s="5" t="str">
        <x:v>5. Complete Company Financial Table (135 Facilities Analyzed)</x:v>
      </x:c>
      <x:c r="D1537" s="5" t="n">
        <x:v>224</x:v>
      </x:c>
      <x:c r="E1537" s="5" t="n">
        <x:v>2</x:v>
      </x:c>
      <x:c r="F1537" s="5" t="str">
        <x:v>Company</x:v>
      </x:c>
      <x:c r="G1537" s="5" t="n">
        <x:v>1</x:v>
      </x:c>
      <x:c r="H1537" s="5" t="n">
        <x:v>1</x:v>
      </x:c>
      <x:c r="I1537" s="5" t="str">
        <x:v>Magle Biopharma</x:v>
      </x:c>
      <x:c r="J1537" s="5" t="str">
        <x:v>SOURCE QUOTE; unvalidated / superseded assessments</x:v>
      </x:c>
      <x:c r="L1537" s="31" t="str">
        <x:v>D06, Markdown line 224; http://nas-1.tail55d152.ts.net:4100/static/MEDICAL_NORDICS_FINANCIALS_DOSSIER.html</x:v>
      </x:c>
    </x:row>
    <x:row r="1538" ht="42" customHeight="1">
      <x:c r="A1538" s="5" t="str">
        <x:v>D06</x:v>
      </x:c>
      <x:c r="B1538" s="5" t="str">
        <x:v>D06-T01</x:v>
      </x:c>
      <x:c r="C1538" s="5" t="str">
        <x:v>5. Complete Company Financial Table (135 Facilities Analyzed)</x:v>
      </x:c>
      <x:c r="D1538" s="5" t="n">
        <x:v>224</x:v>
      </x:c>
      <x:c r="E1538" s="5" t="n">
        <x:v>3</x:v>
      </x:c>
      <x:c r="F1538" s="5" t="str">
        <x:v>Location</x:v>
      </x:c>
      <x:c r="G1538" s="5" t="n">
        <x:v>1</x:v>
      </x:c>
      <x:c r="H1538" s="5" t="n">
        <x:v>1</x:v>
      </x:c>
      <x:c r="I1538" s="5" t="str">
        <x:v>Lund, Sweden</x:v>
      </x:c>
      <x:c r="J1538" s="5" t="str">
        <x:v>SOURCE QUOTE; unvalidated / superseded assessments</x:v>
      </x:c>
      <x:c r="L1538" s="31" t="str">
        <x:v>D06, Markdown line 224; http://nas-1.tail55d152.ts.net:4100/static/MEDICAL_NORDICS_FINANCIALS_DOSSIER.html</x:v>
      </x:c>
    </x:row>
    <x:row r="1539" ht="42" customHeight="1">
      <x:c r="A1539" s="5" t="str">
        <x:v>D06</x:v>
      </x:c>
      <x:c r="B1539" s="5" t="str">
        <x:v>D06-T01</x:v>
      </x:c>
      <x:c r="C1539" s="5" t="str">
        <x:v>5. Complete Company Financial Table (135 Facilities Analyzed)</x:v>
      </x:c>
      <x:c r="D1539" s="5" t="n">
        <x:v>224</x:v>
      </x:c>
      <x:c r="E1539" s="5" t="n">
        <x:v>4</x:v>
      </x:c>
      <x:c r="F1539" s="5" t="str">
        <x:v>Focus Area</x:v>
      </x:c>
      <x:c r="G1539" s="5" t="n">
        <x:v>1</x:v>
      </x:c>
      <x:c r="H1539" s="5" t="n">
        <x:v>1</x:v>
      </x:c>
      <x:c r="I1539" s="5" t="str">
        <x:v>Starch Microspheres &amp; Stem Cell CDMO</x:v>
      </x:c>
      <x:c r="J1539" s="5" t="str">
        <x:v>SOURCE QUOTE; unvalidated / superseded assessments</x:v>
      </x:c>
      <x:c r="L1539" s="31" t="str">
        <x:v>D06, Markdown line 224; http://nas-1.tail55d152.ts.net:4100/static/MEDICAL_NORDICS_FINANCIALS_DOSSIER.html</x:v>
      </x:c>
    </x:row>
    <x:row r="1540" ht="42" customHeight="1">
      <x:c r="A1540" s="5" t="str">
        <x:v>D06</x:v>
      </x:c>
      <x:c r="B1540" s="5" t="str">
        <x:v>D06-T01</x:v>
      </x:c>
      <x:c r="C1540" s="5" t="str">
        <x:v>5. Complete Company Financial Table (135 Facilities Analyzed)</x:v>
      </x:c>
      <x:c r="D1540" s="5" t="n">
        <x:v>224</x:v>
      </x:c>
      <x:c r="E1540" s="5" t="n">
        <x:v>5</x:v>
      </x:c>
      <x:c r="F1540" s="5" t="str">
        <x:v>Revenue / Net Sales</x:v>
      </x:c>
      <x:c r="G1540" s="5" t="n">
        <x:v>1</x:v>
      </x:c>
      <x:c r="H1540" s="5" t="n">
        <x:v>1</x:v>
      </x:c>
      <x:c r="I1540" s="5" t="str">
        <x:v>SEK 185.0M (Group post-merger)</x:v>
      </x:c>
      <x:c r="J1540" s="5" t="str">
        <x:v>SOURCE QUOTE; unvalidated / superseded assessments</x:v>
      </x:c>
      <x:c r="L1540" s="31" t="str">
        <x:v>D06, Markdown line 224; http://nas-1.tail55d152.ts.net:4100/static/MEDICAL_NORDICS_FINANCIALS_DOSSIER.html</x:v>
      </x:c>
    </x:row>
    <x:row r="1541" ht="42" customHeight="1">
      <x:c r="A1541" s="5" t="str">
        <x:v>D06</x:v>
      </x:c>
      <x:c r="B1541" s="5" t="str">
        <x:v>D06-T01</x:v>
      </x:c>
      <x:c r="C1541" s="5" t="str">
        <x:v>5. Complete Company Financial Table (135 Facilities Analyzed)</x:v>
      </x:c>
      <x:c r="D1541" s="5" t="n">
        <x:v>224</x:v>
      </x:c>
      <x:c r="E1541" s="5" t="n">
        <x:v>6</x:v>
      </x:c>
      <x:c r="F1541" s="5" t="str">
        <x:v>R&amp;D Spend</x:v>
      </x:c>
      <x:c r="G1541" s="5" t="n">
        <x:v>1</x:v>
      </x:c>
      <x:c r="H1541" s="5" t="n">
        <x:v>1</x:v>
      </x:c>
      <x:c r="I1541" s="5" t="str">
        <x:v>SEK 34.5M</x:v>
      </x:c>
      <x:c r="J1541" s="5" t="str">
        <x:v>SOURCE QUOTE; unvalidated / superseded assessments</x:v>
      </x:c>
      <x:c r="L1541" s="31" t="str">
        <x:v>D06, Markdown line 224; http://nas-1.tail55d152.ts.net:4100/static/MEDICAL_NORDICS_FINANCIALS_DOSSIER.html</x:v>
      </x:c>
    </x:row>
    <x:row r="1542" ht="42" customHeight="1">
      <x:c r="A1542" s="5" t="str">
        <x:v>D06</x:v>
      </x:c>
      <x:c r="B1542" s="5" t="str">
        <x:v>D06-T01</x:v>
      </x:c>
      <x:c r="C1542" s="5" t="str">
        <x:v>5. Complete Company Financial Table (135 Facilities Analyzed)</x:v>
      </x:c>
      <x:c r="D1542" s="5" t="n">
        <x:v>224</x:v>
      </x:c>
      <x:c r="E1542" s="5" t="n">
        <x:v>7</x:v>
      </x:c>
      <x:c r="F1542" s="5" t="str">
        <x:v>Currency</x:v>
      </x:c>
      <x:c r="G1542" s="5" t="n">
        <x:v>1</x:v>
      </x:c>
      <x:c r="H1542" s="5" t="n">
        <x:v>1</x:v>
      </x:c>
      <x:c r="I1542" s="5" t="str">
        <x:v>SEK</x:v>
      </x:c>
      <x:c r="J1542" s="5" t="str">
        <x:v>SOURCE QUOTE; unvalidated / superseded assessments</x:v>
      </x:c>
      <x:c r="L1542" s="31" t="str">
        <x:v>D06, Markdown line 224; http://nas-1.tail55d152.ts.net:4100/static/MEDICAL_NORDICS_FINANCIALS_DOSSIER.html</x:v>
      </x:c>
    </x:row>
    <x:row r="1543" ht="42" customHeight="1">
      <x:c r="A1543" s="5" t="str">
        <x:v>D06</x:v>
      </x:c>
      <x:c r="B1543" s="5" t="str">
        <x:v>D06-T01</x:v>
      </x:c>
      <x:c r="C1543" s="5" t="str">
        <x:v>5. Complete Company Financial Table (135 Facilities Analyzed)</x:v>
      </x:c>
      <x:c r="D1543" s="5" t="n">
        <x:v>224</x:v>
      </x:c>
      <x:c r="E1543" s="5" t="n">
        <x:v>8</x:v>
      </x:c>
      <x:c r="F1543" s="5" t="str">
        <x:v>Fiscal Year</x:v>
      </x:c>
      <x:c r="G1543" s="5" t="n">
        <x:v>1</x:v>
      </x:c>
      <x:c r="H1543" s="5" t="n">
        <x:v>1</x:v>
      </x:c>
      <x:c r="I1543" s="5" t="str">
        <x:v>FY2024</x:v>
      </x:c>
      <x:c r="J1543" s="5" t="str">
        <x:v>SOURCE QUOTE; unvalidated / superseded assessments</x:v>
      </x:c>
      <x:c r="L1543" s="31" t="str">
        <x:v>D06, Markdown line 224; http://nas-1.tail55d152.ts.net:4100/static/MEDICAL_NORDICS_FINANCIALS_DOSSIER.html</x:v>
      </x:c>
    </x:row>
    <x:row r="1544" ht="42" customHeight="1">
      <x:c r="A1544" s="5" t="str">
        <x:v>D06</x:v>
      </x:c>
      <x:c r="B1544" s="5" t="str">
        <x:v>D06-T01</x:v>
      </x:c>
      <x:c r="C1544" s="5" t="str">
        <x:v>5. Complete Company Financial Table (135 Facilities Analyzed)</x:v>
      </x:c>
      <x:c r="D1544" s="5" t="n">
        <x:v>224</x:v>
      </x:c>
      <x:c r="E1544" s="5" t="n">
        <x:v>9</x:v>
      </x:c>
      <x:c r="F1544" s="5" t="str">
        <x:v>Status / Ownership / Strategic Service Alignment</x:v>
      </x:c>
      <x:c r="G1544" s="5" t="n">
        <x:v>1</x:v>
      </x:c>
      <x:c r="H1544" s="5" t="n">
        <x:v>1</x:v>
      </x:c>
      <x:c r="I1544" s="5" t="str">
        <x:v>Listed (First North: MAGLE); Package D (Cleanroom operations &amp; CDMO pipeline tracking)</x:v>
      </x:c>
      <x:c r="J1544" s="5" t="str">
        <x:v>SOURCE QUOTE; unvalidated / superseded assessments</x:v>
      </x:c>
      <x:c r="L1544" s="31" t="str">
        <x:v>D06, Markdown line 224; http://nas-1.tail55d152.ts.net:4100/static/MEDICAL_NORDICS_FINANCIALS_DOSSIER.html</x:v>
      </x:c>
    </x:row>
    <x:row r="1545" ht="42" customHeight="1">
      <x:c r="A1545" s="5" t="str">
        <x:v>D06</x:v>
      </x:c>
      <x:c r="B1545" s="5" t="str">
        <x:v>D06-T01</x:v>
      </x:c>
      <x:c r="C1545" s="5" t="str">
        <x:v>5. Complete Company Financial Table (135 Facilities Analyzed)</x:v>
      </x:c>
      <x:c r="D1545" s="5" t="n">
        <x:v>225</x:v>
      </x:c>
      <x:c r="E1545" s="5" t="n">
        <x:v>1</x:v>
      </x:c>
      <x:c r="F1545" s="5" t="str">
        <x:v>#</x:v>
      </x:c>
      <x:c r="G1545" s="5" t="n">
        <x:v>1</x:v>
      </x:c>
      <x:c r="H1545" s="5" t="n">
        <x:v>1</x:v>
      </x:c>
      <x:c r="I1545" s="5" t="str">
        <x:v>44</x:v>
      </x:c>
      <x:c r="J1545" s="5" t="str">
        <x:v>SOURCE QUOTE; unvalidated / superseded assessments</x:v>
      </x:c>
      <x:c r="L1545" s="31" t="str">
        <x:v>D06, Markdown line 225; http://nas-1.tail55d152.ts.net:4100/static/MEDICAL_NORDICS_FINANCIALS_DOSSIER.html</x:v>
      </x:c>
    </x:row>
    <x:row r="1546" ht="42" customHeight="1">
      <x:c r="A1546" s="5" t="str">
        <x:v>D06</x:v>
      </x:c>
      <x:c r="B1546" s="5" t="str">
        <x:v>D06-T01</x:v>
      </x:c>
      <x:c r="C1546" s="5" t="str">
        <x:v>5. Complete Company Financial Table (135 Facilities Analyzed)</x:v>
      </x:c>
      <x:c r="D1546" s="5" t="n">
        <x:v>225</x:v>
      </x:c>
      <x:c r="E1546" s="5" t="n">
        <x:v>2</x:v>
      </x:c>
      <x:c r="F1546" s="5" t="str">
        <x:v>Company</x:v>
      </x:c>
      <x:c r="G1546" s="5" t="n">
        <x:v>1</x:v>
      </x:c>
      <x:c r="H1546" s="5" t="n">
        <x:v>1</x:v>
      </x:c>
      <x:c r="I1546" s="5" t="str">
        <x:v>Newbury Pharmaceuticals</x:v>
      </x:c>
      <x:c r="J1546" s="5" t="str">
        <x:v>SOURCE QUOTE; unvalidated / superseded assessments</x:v>
      </x:c>
      <x:c r="L1546" s="31" t="str">
        <x:v>D06, Markdown line 225; http://nas-1.tail55d152.ts.net:4100/static/MEDICAL_NORDICS_FINANCIALS_DOSSIER.html</x:v>
      </x:c>
    </x:row>
    <x:row r="1547" ht="42" customHeight="1">
      <x:c r="A1547" s="5" t="str">
        <x:v>D06</x:v>
      </x:c>
      <x:c r="B1547" s="5" t="str">
        <x:v>D06-T01</x:v>
      </x:c>
      <x:c r="C1547" s="5" t="str">
        <x:v>5. Complete Company Financial Table (135 Facilities Analyzed)</x:v>
      </x:c>
      <x:c r="D1547" s="5" t="n">
        <x:v>225</x:v>
      </x:c>
      <x:c r="E1547" s="5" t="n">
        <x:v>3</x:v>
      </x:c>
      <x:c r="F1547" s="5" t="str">
        <x:v>Location</x:v>
      </x:c>
      <x:c r="G1547" s="5" t="n">
        <x:v>1</x:v>
      </x:c>
      <x:c r="H1547" s="5" t="n">
        <x:v>1</x:v>
      </x:c>
      <x:c r="I1547" s="5" t="str">
        <x:v>Lund, Sweden</x:v>
      </x:c>
      <x:c r="J1547" s="5" t="str">
        <x:v>SOURCE QUOTE; unvalidated / superseded assessments</x:v>
      </x:c>
      <x:c r="L1547" s="31" t="str">
        <x:v>D06, Markdown line 225; http://nas-1.tail55d152.ts.net:4100/static/MEDICAL_NORDICS_FINANCIALS_DOSSIER.html</x:v>
      </x:c>
    </x:row>
    <x:row r="1548" ht="42" customHeight="1">
      <x:c r="A1548" s="5" t="str">
        <x:v>D06</x:v>
      </x:c>
      <x:c r="B1548" s="5" t="str">
        <x:v>D06-T01</x:v>
      </x:c>
      <x:c r="C1548" s="5" t="str">
        <x:v>5. Complete Company Financial Table (135 Facilities Analyzed)</x:v>
      </x:c>
      <x:c r="D1548" s="5" t="n">
        <x:v>225</x:v>
      </x:c>
      <x:c r="E1548" s="5" t="n">
        <x:v>4</x:v>
      </x:c>
      <x:c r="F1548" s="5" t="str">
        <x:v>Focus Area</x:v>
      </x:c>
      <x:c r="G1548" s="5" t="n">
        <x:v>1</x:v>
      </x:c>
      <x:c r="H1548" s="5" t="n">
        <x:v>1</x:v>
      </x:c>
      <x:c r="I1548" s="5" t="str">
        <x:v>Specialty Rx In-licensing</x:v>
      </x:c>
      <x:c r="J1548" s="5" t="str">
        <x:v>SOURCE QUOTE; unvalidated / superseded assessments</x:v>
      </x:c>
      <x:c r="L1548" s="31" t="str">
        <x:v>D06, Markdown line 225; http://nas-1.tail55d152.ts.net:4100/static/MEDICAL_NORDICS_FINANCIALS_DOSSIER.html</x:v>
      </x:c>
    </x:row>
    <x:row r="1549" ht="42" customHeight="1">
      <x:c r="A1549" s="5" t="str">
        <x:v>D06</x:v>
      </x:c>
      <x:c r="B1549" s="5" t="str">
        <x:v>D06-T01</x:v>
      </x:c>
      <x:c r="C1549" s="5" t="str">
        <x:v>5. Complete Company Financial Table (135 Facilities Analyzed)</x:v>
      </x:c>
      <x:c r="D1549" s="5" t="n">
        <x:v>225</x:v>
      </x:c>
      <x:c r="E1549" s="5" t="n">
        <x:v>5</x:v>
      </x:c>
      <x:c r="F1549" s="5" t="str">
        <x:v>Revenue / Net Sales</x:v>
      </x:c>
      <x:c r="G1549" s="5" t="n">
        <x:v>1</x:v>
      </x:c>
      <x:c r="H1549" s="5" t="n">
        <x:v>1</x:v>
      </x:c>
      <x:c r="I1549" s="5" t="str">
        <x:v>SEK 18.5M (SEK 10.3M FY23)</x:v>
      </x:c>
      <x:c r="J1549" s="5" t="str">
        <x:v>SOURCE QUOTE; unvalidated / superseded assessments</x:v>
      </x:c>
      <x:c r="L1549" s="31" t="str">
        <x:v>D06, Markdown line 225; http://nas-1.tail55d152.ts.net:4100/static/MEDICAL_NORDICS_FINANCIALS_DOSSIER.html</x:v>
      </x:c>
    </x:row>
    <x:row r="1550" ht="42" customHeight="1">
      <x:c r="A1550" s="5" t="str">
        <x:v>D06</x:v>
      </x:c>
      <x:c r="B1550" s="5" t="str">
        <x:v>D06-T01</x:v>
      </x:c>
      <x:c r="C1550" s="5" t="str">
        <x:v>5. Complete Company Financial Table (135 Facilities Analyzed)</x:v>
      </x:c>
      <x:c r="D1550" s="5" t="n">
        <x:v>225</x:v>
      </x:c>
      <x:c r="E1550" s="5" t="n">
        <x:v>6</x:v>
      </x:c>
      <x:c r="F1550" s="5" t="str">
        <x:v>R&amp;D Spend</x:v>
      </x:c>
      <x:c r="G1550" s="5" t="n">
        <x:v>1</x:v>
      </x:c>
      <x:c r="H1550" s="5" t="n">
        <x:v>1</x:v>
      </x:c>
      <x:c r="I1550" s="5" t="str">
        <x:v>SEK 9.4M</x:v>
      </x:c>
      <x:c r="J1550" s="5" t="str">
        <x:v>SOURCE QUOTE; unvalidated / superseded assessments</x:v>
      </x:c>
      <x:c r="L1550" s="31" t="str">
        <x:v>D06, Markdown line 225; http://nas-1.tail55d152.ts.net:4100/static/MEDICAL_NORDICS_FINANCIALS_DOSSIER.html</x:v>
      </x:c>
    </x:row>
    <x:row r="1551" ht="42" customHeight="1">
      <x:c r="A1551" s="5" t="str">
        <x:v>D06</x:v>
      </x:c>
      <x:c r="B1551" s="5" t="str">
        <x:v>D06-T01</x:v>
      </x:c>
      <x:c r="C1551" s="5" t="str">
        <x:v>5. Complete Company Financial Table (135 Facilities Analyzed)</x:v>
      </x:c>
      <x:c r="D1551" s="5" t="n">
        <x:v>225</x:v>
      </x:c>
      <x:c r="E1551" s="5" t="n">
        <x:v>7</x:v>
      </x:c>
      <x:c r="F1551" s="5" t="str">
        <x:v>Currency</x:v>
      </x:c>
      <x:c r="G1551" s="5" t="n">
        <x:v>1</x:v>
      </x:c>
      <x:c r="H1551" s="5" t="n">
        <x:v>1</x:v>
      </x:c>
      <x:c r="I1551" s="5" t="str">
        <x:v>SEK</x:v>
      </x:c>
      <x:c r="J1551" s="5" t="str">
        <x:v>SOURCE QUOTE; unvalidated / superseded assessments</x:v>
      </x:c>
      <x:c r="L1551" s="31" t="str">
        <x:v>D06, Markdown line 225; http://nas-1.tail55d152.ts.net:4100/static/MEDICAL_NORDICS_FINANCIALS_DOSSIER.html</x:v>
      </x:c>
    </x:row>
    <x:row r="1552" ht="42" customHeight="1">
      <x:c r="A1552" s="5" t="str">
        <x:v>D06</x:v>
      </x:c>
      <x:c r="B1552" s="5" t="str">
        <x:v>D06-T01</x:v>
      </x:c>
      <x:c r="C1552" s="5" t="str">
        <x:v>5. Complete Company Financial Table (135 Facilities Analyzed)</x:v>
      </x:c>
      <x:c r="D1552" s="5" t="n">
        <x:v>225</x:v>
      </x:c>
      <x:c r="E1552" s="5" t="n">
        <x:v>8</x:v>
      </x:c>
      <x:c r="F1552" s="5" t="str">
        <x:v>Fiscal Year</x:v>
      </x:c>
      <x:c r="G1552" s="5" t="n">
        <x:v>1</x:v>
      </x:c>
      <x:c r="H1552" s="5" t="n">
        <x:v>1</x:v>
      </x:c>
      <x:c r="I1552" s="5" t="str">
        <x:v>FY2023/24</x:v>
      </x:c>
      <x:c r="J1552" s="5" t="str">
        <x:v>SOURCE QUOTE; unvalidated / superseded assessments</x:v>
      </x:c>
      <x:c r="L1552" s="31" t="str">
        <x:v>D06, Markdown line 225; http://nas-1.tail55d152.ts.net:4100/static/MEDICAL_NORDICS_FINANCIALS_DOSSIER.html</x:v>
      </x:c>
    </x:row>
    <x:row r="1553" ht="42" customHeight="1">
      <x:c r="A1553" s="5" t="str">
        <x:v>D06</x:v>
      </x:c>
      <x:c r="B1553" s="5" t="str">
        <x:v>D06-T01</x:v>
      </x:c>
      <x:c r="C1553" s="5" t="str">
        <x:v>5. Complete Company Financial Table (135 Facilities Analyzed)</x:v>
      </x:c>
      <x:c r="D1553" s="5" t="n">
        <x:v>225</x:v>
      </x:c>
      <x:c r="E1553" s="5" t="n">
        <x:v>9</x:v>
      </x:c>
      <x:c r="F1553" s="5" t="str">
        <x:v>Status / Ownership / Strategic Service Alignment</x:v>
      </x:c>
      <x:c r="G1553" s="5" t="n">
        <x:v>1</x:v>
      </x:c>
      <x:c r="H1553" s="5" t="n">
        <x:v>1</x:v>
      </x:c>
      <x:c r="I1553" s="5" t="str">
        <x:v>Listed (First North: NEWBRY); Package C (Nordic commercial launch S&amp;OP portal)</x:v>
      </x:c>
      <x:c r="J1553" s="5" t="str">
        <x:v>SOURCE QUOTE; unvalidated / superseded assessments</x:v>
      </x:c>
      <x:c r="L1553" s="31" t="str">
        <x:v>D06, Markdown line 225; http://nas-1.tail55d152.ts.net:4100/static/MEDICAL_NORDICS_FINANCIALS_DOSSIER.html</x:v>
      </x:c>
    </x:row>
    <x:row r="1554" ht="42" customHeight="1">
      <x:c r="A1554" s="5" t="str">
        <x:v>D06</x:v>
      </x:c>
      <x:c r="B1554" s="5" t="str">
        <x:v>D06-T01</x:v>
      </x:c>
      <x:c r="C1554" s="5" t="str">
        <x:v>5. Complete Company Financial Table (135 Facilities Analyzed)</x:v>
      </x:c>
      <x:c r="D1554" s="5" t="n">
        <x:v>226</x:v>
      </x:c>
      <x:c r="E1554" s="5" t="n">
        <x:v>1</x:v>
      </x:c>
      <x:c r="F1554" s="5" t="str">
        <x:v>#</x:v>
      </x:c>
      <x:c r="G1554" s="5" t="n">
        <x:v>1</x:v>
      </x:c>
      <x:c r="H1554" s="5" t="n">
        <x:v>1</x:v>
      </x:c>
      <x:c r="I1554" s="5" t="str">
        <x:v>45</x:v>
      </x:c>
      <x:c r="J1554" s="5" t="str">
        <x:v>SOURCE QUOTE; unvalidated / superseded assessments</x:v>
      </x:c>
      <x:c r="L1554" s="31" t="str">
        <x:v>D06, Markdown line 226; http://nas-1.tail55d152.ts.net:4100/static/MEDICAL_NORDICS_FINANCIALS_DOSSIER.html</x:v>
      </x:c>
    </x:row>
    <x:row r="1555" ht="42" customHeight="1">
      <x:c r="A1555" s="5" t="str">
        <x:v>D06</x:v>
      </x:c>
      <x:c r="B1555" s="5" t="str">
        <x:v>D06-T01</x:v>
      </x:c>
      <x:c r="C1555" s="5" t="str">
        <x:v>5. Complete Company Financial Table (135 Facilities Analyzed)</x:v>
      </x:c>
      <x:c r="D1555" s="5" t="n">
        <x:v>226</x:v>
      </x:c>
      <x:c r="E1555" s="5" t="n">
        <x:v>2</x:v>
      </x:c>
      <x:c r="F1555" s="5" t="str">
        <x:v>Company</x:v>
      </x:c>
      <x:c r="G1555" s="5" t="n">
        <x:v>1</x:v>
      </x:c>
      <x:c r="H1555" s="5" t="n">
        <x:v>1</x:v>
      </x:c>
      <x:c r="I1555" s="5" t="str">
        <x:v>Qlucore</x:v>
      </x:c>
      <x:c r="J1555" s="5" t="str">
        <x:v>SOURCE QUOTE; unvalidated / superseded assessments</x:v>
      </x:c>
      <x:c r="L1555" s="31" t="str">
        <x:v>D06, Markdown line 226; http://nas-1.tail55d152.ts.net:4100/static/MEDICAL_NORDICS_FINANCIALS_DOSSIER.html</x:v>
      </x:c>
    </x:row>
    <x:row r="1556" ht="42" customHeight="1">
      <x:c r="A1556" s="5" t="str">
        <x:v>D06</x:v>
      </x:c>
      <x:c r="B1556" s="5" t="str">
        <x:v>D06-T01</x:v>
      </x:c>
      <x:c r="C1556" s="5" t="str">
        <x:v>5. Complete Company Financial Table (135 Facilities Analyzed)</x:v>
      </x:c>
      <x:c r="D1556" s="5" t="n">
        <x:v>226</x:v>
      </x:c>
      <x:c r="E1556" s="5" t="n">
        <x:v>3</x:v>
      </x:c>
      <x:c r="F1556" s="5" t="str">
        <x:v>Location</x:v>
      </x:c>
      <x:c r="G1556" s="5" t="n">
        <x:v>1</x:v>
      </x:c>
      <x:c r="H1556" s="5" t="n">
        <x:v>1</x:v>
      </x:c>
      <x:c r="I1556" s="5" t="str">
        <x:v>Lund, Sweden</x:v>
      </x:c>
      <x:c r="J1556" s="5" t="str">
        <x:v>SOURCE QUOTE; unvalidated / superseded assessments</x:v>
      </x:c>
      <x:c r="L1556" s="31" t="str">
        <x:v>D06, Markdown line 226; http://nas-1.tail55d152.ts.net:4100/static/MEDICAL_NORDICS_FINANCIALS_DOSSIER.html</x:v>
      </x:c>
    </x:row>
    <x:row r="1557" ht="42" customHeight="1">
      <x:c r="A1557" s="5" t="str">
        <x:v>D06</x:v>
      </x:c>
      <x:c r="B1557" s="5" t="str">
        <x:v>D06-T01</x:v>
      </x:c>
      <x:c r="C1557" s="5" t="str">
        <x:v>5. Complete Company Financial Table (135 Facilities Analyzed)</x:v>
      </x:c>
      <x:c r="D1557" s="5" t="n">
        <x:v>226</x:v>
      </x:c>
      <x:c r="E1557" s="5" t="n">
        <x:v>4</x:v>
      </x:c>
      <x:c r="F1557" s="5" t="str">
        <x:v>Focus Area</x:v>
      </x:c>
      <x:c r="G1557" s="5" t="n">
        <x:v>1</x:v>
      </x:c>
      <x:c r="H1557" s="5" t="n">
        <x:v>1</x:v>
      </x:c>
      <x:c r="I1557" s="5" t="str">
        <x:v>Precision Cancer Diagnostic Software</x:v>
      </x:c>
      <x:c r="J1557" s="5" t="str">
        <x:v>SOURCE QUOTE; unvalidated / superseded assessments</x:v>
      </x:c>
      <x:c r="L1557" s="31" t="str">
        <x:v>D06, Markdown line 226; http://nas-1.tail55d152.ts.net:4100/static/MEDICAL_NORDICS_FINANCIALS_DOSSIER.html</x:v>
      </x:c>
    </x:row>
    <x:row r="1558" ht="42" customHeight="1">
      <x:c r="A1558" s="5" t="str">
        <x:v>D06</x:v>
      </x:c>
      <x:c r="B1558" s="5" t="str">
        <x:v>D06-T01</x:v>
      </x:c>
      <x:c r="C1558" s="5" t="str">
        <x:v>5. Complete Company Financial Table (135 Facilities Analyzed)</x:v>
      </x:c>
      <x:c r="D1558" s="5" t="n">
        <x:v>226</x:v>
      </x:c>
      <x:c r="E1558" s="5" t="n">
        <x:v>5</x:v>
      </x:c>
      <x:c r="F1558" s="5" t="str">
        <x:v>Revenue / Net Sales</x:v>
      </x:c>
      <x:c r="G1558" s="5" t="n">
        <x:v>1</x:v>
      </x:c>
      <x:c r="H1558" s="5" t="n">
        <x:v>1</x:v>
      </x:c>
      <x:c r="I1558" s="5" t="str">
        <x:v>SEK 14.37M</x:v>
      </x:c>
      <x:c r="J1558" s="5" t="str">
        <x:v>SOURCE QUOTE; unvalidated / superseded assessments</x:v>
      </x:c>
      <x:c r="L1558" s="31" t="str">
        <x:v>D06, Markdown line 226; http://nas-1.tail55d152.ts.net:4100/static/MEDICAL_NORDICS_FINANCIALS_DOSSIER.html</x:v>
      </x:c>
    </x:row>
    <x:row r="1559" ht="42" customHeight="1">
      <x:c r="A1559" s="5" t="str">
        <x:v>D06</x:v>
      </x:c>
      <x:c r="B1559" s="5" t="str">
        <x:v>D06-T01</x:v>
      </x:c>
      <x:c r="C1559" s="5" t="str">
        <x:v>5. Complete Company Financial Table (135 Facilities Analyzed)</x:v>
      </x:c>
      <x:c r="D1559" s="5" t="n">
        <x:v>226</x:v>
      </x:c>
      <x:c r="E1559" s="5" t="n">
        <x:v>6</x:v>
      </x:c>
      <x:c r="F1559" s="5" t="str">
        <x:v>R&amp;D Spend</x:v>
      </x:c>
      <x:c r="G1559" s="5" t="n">
        <x:v>1</x:v>
      </x:c>
      <x:c r="H1559" s="5" t="n">
        <x:v>1</x:v>
      </x:c>
      <x:c r="I1559" s="5" t="str">
        <x:v>SEK 22.8M</x:v>
      </x:c>
      <x:c r="J1559" s="5" t="str">
        <x:v>SOURCE QUOTE; unvalidated / superseded assessments</x:v>
      </x:c>
      <x:c r="L1559" s="31" t="str">
        <x:v>D06, Markdown line 226; http://nas-1.tail55d152.ts.net:4100/static/MEDICAL_NORDICS_FINANCIALS_DOSSIER.html</x:v>
      </x:c>
    </x:row>
    <x:row r="1560" ht="42" customHeight="1">
      <x:c r="A1560" s="5" t="str">
        <x:v>D06</x:v>
      </x:c>
      <x:c r="B1560" s="5" t="str">
        <x:v>D06-T01</x:v>
      </x:c>
      <x:c r="C1560" s="5" t="str">
        <x:v>5. Complete Company Financial Table (135 Facilities Analyzed)</x:v>
      </x:c>
      <x:c r="D1560" s="5" t="n">
        <x:v>226</x:v>
      </x:c>
      <x:c r="E1560" s="5" t="n">
        <x:v>7</x:v>
      </x:c>
      <x:c r="F1560" s="5" t="str">
        <x:v>Currency</x:v>
      </x:c>
      <x:c r="G1560" s="5" t="n">
        <x:v>1</x:v>
      </x:c>
      <x:c r="H1560" s="5" t="n">
        <x:v>1</x:v>
      </x:c>
      <x:c r="I1560" s="5" t="str">
        <x:v>SEK</x:v>
      </x:c>
      <x:c r="J1560" s="5" t="str">
        <x:v>SOURCE QUOTE; unvalidated / superseded assessments</x:v>
      </x:c>
      <x:c r="L1560" s="31" t="str">
        <x:v>D06, Markdown line 226; http://nas-1.tail55d152.ts.net:4100/static/MEDICAL_NORDICS_FINANCIALS_DOSSIER.html</x:v>
      </x:c>
    </x:row>
    <x:row r="1561" ht="42" customHeight="1">
      <x:c r="A1561" s="5" t="str">
        <x:v>D06</x:v>
      </x:c>
      <x:c r="B1561" s="5" t="str">
        <x:v>D06-T01</x:v>
      </x:c>
      <x:c r="C1561" s="5" t="str">
        <x:v>5. Complete Company Financial Table (135 Facilities Analyzed)</x:v>
      </x:c>
      <x:c r="D1561" s="5" t="n">
        <x:v>226</x:v>
      </x:c>
      <x:c r="E1561" s="5" t="n">
        <x:v>8</x:v>
      </x:c>
      <x:c r="F1561" s="5" t="str">
        <x:v>Fiscal Year</x:v>
      </x:c>
      <x:c r="G1561" s="5" t="n">
        <x:v>1</x:v>
      </x:c>
      <x:c r="H1561" s="5" t="n">
        <x:v>1</x:v>
      </x:c>
      <x:c r="I1561" s="5" t="str">
        <x:v>FY2023/24</x:v>
      </x:c>
      <x:c r="J1561" s="5" t="str">
        <x:v>SOURCE QUOTE; unvalidated / superseded assessments</x:v>
      </x:c>
      <x:c r="L1561" s="31" t="str">
        <x:v>D06, Markdown line 226; http://nas-1.tail55d152.ts.net:4100/static/MEDICAL_NORDICS_FINANCIALS_DOSSIER.html</x:v>
      </x:c>
    </x:row>
    <x:row r="1562" ht="42" customHeight="1">
      <x:c r="A1562" s="5" t="str">
        <x:v>D06</x:v>
      </x:c>
      <x:c r="B1562" s="5" t="str">
        <x:v>D06-T01</x:v>
      </x:c>
      <x:c r="C1562" s="5" t="str">
        <x:v>5. Complete Company Financial Table (135 Facilities Analyzed)</x:v>
      </x:c>
      <x:c r="D1562" s="5" t="n">
        <x:v>226</x:v>
      </x:c>
      <x:c r="E1562" s="5" t="n">
        <x:v>9</x:v>
      </x:c>
      <x:c r="F1562" s="5" t="str">
        <x:v>Status / Ownership / Strategic Service Alignment</x:v>
      </x:c>
      <x:c r="G1562" s="5" t="n">
        <x:v>1</x:v>
      </x:c>
      <x:c r="H1562" s="5" t="n">
        <x:v>1</x:v>
      </x:c>
      <x:c r="I1562" s="5" t="str">
        <x:v>Listed (First North: QLUC); Package E (IVDR clinical software validation &amp; ISO cloud)</x:v>
      </x:c>
      <x:c r="J1562" s="5" t="str">
        <x:v>SOURCE QUOTE; unvalidated / superseded assessments</x:v>
      </x:c>
      <x:c r="L1562" s="31" t="str">
        <x:v>D06, Markdown line 226; http://nas-1.tail55d152.ts.net:4100/static/MEDICAL_NORDICS_FINANCIALS_DOSSIER.html</x:v>
      </x:c>
    </x:row>
    <x:row r="1563" ht="42" customHeight="1">
      <x:c r="A1563" s="5" t="str">
        <x:v>D06</x:v>
      </x:c>
      <x:c r="B1563" s="5" t="str">
        <x:v>D06-T01</x:v>
      </x:c>
      <x:c r="C1563" s="5" t="str">
        <x:v>5. Complete Company Financial Table (135 Facilities Analyzed)</x:v>
      </x:c>
      <x:c r="D1563" s="5" t="n">
        <x:v>227</x:v>
      </x:c>
      <x:c r="E1563" s="5" t="n">
        <x:v>1</x:v>
      </x:c>
      <x:c r="F1563" s="5" t="str">
        <x:v>#</x:v>
      </x:c>
      <x:c r="G1563" s="5" t="n">
        <x:v>1</x:v>
      </x:c>
      <x:c r="H1563" s="5" t="n">
        <x:v>1</x:v>
      </x:c>
      <x:c r="I1563" s="5" t="str">
        <x:v>46</x:v>
      </x:c>
      <x:c r="J1563" s="5" t="str">
        <x:v>SOURCE QUOTE; unvalidated / superseded assessments</x:v>
      </x:c>
      <x:c r="L1563" s="31" t="str">
        <x:v>D06, Markdown line 227; http://nas-1.tail55d152.ts.net:4100/static/MEDICAL_NORDICS_FINANCIALS_DOSSIER.html</x:v>
      </x:c>
    </x:row>
    <x:row r="1564" ht="42" customHeight="1">
      <x:c r="A1564" s="5" t="str">
        <x:v>D06</x:v>
      </x:c>
      <x:c r="B1564" s="5" t="str">
        <x:v>D06-T01</x:v>
      </x:c>
      <x:c r="C1564" s="5" t="str">
        <x:v>5. Complete Company Financial Table (135 Facilities Analyzed)</x:v>
      </x:c>
      <x:c r="D1564" s="5" t="n">
        <x:v>227</x:v>
      </x:c>
      <x:c r="E1564" s="5" t="n">
        <x:v>2</x:v>
      </x:c>
      <x:c r="F1564" s="5" t="str">
        <x:v>Company</x:v>
      </x:c>
      <x:c r="G1564" s="5" t="n">
        <x:v>1</x:v>
      </x:c>
      <x:c r="H1564" s="5" t="n">
        <x:v>1</x:v>
      </x:c>
      <x:c r="I1564" s="5" t="str">
        <x:v>Red Glead Discovery</x:v>
      </x:c>
      <x:c r="J1564" s="5" t="str">
        <x:v>SOURCE QUOTE; unvalidated / superseded assessments</x:v>
      </x:c>
      <x:c r="L1564" s="31" t="str">
        <x:v>D06, Markdown line 227; http://nas-1.tail55d152.ts.net:4100/static/MEDICAL_NORDICS_FINANCIALS_DOSSIER.html</x:v>
      </x:c>
    </x:row>
    <x:row r="1565" ht="42" customHeight="1">
      <x:c r="A1565" s="5" t="str">
        <x:v>D06</x:v>
      </x:c>
      <x:c r="B1565" s="5" t="str">
        <x:v>D06-T01</x:v>
      </x:c>
      <x:c r="C1565" s="5" t="str">
        <x:v>5. Complete Company Financial Table (135 Facilities Analyzed)</x:v>
      </x:c>
      <x:c r="D1565" s="5" t="n">
        <x:v>227</x:v>
      </x:c>
      <x:c r="E1565" s="5" t="n">
        <x:v>3</x:v>
      </x:c>
      <x:c r="F1565" s="5" t="str">
        <x:v>Location</x:v>
      </x:c>
      <x:c r="G1565" s="5" t="n">
        <x:v>1</x:v>
      </x:c>
      <x:c r="H1565" s="5" t="n">
        <x:v>1</x:v>
      </x:c>
      <x:c r="I1565" s="5" t="str">
        <x:v>Lund, Sweden</x:v>
      </x:c>
      <x:c r="J1565" s="5" t="str">
        <x:v>SOURCE QUOTE; unvalidated / superseded assessments</x:v>
      </x:c>
      <x:c r="L1565" s="31" t="str">
        <x:v>D06, Markdown line 227; http://nas-1.tail55d152.ts.net:4100/static/MEDICAL_NORDICS_FINANCIALS_DOSSIER.html</x:v>
      </x:c>
    </x:row>
    <x:row r="1566" ht="42" customHeight="1">
      <x:c r="A1566" s="5" t="str">
        <x:v>D06</x:v>
      </x:c>
      <x:c r="B1566" s="5" t="str">
        <x:v>D06-T01</x:v>
      </x:c>
      <x:c r="C1566" s="5" t="str">
        <x:v>5. Complete Company Financial Table (135 Facilities Analyzed)</x:v>
      </x:c>
      <x:c r="D1566" s="5" t="n">
        <x:v>227</x:v>
      </x:c>
      <x:c r="E1566" s="5" t="n">
        <x:v>4</x:v>
      </x:c>
      <x:c r="F1566" s="5" t="str">
        <x:v>Focus Area</x:v>
      </x:c>
      <x:c r="G1566" s="5" t="n">
        <x:v>1</x:v>
      </x:c>
      <x:c r="H1566" s="5" t="n">
        <x:v>1</x:v>
      </x:c>
      <x:c r="I1566" s="5" t="str">
        <x:v>Preclinical Medicinal Chemistry CRO</x:v>
      </x:c>
      <x:c r="J1566" s="5" t="str">
        <x:v>SOURCE QUOTE; unvalidated / superseded assessments</x:v>
      </x:c>
      <x:c r="L1566" s="31" t="str">
        <x:v>D06, Markdown line 227; http://nas-1.tail55d152.ts.net:4100/static/MEDICAL_NORDICS_FINANCIALS_DOSSIER.html</x:v>
      </x:c>
    </x:row>
    <x:row r="1567" ht="42" customHeight="1">
      <x:c r="A1567" s="5" t="str">
        <x:v>D06</x:v>
      </x:c>
      <x:c r="B1567" s="5" t="str">
        <x:v>D06-T01</x:v>
      </x:c>
      <x:c r="C1567" s="5" t="str">
        <x:v>5. Complete Company Financial Table (135 Facilities Analyzed)</x:v>
      </x:c>
      <x:c r="D1567" s="5" t="n">
        <x:v>227</x:v>
      </x:c>
      <x:c r="E1567" s="5" t="n">
        <x:v>5</x:v>
      </x:c>
      <x:c r="F1567" s="5" t="str">
        <x:v>Revenue / Net Sales</x:v>
      </x:c>
      <x:c r="G1567" s="5" t="n">
        <x:v>1</x:v>
      </x:c>
      <x:c r="H1567" s="5" t="n">
        <x:v>1</x:v>
      </x:c>
      <x:c r="I1567" s="5" t="str">
        <x:v>SEK 48.0M</x:v>
      </x:c>
      <x:c r="J1567" s="5" t="str">
        <x:v>SOURCE QUOTE; unvalidated / superseded assessments</x:v>
      </x:c>
      <x:c r="L1567" s="31" t="str">
        <x:v>D06, Markdown line 227; http://nas-1.tail55d152.ts.net:4100/static/MEDICAL_NORDICS_FINANCIALS_DOSSIER.html</x:v>
      </x:c>
    </x:row>
    <x:row r="1568" ht="42" customHeight="1">
      <x:c r="A1568" s="5" t="str">
        <x:v>D06</x:v>
      </x:c>
      <x:c r="B1568" s="5" t="str">
        <x:v>D06-T01</x:v>
      </x:c>
      <x:c r="C1568" s="5" t="str">
        <x:v>5. Complete Company Financial Table (135 Facilities Analyzed)</x:v>
      </x:c>
      <x:c r="D1568" s="5" t="n">
        <x:v>227</x:v>
      </x:c>
      <x:c r="E1568" s="5" t="n">
        <x:v>6</x:v>
      </x:c>
      <x:c r="F1568" s="5" t="str">
        <x:v>R&amp;D Spend</x:v>
      </x:c>
      <x:c r="G1568" s="5" t="n">
        <x:v>1</x:v>
      </x:c>
      <x:c r="H1568" s="5" t="n">
        <x:v>1</x:v>
      </x:c>
      <x:c r="I1568" s="5" t="str">
        <x:v>SEK 6.8M</x:v>
      </x:c>
      <x:c r="J1568" s="5" t="str">
        <x:v>SOURCE QUOTE; unvalidated / superseded assessments</x:v>
      </x:c>
      <x:c r="L1568" s="31" t="str">
        <x:v>D06, Markdown line 227; http://nas-1.tail55d152.ts.net:4100/static/MEDICAL_NORDICS_FINANCIALS_DOSSIER.html</x:v>
      </x:c>
    </x:row>
    <x:row r="1569" ht="42" customHeight="1">
      <x:c r="A1569" s="5" t="str">
        <x:v>D06</x:v>
      </x:c>
      <x:c r="B1569" s="5" t="str">
        <x:v>D06-T01</x:v>
      </x:c>
      <x:c r="C1569" s="5" t="str">
        <x:v>5. Complete Company Financial Table (135 Facilities Analyzed)</x:v>
      </x:c>
      <x:c r="D1569" s="5" t="n">
        <x:v>227</x:v>
      </x:c>
      <x:c r="E1569" s="5" t="n">
        <x:v>7</x:v>
      </x:c>
      <x:c r="F1569" s="5" t="str">
        <x:v>Currency</x:v>
      </x:c>
      <x:c r="G1569" s="5" t="n">
        <x:v>1</x:v>
      </x:c>
      <x:c r="H1569" s="5" t="n">
        <x:v>1</x:v>
      </x:c>
      <x:c r="I1569" s="5" t="str">
        <x:v>SEK</x:v>
      </x:c>
      <x:c r="J1569" s="5" t="str">
        <x:v>SOURCE QUOTE; unvalidated / superseded assessments</x:v>
      </x:c>
      <x:c r="L1569" s="31" t="str">
        <x:v>D06, Markdown line 227; http://nas-1.tail55d152.ts.net:4100/static/MEDICAL_NORDICS_FINANCIALS_DOSSIER.html</x:v>
      </x:c>
    </x:row>
    <x:row r="1570" ht="42" customHeight="1">
      <x:c r="A1570" s="5" t="str">
        <x:v>D06</x:v>
      </x:c>
      <x:c r="B1570" s="5" t="str">
        <x:v>D06-T01</x:v>
      </x:c>
      <x:c r="C1570" s="5" t="str">
        <x:v>5. Complete Company Financial Table (135 Facilities Analyzed)</x:v>
      </x:c>
      <x:c r="D1570" s="5" t="n">
        <x:v>227</x:v>
      </x:c>
      <x:c r="E1570" s="5" t="n">
        <x:v>8</x:v>
      </x:c>
      <x:c r="F1570" s="5" t="str">
        <x:v>Fiscal Year</x:v>
      </x:c>
      <x:c r="G1570" s="5" t="n">
        <x:v>1</x:v>
      </x:c>
      <x:c r="H1570" s="5" t="n">
        <x:v>1</x:v>
      </x:c>
      <x:c r="I1570" s="5" t="str">
        <x:v>FY2023/24</x:v>
      </x:c>
      <x:c r="J1570" s="5" t="str">
        <x:v>SOURCE QUOTE; unvalidated / superseded assessments</x:v>
      </x:c>
      <x:c r="L1570" s="31" t="str">
        <x:v>D06, Markdown line 227; http://nas-1.tail55d152.ts.net:4100/static/MEDICAL_NORDICS_FINANCIALS_DOSSIER.html</x:v>
      </x:c>
    </x:row>
    <x:row r="1571" ht="42" customHeight="1">
      <x:c r="A1571" s="5" t="str">
        <x:v>D06</x:v>
      </x:c>
      <x:c r="B1571" s="5" t="str">
        <x:v>D06-T01</x:v>
      </x:c>
      <x:c r="C1571" s="5" t="str">
        <x:v>5. Complete Company Financial Table (135 Facilities Analyzed)</x:v>
      </x:c>
      <x:c r="D1571" s="5" t="n">
        <x:v>227</x:v>
      </x:c>
      <x:c r="E1571" s="5" t="n">
        <x:v>9</x:v>
      </x:c>
      <x:c r="F1571" s="5" t="str">
        <x:v>Status / Ownership / Strategic Service Alignment</x:v>
      </x:c>
      <x:c r="G1571" s="5" t="n">
        <x:v>1</x:v>
      </x:c>
      <x:c r="H1571" s="5" t="n">
        <x:v>1</x:v>
      </x:c>
      <x:c r="I1571" s="5" t="str">
        <x:v>Pelago Bioscience unit; Package B (Preclinical chemistry milestone tracking)</x:v>
      </x:c>
      <x:c r="J1571" s="5" t="str">
        <x:v>SOURCE QUOTE; unvalidated / superseded assessments</x:v>
      </x:c>
      <x:c r="L1571" s="31" t="str">
        <x:v>D06, Markdown line 227; http://nas-1.tail55d152.ts.net:4100/static/MEDICAL_NORDICS_FINANCIALS_DOSSIER.html</x:v>
      </x:c>
    </x:row>
    <x:row r="1572" ht="42" customHeight="1">
      <x:c r="A1572" s="5" t="str">
        <x:v>D06</x:v>
      </x:c>
      <x:c r="B1572" s="5" t="str">
        <x:v>D06-T01</x:v>
      </x:c>
      <x:c r="C1572" s="5" t="str">
        <x:v>5. Complete Company Financial Table (135 Facilities Analyzed)</x:v>
      </x:c>
      <x:c r="D1572" s="5" t="n">
        <x:v>228</x:v>
      </x:c>
      <x:c r="E1572" s="5" t="n">
        <x:v>1</x:v>
      </x:c>
      <x:c r="F1572" s="5" t="str">
        <x:v>#</x:v>
      </x:c>
      <x:c r="G1572" s="5" t="n">
        <x:v>1</x:v>
      </x:c>
      <x:c r="H1572" s="5" t="n">
        <x:v>1</x:v>
      </x:c>
      <x:c r="I1572" s="5" t="str">
        <x:v>47</x:v>
      </x:c>
      <x:c r="J1572" s="5" t="str">
        <x:v>SOURCE QUOTE; unvalidated / superseded assessments</x:v>
      </x:c>
      <x:c r="L1572" s="31" t="str">
        <x:v>D06, Markdown line 228; http://nas-1.tail55d152.ts.net:4100/static/MEDICAL_NORDICS_FINANCIALS_DOSSIER.html</x:v>
      </x:c>
    </x:row>
    <x:row r="1573" ht="42" customHeight="1">
      <x:c r="A1573" s="5" t="str">
        <x:v>D06</x:v>
      </x:c>
      <x:c r="B1573" s="5" t="str">
        <x:v>D06-T01</x:v>
      </x:c>
      <x:c r="C1573" s="5" t="str">
        <x:v>5. Complete Company Financial Table (135 Facilities Analyzed)</x:v>
      </x:c>
      <x:c r="D1573" s="5" t="n">
        <x:v>228</x:v>
      </x:c>
      <x:c r="E1573" s="5" t="n">
        <x:v>2</x:v>
      </x:c>
      <x:c r="F1573" s="5" t="str">
        <x:v>Company</x:v>
      </x:c>
      <x:c r="G1573" s="5" t="n">
        <x:v>1</x:v>
      </x:c>
      <x:c r="H1573" s="5" t="n">
        <x:v>1</x:v>
      </x:c>
      <x:c r="I1573" s="5" t="str">
        <x:v>Redoxis</x:v>
      </x:c>
      <x:c r="J1573" s="5" t="str">
        <x:v>SOURCE QUOTE; unvalidated / superseded assessments</x:v>
      </x:c>
      <x:c r="L1573" s="31" t="str">
        <x:v>D06, Markdown line 228; http://nas-1.tail55d152.ts.net:4100/static/MEDICAL_NORDICS_FINANCIALS_DOSSIER.html</x:v>
      </x:c>
    </x:row>
    <x:row r="1574" ht="42" customHeight="1">
      <x:c r="A1574" s="5" t="str">
        <x:v>D06</x:v>
      </x:c>
      <x:c r="B1574" s="5" t="str">
        <x:v>D06-T01</x:v>
      </x:c>
      <x:c r="C1574" s="5" t="str">
        <x:v>5. Complete Company Financial Table (135 Facilities Analyzed)</x:v>
      </x:c>
      <x:c r="D1574" s="5" t="n">
        <x:v>228</x:v>
      </x:c>
      <x:c r="E1574" s="5" t="n">
        <x:v>3</x:v>
      </x:c>
      <x:c r="F1574" s="5" t="str">
        <x:v>Location</x:v>
      </x:c>
      <x:c r="G1574" s="5" t="n">
        <x:v>1</x:v>
      </x:c>
      <x:c r="H1574" s="5" t="n">
        <x:v>1</x:v>
      </x:c>
      <x:c r="I1574" s="5" t="str">
        <x:v>Lund, Sweden</x:v>
      </x:c>
      <x:c r="J1574" s="5" t="str">
        <x:v>SOURCE QUOTE; unvalidated / superseded assessments</x:v>
      </x:c>
      <x:c r="L1574" s="31" t="str">
        <x:v>D06, Markdown line 228; http://nas-1.tail55d152.ts.net:4100/static/MEDICAL_NORDICS_FINANCIALS_DOSSIER.html</x:v>
      </x:c>
    </x:row>
    <x:row r="1575" ht="42" customHeight="1">
      <x:c r="A1575" s="5" t="str">
        <x:v>D06</x:v>
      </x:c>
      <x:c r="B1575" s="5" t="str">
        <x:v>D06-T01</x:v>
      </x:c>
      <x:c r="C1575" s="5" t="str">
        <x:v>5. Complete Company Financial Table (135 Facilities Analyzed)</x:v>
      </x:c>
      <x:c r="D1575" s="5" t="n">
        <x:v>228</x:v>
      </x:c>
      <x:c r="E1575" s="5" t="n">
        <x:v>4</x:v>
      </x:c>
      <x:c r="F1575" s="5" t="str">
        <x:v>Focus Area</x:v>
      </x:c>
      <x:c r="G1575" s="5" t="n">
        <x:v>1</x:v>
      </x:c>
      <x:c r="H1575" s="5" t="n">
        <x:v>1</x:v>
      </x:c>
      <x:c r="I1575" s="5" t="str">
        <x:v>Preclinical Autoimmune CRO</x:v>
      </x:c>
      <x:c r="J1575" s="5" t="str">
        <x:v>SOURCE QUOTE; unvalidated / superseded assessments</x:v>
      </x:c>
      <x:c r="L1575" s="31" t="str">
        <x:v>D06, Markdown line 228; http://nas-1.tail55d152.ts.net:4100/static/MEDICAL_NORDICS_FINANCIALS_DOSSIER.html</x:v>
      </x:c>
    </x:row>
    <x:row r="1576" ht="42" customHeight="1">
      <x:c r="A1576" s="5" t="str">
        <x:v>D06</x:v>
      </x:c>
      <x:c r="B1576" s="5" t="str">
        <x:v>D06-T01</x:v>
      </x:c>
      <x:c r="C1576" s="5" t="str">
        <x:v>5. Complete Company Financial Table (135 Facilities Analyzed)</x:v>
      </x:c>
      <x:c r="D1576" s="5" t="n">
        <x:v>228</x:v>
      </x:c>
      <x:c r="E1576" s="5" t="n">
        <x:v>5</x:v>
      </x:c>
      <x:c r="F1576" s="5" t="str">
        <x:v>Revenue / Net Sales</x:v>
      </x:c>
      <x:c r="G1576" s="5" t="n">
        <x:v>1</x:v>
      </x:c>
      <x:c r="H1576" s="5" t="n">
        <x:v>1</x:v>
      </x:c>
      <x:c r="I1576" s="5" t="str">
        <x:v>SEK 18.5M</x:v>
      </x:c>
      <x:c r="J1576" s="5" t="str">
        <x:v>SOURCE QUOTE; unvalidated / superseded assessments</x:v>
      </x:c>
      <x:c r="L1576" s="31" t="str">
        <x:v>D06, Markdown line 228; http://nas-1.tail55d152.ts.net:4100/static/MEDICAL_NORDICS_FINANCIALS_DOSSIER.html</x:v>
      </x:c>
    </x:row>
    <x:row r="1577" ht="42" customHeight="1">
      <x:c r="A1577" s="5" t="str">
        <x:v>D06</x:v>
      </x:c>
      <x:c r="B1577" s="5" t="str">
        <x:v>D06-T01</x:v>
      </x:c>
      <x:c r="C1577" s="5" t="str">
        <x:v>5. Complete Company Financial Table (135 Facilities Analyzed)</x:v>
      </x:c>
      <x:c r="D1577" s="5" t="n">
        <x:v>228</x:v>
      </x:c>
      <x:c r="E1577" s="5" t="n">
        <x:v>6</x:v>
      </x:c>
      <x:c r="F1577" s="5" t="str">
        <x:v>R&amp;D Spend</x:v>
      </x:c>
      <x:c r="G1577" s="5" t="n">
        <x:v>1</x:v>
      </x:c>
      <x:c r="H1577" s="5" t="n">
        <x:v>1</x:v>
      </x:c>
      <x:c r="I1577" s="5" t="str">
        <x:v>SEK 3.8M</x:v>
      </x:c>
      <x:c r="J1577" s="5" t="str">
        <x:v>SOURCE QUOTE; unvalidated / superseded assessments</x:v>
      </x:c>
      <x:c r="L1577" s="31" t="str">
        <x:v>D06, Markdown line 228; http://nas-1.tail55d152.ts.net:4100/static/MEDICAL_NORDICS_FINANCIALS_DOSSIER.html</x:v>
      </x:c>
    </x:row>
    <x:row r="1578" ht="42" customHeight="1">
      <x:c r="A1578" s="5" t="str">
        <x:v>D06</x:v>
      </x:c>
      <x:c r="B1578" s="5" t="str">
        <x:v>D06-T01</x:v>
      </x:c>
      <x:c r="C1578" s="5" t="str">
        <x:v>5. Complete Company Financial Table (135 Facilities Analyzed)</x:v>
      </x:c>
      <x:c r="D1578" s="5" t="n">
        <x:v>228</x:v>
      </x:c>
      <x:c r="E1578" s="5" t="n">
        <x:v>7</x:v>
      </x:c>
      <x:c r="F1578" s="5" t="str">
        <x:v>Currency</x:v>
      </x:c>
      <x:c r="G1578" s="5" t="n">
        <x:v>1</x:v>
      </x:c>
      <x:c r="H1578" s="5" t="n">
        <x:v>1</x:v>
      </x:c>
      <x:c r="I1578" s="5" t="str">
        <x:v>SEK</x:v>
      </x:c>
      <x:c r="J1578" s="5" t="str">
        <x:v>SOURCE QUOTE; unvalidated / superseded assessments</x:v>
      </x:c>
      <x:c r="L1578" s="31" t="str">
        <x:v>D06, Markdown line 228; http://nas-1.tail55d152.ts.net:4100/static/MEDICAL_NORDICS_FINANCIALS_DOSSIER.html</x:v>
      </x:c>
    </x:row>
    <x:row r="1579" ht="42" customHeight="1">
      <x:c r="A1579" s="5" t="str">
        <x:v>D06</x:v>
      </x:c>
      <x:c r="B1579" s="5" t="str">
        <x:v>D06-T01</x:v>
      </x:c>
      <x:c r="C1579" s="5" t="str">
        <x:v>5. Complete Company Financial Table (135 Facilities Analyzed)</x:v>
      </x:c>
      <x:c r="D1579" s="5" t="n">
        <x:v>228</x:v>
      </x:c>
      <x:c r="E1579" s="5" t="n">
        <x:v>8</x:v>
      </x:c>
      <x:c r="F1579" s="5" t="str">
        <x:v>Fiscal Year</x:v>
      </x:c>
      <x:c r="G1579" s="5" t="n">
        <x:v>1</x:v>
      </x:c>
      <x:c r="H1579" s="5" t="n">
        <x:v>1</x:v>
      </x:c>
      <x:c r="I1579" s="5" t="str">
        <x:v>FY2023</x:v>
      </x:c>
      <x:c r="J1579" s="5" t="str">
        <x:v>SOURCE QUOTE; unvalidated / superseded assessments</x:v>
      </x:c>
      <x:c r="L1579" s="31" t="str">
        <x:v>D06, Markdown line 228; http://nas-1.tail55d152.ts.net:4100/static/MEDICAL_NORDICS_FINANCIALS_DOSSIER.html</x:v>
      </x:c>
    </x:row>
    <x:row r="1580" ht="42" customHeight="1">
      <x:c r="A1580" s="5" t="str">
        <x:v>D06</x:v>
      </x:c>
      <x:c r="B1580" s="5" t="str">
        <x:v>D06-T01</x:v>
      </x:c>
      <x:c r="C1580" s="5" t="str">
        <x:v>5. Complete Company Financial Table (135 Facilities Analyzed)</x:v>
      </x:c>
      <x:c r="D1580" s="5" t="n">
        <x:v>228</x:v>
      </x:c>
      <x:c r="E1580" s="5" t="n">
        <x:v>9</x:v>
      </x:c>
      <x:c r="F1580" s="5" t="str">
        <x:v>Status / Ownership / Strategic Service Alignment</x:v>
      </x:c>
      <x:c r="G1580" s="5" t="n">
        <x:v>1</x:v>
      </x:c>
      <x:c r="H1580" s="5" t="n">
        <x:v>1</x:v>
      </x:c>
      <x:c r="I1580" s="5" t="str">
        <x:v>Private CRO; Package B (In vivo trial reporting &amp; client portal software)</x:v>
      </x:c>
      <x:c r="J1580" s="5" t="str">
        <x:v>SOURCE QUOTE; unvalidated / superseded assessments</x:v>
      </x:c>
      <x:c r="L1580" s="31" t="str">
        <x:v>D06, Markdown line 228; http://nas-1.tail55d152.ts.net:4100/static/MEDICAL_NORDICS_FINANCIALS_DOSSIER.html</x:v>
      </x:c>
    </x:row>
    <x:row r="1581" ht="42" customHeight="1">
      <x:c r="A1581" s="5" t="str">
        <x:v>D06</x:v>
      </x:c>
      <x:c r="B1581" s="5" t="str">
        <x:v>D06-T01</x:v>
      </x:c>
      <x:c r="C1581" s="5" t="str">
        <x:v>5. Complete Company Financial Table (135 Facilities Analyzed)</x:v>
      </x:c>
      <x:c r="D1581" s="5" t="n">
        <x:v>229</x:v>
      </x:c>
      <x:c r="E1581" s="5" t="n">
        <x:v>1</x:v>
      </x:c>
      <x:c r="F1581" s="5" t="str">
        <x:v>#</x:v>
      </x:c>
      <x:c r="G1581" s="5" t="n">
        <x:v>1</x:v>
      </x:c>
      <x:c r="H1581" s="5" t="n">
        <x:v>1</x:v>
      </x:c>
      <x:c r="I1581" s="5" t="str">
        <x:v>48</x:v>
      </x:c>
      <x:c r="J1581" s="5" t="str">
        <x:v>SOURCE QUOTE; unvalidated / superseded assessments</x:v>
      </x:c>
      <x:c r="L1581" s="31" t="str">
        <x:v>D06, Markdown line 229; http://nas-1.tail55d152.ts.net:4100/static/MEDICAL_NORDICS_FINANCIALS_DOSSIER.html</x:v>
      </x:c>
    </x:row>
    <x:row r="1582" ht="42" customHeight="1">
      <x:c r="A1582" s="5" t="str">
        <x:v>D06</x:v>
      </x:c>
      <x:c r="B1582" s="5" t="str">
        <x:v>D06-T01</x:v>
      </x:c>
      <x:c r="C1582" s="5" t="str">
        <x:v>5. Complete Company Financial Table (135 Facilities Analyzed)</x:v>
      </x:c>
      <x:c r="D1582" s="5" t="n">
        <x:v>229</x:v>
      </x:c>
      <x:c r="E1582" s="5" t="n">
        <x:v>2</x:v>
      </x:c>
      <x:c r="F1582" s="5" t="str">
        <x:v>Company</x:v>
      </x:c>
      <x:c r="G1582" s="5" t="n">
        <x:v>1</x:v>
      </x:c>
      <x:c r="H1582" s="5" t="n">
        <x:v>1</x:v>
      </x:c>
      <x:c r="I1582" s="5" t="str">
        <x:v>SARomics Biostructures</x:v>
      </x:c>
      <x:c r="J1582" s="5" t="str">
        <x:v>SOURCE QUOTE; unvalidated / superseded assessments</x:v>
      </x:c>
      <x:c r="L1582" s="31" t="str">
        <x:v>D06, Markdown line 229; http://nas-1.tail55d152.ts.net:4100/static/MEDICAL_NORDICS_FINANCIALS_DOSSIER.html</x:v>
      </x:c>
    </x:row>
    <x:row r="1583" ht="42" customHeight="1">
      <x:c r="A1583" s="5" t="str">
        <x:v>D06</x:v>
      </x:c>
      <x:c r="B1583" s="5" t="str">
        <x:v>D06-T01</x:v>
      </x:c>
      <x:c r="C1583" s="5" t="str">
        <x:v>5. Complete Company Financial Table (135 Facilities Analyzed)</x:v>
      </x:c>
      <x:c r="D1583" s="5" t="n">
        <x:v>229</x:v>
      </x:c>
      <x:c r="E1583" s="5" t="n">
        <x:v>3</x:v>
      </x:c>
      <x:c r="F1583" s="5" t="str">
        <x:v>Location</x:v>
      </x:c>
      <x:c r="G1583" s="5" t="n">
        <x:v>1</x:v>
      </x:c>
      <x:c r="H1583" s="5" t="n">
        <x:v>1</x:v>
      </x:c>
      <x:c r="I1583" s="5" t="str">
        <x:v>Lund, Sweden</x:v>
      </x:c>
      <x:c r="J1583" s="5" t="str">
        <x:v>SOURCE QUOTE; unvalidated / superseded assessments</x:v>
      </x:c>
      <x:c r="L1583" s="31" t="str">
        <x:v>D06, Markdown line 229; http://nas-1.tail55d152.ts.net:4100/static/MEDICAL_NORDICS_FINANCIALS_DOSSIER.html</x:v>
      </x:c>
    </x:row>
    <x:row r="1584" ht="42" customHeight="1">
      <x:c r="A1584" s="5" t="str">
        <x:v>D06</x:v>
      </x:c>
      <x:c r="B1584" s="5" t="str">
        <x:v>D06-T01</x:v>
      </x:c>
      <x:c r="C1584" s="5" t="str">
        <x:v>5. Complete Company Financial Table (135 Facilities Analyzed)</x:v>
      </x:c>
      <x:c r="D1584" s="5" t="n">
        <x:v>229</x:v>
      </x:c>
      <x:c r="E1584" s="5" t="n">
        <x:v>4</x:v>
      </x:c>
      <x:c r="F1584" s="5" t="str">
        <x:v>Focus Area</x:v>
      </x:c>
      <x:c r="G1584" s="5" t="n">
        <x:v>1</x:v>
      </x:c>
      <x:c r="H1584" s="5" t="n">
        <x:v>1</x:v>
      </x:c>
      <x:c r="I1584" s="5" t="str">
        <x:v>X-Ray &amp; Cryo-EM Drug Discovery</x:v>
      </x:c>
      <x:c r="J1584" s="5" t="str">
        <x:v>SOURCE QUOTE; unvalidated / superseded assessments</x:v>
      </x:c>
      <x:c r="L1584" s="31" t="str">
        <x:v>D06, Markdown line 229; http://nas-1.tail55d152.ts.net:4100/static/MEDICAL_NORDICS_FINANCIALS_DOSSIER.html</x:v>
      </x:c>
    </x:row>
    <x:row r="1585" ht="42" customHeight="1">
      <x:c r="A1585" s="5" t="str">
        <x:v>D06</x:v>
      </x:c>
      <x:c r="B1585" s="5" t="str">
        <x:v>D06-T01</x:v>
      </x:c>
      <x:c r="C1585" s="5" t="str">
        <x:v>5. Complete Company Financial Table (135 Facilities Analyzed)</x:v>
      </x:c>
      <x:c r="D1585" s="5" t="n">
        <x:v>229</x:v>
      </x:c>
      <x:c r="E1585" s="5" t="n">
        <x:v>5</x:v>
      </x:c>
      <x:c r="F1585" s="5" t="str">
        <x:v>Revenue / Net Sales</x:v>
      </x:c>
      <x:c r="G1585" s="5" t="n">
        <x:v>1</x:v>
      </x:c>
      <x:c r="H1585" s="5" t="n">
        <x:v>1</x:v>
      </x:c>
      <x:c r="I1585" s="5" t="str">
        <x:v>SEK 21.8M</x:v>
      </x:c>
      <x:c r="J1585" s="5" t="str">
        <x:v>SOURCE QUOTE; unvalidated / superseded assessments</x:v>
      </x:c>
      <x:c r="L1585" s="31" t="str">
        <x:v>D06, Markdown line 229; http://nas-1.tail55d152.ts.net:4100/static/MEDICAL_NORDICS_FINANCIALS_DOSSIER.html</x:v>
      </x:c>
    </x:row>
    <x:row r="1586" ht="42" customHeight="1">
      <x:c r="A1586" s="5" t="str">
        <x:v>D06</x:v>
      </x:c>
      <x:c r="B1586" s="5" t="str">
        <x:v>D06-T01</x:v>
      </x:c>
      <x:c r="C1586" s="5" t="str">
        <x:v>5. Complete Company Financial Table (135 Facilities Analyzed)</x:v>
      </x:c>
      <x:c r="D1586" s="5" t="n">
        <x:v>229</x:v>
      </x:c>
      <x:c r="E1586" s="5" t="n">
        <x:v>6</x:v>
      </x:c>
      <x:c r="F1586" s="5" t="str">
        <x:v>R&amp;D Spend</x:v>
      </x:c>
      <x:c r="G1586" s="5" t="n">
        <x:v>1</x:v>
      </x:c>
      <x:c r="H1586" s="5" t="n">
        <x:v>1</x:v>
      </x:c>
      <x:c r="I1586" s="5" t="str">
        <x:v>SEK 4.8M</x:v>
      </x:c>
      <x:c r="J1586" s="5" t="str">
        <x:v>SOURCE QUOTE; unvalidated / superseded assessments</x:v>
      </x:c>
      <x:c r="L1586" s="31" t="str">
        <x:v>D06, Markdown line 229; http://nas-1.tail55d152.ts.net:4100/static/MEDICAL_NORDICS_FINANCIALS_DOSSIER.html</x:v>
      </x:c>
    </x:row>
    <x:row r="1587" ht="42" customHeight="1">
      <x:c r="A1587" s="5" t="str">
        <x:v>D06</x:v>
      </x:c>
      <x:c r="B1587" s="5" t="str">
        <x:v>D06-T01</x:v>
      </x:c>
      <x:c r="C1587" s="5" t="str">
        <x:v>5. Complete Company Financial Table (135 Facilities Analyzed)</x:v>
      </x:c>
      <x:c r="D1587" s="5" t="n">
        <x:v>229</x:v>
      </x:c>
      <x:c r="E1587" s="5" t="n">
        <x:v>7</x:v>
      </x:c>
      <x:c r="F1587" s="5" t="str">
        <x:v>Currency</x:v>
      </x:c>
      <x:c r="G1587" s="5" t="n">
        <x:v>1</x:v>
      </x:c>
      <x:c r="H1587" s="5" t="n">
        <x:v>1</x:v>
      </x:c>
      <x:c r="I1587" s="5" t="str">
        <x:v>SEK</x:v>
      </x:c>
      <x:c r="J1587" s="5" t="str">
        <x:v>SOURCE QUOTE; unvalidated / superseded assessments</x:v>
      </x:c>
      <x:c r="L1587" s="31" t="str">
        <x:v>D06, Markdown line 229; http://nas-1.tail55d152.ts.net:4100/static/MEDICAL_NORDICS_FINANCIALS_DOSSIER.html</x:v>
      </x:c>
    </x:row>
    <x:row r="1588" ht="42" customHeight="1">
      <x:c r="A1588" s="5" t="str">
        <x:v>D06</x:v>
      </x:c>
      <x:c r="B1588" s="5" t="str">
        <x:v>D06-T01</x:v>
      </x:c>
      <x:c r="C1588" s="5" t="str">
        <x:v>5. Complete Company Financial Table (135 Facilities Analyzed)</x:v>
      </x:c>
      <x:c r="D1588" s="5" t="n">
        <x:v>229</x:v>
      </x:c>
      <x:c r="E1588" s="5" t="n">
        <x:v>8</x:v>
      </x:c>
      <x:c r="F1588" s="5" t="str">
        <x:v>Fiscal Year</x:v>
      </x:c>
      <x:c r="G1588" s="5" t="n">
        <x:v>1</x:v>
      </x:c>
      <x:c r="H1588" s="5" t="n">
        <x:v>1</x:v>
      </x:c>
      <x:c r="I1588" s="5" t="str">
        <x:v>FY2023</x:v>
      </x:c>
      <x:c r="J1588" s="5" t="str">
        <x:v>SOURCE QUOTE; unvalidated / superseded assessments</x:v>
      </x:c>
      <x:c r="L1588" s="31" t="str">
        <x:v>D06, Markdown line 229; http://nas-1.tail55d152.ts.net:4100/static/MEDICAL_NORDICS_FINANCIALS_DOSSIER.html</x:v>
      </x:c>
    </x:row>
    <x:row r="1589" ht="42" customHeight="1">
      <x:c r="A1589" s="5" t="str">
        <x:v>D06</x:v>
      </x:c>
      <x:c r="B1589" s="5" t="str">
        <x:v>D06-T01</x:v>
      </x:c>
      <x:c r="C1589" s="5" t="str">
        <x:v>5. Complete Company Financial Table (135 Facilities Analyzed)</x:v>
      </x:c>
      <x:c r="D1589" s="5" t="n">
        <x:v>229</x:v>
      </x:c>
      <x:c r="E1589" s="5" t="n">
        <x:v>9</x:v>
      </x:c>
      <x:c r="F1589" s="5" t="str">
        <x:v>Status / Ownership / Strategic Service Alignment</x:v>
      </x:c>
      <x:c r="G1589" s="5" t="n">
        <x:v>1</x:v>
      </x:c>
      <x:c r="H1589" s="5" t="n">
        <x:v>1</x:v>
      </x:c>
      <x:c r="I1589" s="5" t="str">
        <x:v>Private structural biology; Package B (Contract screening project milestone tracking)</x:v>
      </x:c>
      <x:c r="J1589" s="5" t="str">
        <x:v>SOURCE QUOTE; unvalidated / superseded assessments</x:v>
      </x:c>
      <x:c r="L1589" s="31" t="str">
        <x:v>D06, Markdown line 229; http://nas-1.tail55d152.ts.net:4100/static/MEDICAL_NORDICS_FINANCIALS_DOSSIER.html</x:v>
      </x:c>
    </x:row>
    <x:row r="1590" ht="42" customHeight="1">
      <x:c r="A1590" s="5" t="str">
        <x:v>D06</x:v>
      </x:c>
      <x:c r="B1590" s="5" t="str">
        <x:v>D06-T01</x:v>
      </x:c>
      <x:c r="C1590" s="5" t="str">
        <x:v>5. Complete Company Financial Table (135 Facilities Analyzed)</x:v>
      </x:c>
      <x:c r="D1590" s="5" t="n">
        <x:v>230</x:v>
      </x:c>
      <x:c r="E1590" s="5" t="n">
        <x:v>1</x:v>
      </x:c>
      <x:c r="F1590" s="5" t="str">
        <x:v>#</x:v>
      </x:c>
      <x:c r="G1590" s="5" t="n">
        <x:v>1</x:v>
      </x:c>
      <x:c r="H1590" s="5" t="n">
        <x:v>1</x:v>
      </x:c>
      <x:c r="I1590" s="5" t="str">
        <x:v>49</x:v>
      </x:c>
      <x:c r="J1590" s="5" t="str">
        <x:v>SOURCE QUOTE; unvalidated / superseded assessments</x:v>
      </x:c>
      <x:c r="L1590" s="31" t="str">
        <x:v>D06, Markdown line 230; http://nas-1.tail55d152.ts.net:4100/static/MEDICAL_NORDICS_FINANCIALS_DOSSIER.html</x:v>
      </x:c>
    </x:row>
    <x:row r="1591" ht="42" customHeight="1">
      <x:c r="A1591" s="5" t="str">
        <x:v>D06</x:v>
      </x:c>
      <x:c r="B1591" s="5" t="str">
        <x:v>D06-T01</x:v>
      </x:c>
      <x:c r="C1591" s="5" t="str">
        <x:v>5. Complete Company Financial Table (135 Facilities Analyzed)</x:v>
      </x:c>
      <x:c r="D1591" s="5" t="n">
        <x:v>230</x:v>
      </x:c>
      <x:c r="E1591" s="5" t="n">
        <x:v>2</x:v>
      </x:c>
      <x:c r="F1591" s="5" t="str">
        <x:v>Company</x:v>
      </x:c>
      <x:c r="G1591" s="5" t="n">
        <x:v>1</x:v>
      </x:c>
      <x:c r="H1591" s="5" t="n">
        <x:v>1</x:v>
      </x:c>
      <x:c r="I1591" s="5" t="str">
        <x:v>SenzaGen</x:v>
      </x:c>
      <x:c r="J1591" s="5" t="str">
        <x:v>SOURCE QUOTE; unvalidated / superseded assessments</x:v>
      </x:c>
      <x:c r="L1591" s="31" t="str">
        <x:v>D06, Markdown line 230; http://nas-1.tail55d152.ts.net:4100/static/MEDICAL_NORDICS_FINANCIALS_DOSSIER.html</x:v>
      </x:c>
    </x:row>
    <x:row r="1592" ht="42" customHeight="1">
      <x:c r="A1592" s="5" t="str">
        <x:v>D06</x:v>
      </x:c>
      <x:c r="B1592" s="5" t="str">
        <x:v>D06-T01</x:v>
      </x:c>
      <x:c r="C1592" s="5" t="str">
        <x:v>5. Complete Company Financial Table (135 Facilities Analyzed)</x:v>
      </x:c>
      <x:c r="D1592" s="5" t="n">
        <x:v>230</x:v>
      </x:c>
      <x:c r="E1592" s="5" t="n">
        <x:v>3</x:v>
      </x:c>
      <x:c r="F1592" s="5" t="str">
        <x:v>Location</x:v>
      </x:c>
      <x:c r="G1592" s="5" t="n">
        <x:v>1</x:v>
      </x:c>
      <x:c r="H1592" s="5" t="n">
        <x:v>1</x:v>
      </x:c>
      <x:c r="I1592" s="5" t="str">
        <x:v>Lund, Sweden</x:v>
      </x:c>
      <x:c r="J1592" s="5" t="str">
        <x:v>SOURCE QUOTE; unvalidated / superseded assessments</x:v>
      </x:c>
      <x:c r="L1592" s="31" t="str">
        <x:v>D06, Markdown line 230; http://nas-1.tail55d152.ts.net:4100/static/MEDICAL_NORDICS_FINANCIALS_DOSSIER.html</x:v>
      </x:c>
    </x:row>
    <x:row r="1593" ht="42" customHeight="1">
      <x:c r="A1593" s="5" t="str">
        <x:v>D06</x:v>
      </x:c>
      <x:c r="B1593" s="5" t="str">
        <x:v>D06-T01</x:v>
      </x:c>
      <x:c r="C1593" s="5" t="str">
        <x:v>5. Complete Company Financial Table (135 Facilities Analyzed)</x:v>
      </x:c>
      <x:c r="D1593" s="5" t="n">
        <x:v>230</x:v>
      </x:c>
      <x:c r="E1593" s="5" t="n">
        <x:v>4</x:v>
      </x:c>
      <x:c r="F1593" s="5" t="str">
        <x:v>Focus Area</x:v>
      </x:c>
      <x:c r="G1593" s="5" t="n">
        <x:v>1</x:v>
      </x:c>
      <x:c r="H1593" s="5" t="n">
        <x:v>1</x:v>
      </x:c>
      <x:c r="I1593" s="5" t="str">
        <x:v>Non-Animal GARD Toxicological Assays</x:v>
      </x:c>
      <x:c r="J1593" s="5" t="str">
        <x:v>SOURCE QUOTE; unvalidated / superseded assessments</x:v>
      </x:c>
      <x:c r="L1593" s="31" t="str">
        <x:v>D06, Markdown line 230; http://nas-1.tail55d152.ts.net:4100/static/MEDICAL_NORDICS_FINANCIALS_DOSSIER.html</x:v>
      </x:c>
    </x:row>
    <x:row r="1594" ht="42" customHeight="1">
      <x:c r="A1594" s="5" t="str">
        <x:v>D06</x:v>
      </x:c>
      <x:c r="B1594" s="5" t="str">
        <x:v>D06-T01</x:v>
      </x:c>
      <x:c r="C1594" s="5" t="str">
        <x:v>5. Complete Company Financial Table (135 Facilities Analyzed)</x:v>
      </x:c>
      <x:c r="D1594" s="5" t="n">
        <x:v>230</x:v>
      </x:c>
      <x:c r="E1594" s="5" t="n">
        <x:v>5</x:v>
      </x:c>
      <x:c r="F1594" s="5" t="str">
        <x:v>Revenue / Net Sales</x:v>
      </x:c>
      <x:c r="G1594" s="5" t="n">
        <x:v>1</x:v>
      </x:c>
      <x:c r="H1594" s="5" t="n">
        <x:v>1</x:v>
      </x:c>
      <x:c r="I1594" s="5" t="str">
        <x:v>SEK 57.7M (SEK 49.9M FY23)</x:v>
      </x:c>
      <x:c r="J1594" s="5" t="str">
        <x:v>SOURCE QUOTE; unvalidated / superseded assessments</x:v>
      </x:c>
      <x:c r="L1594" s="31" t="str">
        <x:v>D06, Markdown line 230; http://nas-1.tail55d152.ts.net:4100/static/MEDICAL_NORDICS_FINANCIALS_DOSSIER.html</x:v>
      </x:c>
    </x:row>
    <x:row r="1595" ht="42" customHeight="1">
      <x:c r="A1595" s="5" t="str">
        <x:v>D06</x:v>
      </x:c>
      <x:c r="B1595" s="5" t="str">
        <x:v>D06-T01</x:v>
      </x:c>
      <x:c r="C1595" s="5" t="str">
        <x:v>5. Complete Company Financial Table (135 Facilities Analyzed)</x:v>
      </x:c>
      <x:c r="D1595" s="5" t="n">
        <x:v>230</x:v>
      </x:c>
      <x:c r="E1595" s="5" t="n">
        <x:v>6</x:v>
      </x:c>
      <x:c r="F1595" s="5" t="str">
        <x:v>R&amp;D Spend</x:v>
      </x:c>
      <x:c r="G1595" s="5" t="n">
        <x:v>1</x:v>
      </x:c>
      <x:c r="H1595" s="5" t="n">
        <x:v>1</x:v>
      </x:c>
      <x:c r="I1595" s="5" t="str">
        <x:v>SEK 14.8M</x:v>
      </x:c>
      <x:c r="J1595" s="5" t="str">
        <x:v>SOURCE QUOTE; unvalidated / superseded assessments</x:v>
      </x:c>
      <x:c r="L1595" s="31" t="str">
        <x:v>D06, Markdown line 230; http://nas-1.tail55d152.ts.net:4100/static/MEDICAL_NORDICS_FINANCIALS_DOSSIER.html</x:v>
      </x:c>
    </x:row>
    <x:row r="1596" ht="42" customHeight="1">
      <x:c r="A1596" s="5" t="str">
        <x:v>D06</x:v>
      </x:c>
      <x:c r="B1596" s="5" t="str">
        <x:v>D06-T01</x:v>
      </x:c>
      <x:c r="C1596" s="5" t="str">
        <x:v>5. Complete Company Financial Table (135 Facilities Analyzed)</x:v>
      </x:c>
      <x:c r="D1596" s="5" t="n">
        <x:v>230</x:v>
      </x:c>
      <x:c r="E1596" s="5" t="n">
        <x:v>7</x:v>
      </x:c>
      <x:c r="F1596" s="5" t="str">
        <x:v>Currency</x:v>
      </x:c>
      <x:c r="G1596" s="5" t="n">
        <x:v>1</x:v>
      </x:c>
      <x:c r="H1596" s="5" t="n">
        <x:v>1</x:v>
      </x:c>
      <x:c r="I1596" s="5" t="str">
        <x:v>SEK</x:v>
      </x:c>
      <x:c r="J1596" s="5" t="str">
        <x:v>SOURCE QUOTE; unvalidated / superseded assessments</x:v>
      </x:c>
      <x:c r="L1596" s="31" t="str">
        <x:v>D06, Markdown line 230; http://nas-1.tail55d152.ts.net:4100/static/MEDICAL_NORDICS_FINANCIALS_DOSSIER.html</x:v>
      </x:c>
    </x:row>
    <x:row r="1597" ht="42" customHeight="1">
      <x:c r="A1597" s="5" t="str">
        <x:v>D06</x:v>
      </x:c>
      <x:c r="B1597" s="5" t="str">
        <x:v>D06-T01</x:v>
      </x:c>
      <x:c r="C1597" s="5" t="str">
        <x:v>5. Complete Company Financial Table (135 Facilities Analyzed)</x:v>
      </x:c>
      <x:c r="D1597" s="5" t="n">
        <x:v>230</x:v>
      </x:c>
      <x:c r="E1597" s="5" t="n">
        <x:v>8</x:v>
      </x:c>
      <x:c r="F1597" s="5" t="str">
        <x:v>Fiscal Year</x:v>
      </x:c>
      <x:c r="G1597" s="5" t="n">
        <x:v>1</x:v>
      </x:c>
      <x:c r="H1597" s="5" t="n">
        <x:v>1</x:v>
      </x:c>
      <x:c r="I1597" s="5" t="str">
        <x:v>FY2024</x:v>
      </x:c>
      <x:c r="J1597" s="5" t="str">
        <x:v>SOURCE QUOTE; unvalidated / superseded assessments</x:v>
      </x:c>
      <x:c r="L1597" s="31" t="str">
        <x:v>D06, Markdown line 230; http://nas-1.tail55d152.ts.net:4100/static/MEDICAL_NORDICS_FINANCIALS_DOSSIER.html</x:v>
      </x:c>
    </x:row>
    <x:row r="1598" ht="42" customHeight="1">
      <x:c r="A1598" s="5" t="str">
        <x:v>D06</x:v>
      </x:c>
      <x:c r="B1598" s="5" t="str">
        <x:v>D06-T01</x:v>
      </x:c>
      <x:c r="C1598" s="5" t="str">
        <x:v>5. Complete Company Financial Table (135 Facilities Analyzed)</x:v>
      </x:c>
      <x:c r="D1598" s="5" t="n">
        <x:v>230</x:v>
      </x:c>
      <x:c r="E1598" s="5" t="n">
        <x:v>9</x:v>
      </x:c>
      <x:c r="F1598" s="5" t="str">
        <x:v>Status / Ownership / Strategic Service Alignment</x:v>
      </x:c>
      <x:c r="G1598" s="5" t="n">
        <x:v>1</x:v>
      </x:c>
      <x:c r="H1598" s="5" t="n">
        <x:v>1</x:v>
      </x:c>
      <x:c r="I1598" s="5" t="str">
        <x:v>Listed (First North: SENZA); Package A &amp; C (Laboratory test commercial onboarding)</x:v>
      </x:c>
      <x:c r="J1598" s="5" t="str">
        <x:v>SOURCE QUOTE; unvalidated / superseded assessments</x:v>
      </x:c>
      <x:c r="L1598" s="31" t="str">
        <x:v>D06, Markdown line 230; http://nas-1.tail55d152.ts.net:4100/static/MEDICAL_NORDICS_FINANCIALS_DOSSIER.html</x:v>
      </x:c>
    </x:row>
    <x:row r="1599" ht="42" customHeight="1">
      <x:c r="A1599" s="5" t="str">
        <x:v>D06</x:v>
      </x:c>
      <x:c r="B1599" s="5" t="str">
        <x:v>D06-T01</x:v>
      </x:c>
      <x:c r="C1599" s="5" t="str">
        <x:v>5. Complete Company Financial Table (135 Facilities Analyzed)</x:v>
      </x:c>
      <x:c r="D1599" s="5" t="n">
        <x:v>231</x:v>
      </x:c>
      <x:c r="E1599" s="5" t="n">
        <x:v>1</x:v>
      </x:c>
      <x:c r="F1599" s="5" t="str">
        <x:v>#</x:v>
      </x:c>
      <x:c r="G1599" s="5" t="n">
        <x:v>1</x:v>
      </x:c>
      <x:c r="H1599" s="5" t="n">
        <x:v>1</x:v>
      </x:c>
      <x:c r="I1599" s="5" t="str">
        <x:v>50</x:v>
      </x:c>
      <x:c r="J1599" s="5" t="str">
        <x:v>SOURCE QUOTE; unvalidated / superseded assessments</x:v>
      </x:c>
      <x:c r="L1599" s="31" t="str">
        <x:v>D06, Markdown line 231; http://nas-1.tail55d152.ts.net:4100/static/MEDICAL_NORDICS_FINANCIALS_DOSSIER.html</x:v>
      </x:c>
    </x:row>
    <x:row r="1600" ht="42" customHeight="1">
      <x:c r="A1600" s="5" t="str">
        <x:v>D06</x:v>
      </x:c>
      <x:c r="B1600" s="5" t="str">
        <x:v>D06-T01</x:v>
      </x:c>
      <x:c r="C1600" s="5" t="str">
        <x:v>5. Complete Company Financial Table (135 Facilities Analyzed)</x:v>
      </x:c>
      <x:c r="D1600" s="5" t="n">
        <x:v>231</x:v>
      </x:c>
      <x:c r="E1600" s="5" t="n">
        <x:v>2</x:v>
      </x:c>
      <x:c r="F1600" s="5" t="str">
        <x:v>Company</x:v>
      </x:c>
      <x:c r="G1600" s="5" t="n">
        <x:v>1</x:v>
      </x:c>
      <x:c r="H1600" s="5" t="n">
        <x:v>1</x:v>
      </x:c>
      <x:c r="I1600" s="5" t="str">
        <x:v>Spago Nanomedical</x:v>
      </x:c>
      <x:c r="J1600" s="5" t="str">
        <x:v>SOURCE QUOTE; unvalidated / superseded assessments</x:v>
      </x:c>
      <x:c r="L1600" s="31" t="str">
        <x:v>D06, Markdown line 231; http://nas-1.tail55d152.ts.net:4100/static/MEDICAL_NORDICS_FINANCIALS_DOSSIER.html</x:v>
      </x:c>
    </x:row>
    <x:row r="1601" ht="42" customHeight="1">
      <x:c r="A1601" s="5" t="str">
        <x:v>D06</x:v>
      </x:c>
      <x:c r="B1601" s="5" t="str">
        <x:v>D06-T01</x:v>
      </x:c>
      <x:c r="C1601" s="5" t="str">
        <x:v>5. Complete Company Financial Table (135 Facilities Analyzed)</x:v>
      </x:c>
      <x:c r="D1601" s="5" t="n">
        <x:v>231</x:v>
      </x:c>
      <x:c r="E1601" s="5" t="n">
        <x:v>3</x:v>
      </x:c>
      <x:c r="F1601" s="5" t="str">
        <x:v>Location</x:v>
      </x:c>
      <x:c r="G1601" s="5" t="n">
        <x:v>1</x:v>
      </x:c>
      <x:c r="H1601" s="5" t="n">
        <x:v>1</x:v>
      </x:c>
      <x:c r="I1601" s="5" t="str">
        <x:v>Lund, Sweden</x:v>
      </x:c>
      <x:c r="J1601" s="5" t="str">
        <x:v>SOURCE QUOTE; unvalidated / superseded assessments</x:v>
      </x:c>
      <x:c r="L1601" s="31" t="str">
        <x:v>D06, Markdown line 231; http://nas-1.tail55d152.ts.net:4100/static/MEDICAL_NORDICS_FINANCIALS_DOSSIER.html</x:v>
      </x:c>
    </x:row>
    <x:row r="1602" ht="42" customHeight="1">
      <x:c r="A1602" s="5" t="str">
        <x:v>D06</x:v>
      </x:c>
      <x:c r="B1602" s="5" t="str">
        <x:v>D06-T01</x:v>
      </x:c>
      <x:c r="C1602" s="5" t="str">
        <x:v>5. Complete Company Financial Table (135 Facilities Analyzed)</x:v>
      </x:c>
      <x:c r="D1602" s="5" t="n">
        <x:v>231</x:v>
      </x:c>
      <x:c r="E1602" s="5" t="n">
        <x:v>4</x:v>
      </x:c>
      <x:c r="F1602" s="5" t="str">
        <x:v>Focus Area</x:v>
      </x:c>
      <x:c r="G1602" s="5" t="n">
        <x:v>1</x:v>
      </x:c>
      <x:c r="H1602" s="5" t="n">
        <x:v>1</x:v>
      </x:c>
      <x:c r="I1602" s="5" t="str">
        <x:v>Tumor-Selective Nanomedicine</x:v>
      </x:c>
      <x:c r="J1602" s="5" t="str">
        <x:v>SOURCE QUOTE; unvalidated / superseded assessments</x:v>
      </x:c>
      <x:c r="L1602" s="31" t="str">
        <x:v>D06, Markdown line 231; http://nas-1.tail55d152.ts.net:4100/static/MEDICAL_NORDICS_FINANCIALS_DOSSIER.html</x:v>
      </x:c>
    </x:row>
    <x:row r="1603" ht="42" customHeight="1">
      <x:c r="A1603" s="5" t="str">
        <x:v>D06</x:v>
      </x:c>
      <x:c r="B1603" s="5" t="str">
        <x:v>D06-T01</x:v>
      </x:c>
      <x:c r="C1603" s="5" t="str">
        <x:v>5. Complete Company Financial Table (135 Facilities Analyzed)</x:v>
      </x:c>
      <x:c r="D1603" s="5" t="n">
        <x:v>231</x:v>
      </x:c>
      <x:c r="E1603" s="5" t="n">
        <x:v>5</x:v>
      </x:c>
      <x:c r="F1603" s="5" t="str">
        <x:v>Revenue / Net Sales</x:v>
      </x:c>
      <x:c r="G1603" s="5" t="n">
        <x:v>1</x:v>
      </x:c>
      <x:c r="H1603" s="5" t="n">
        <x:v>1</x:v>
      </x:c>
      <x:c r="I1603" s="5" t="str">
        <x:v>SEK 1.91M</x:v>
      </x:c>
      <x:c r="J1603" s="5" t="str">
        <x:v>SOURCE QUOTE; unvalidated / superseded assessments</x:v>
      </x:c>
      <x:c r="L1603" s="31" t="str">
        <x:v>D06, Markdown line 231; http://nas-1.tail55d152.ts.net:4100/static/MEDICAL_NORDICS_FINANCIALS_DOSSIER.html</x:v>
      </x:c>
    </x:row>
    <x:row r="1604" ht="42" customHeight="1">
      <x:c r="A1604" s="5" t="str">
        <x:v>D06</x:v>
      </x:c>
      <x:c r="B1604" s="5" t="str">
        <x:v>D06-T01</x:v>
      </x:c>
      <x:c r="C1604" s="5" t="str">
        <x:v>5. Complete Company Financial Table (135 Facilities Analyzed)</x:v>
      </x:c>
      <x:c r="D1604" s="5" t="n">
        <x:v>231</x:v>
      </x:c>
      <x:c r="E1604" s="5" t="n">
        <x:v>6</x:v>
      </x:c>
      <x:c r="F1604" s="5" t="str">
        <x:v>R&amp;D Spend</x:v>
      </x:c>
      <x:c r="G1604" s="5" t="n">
        <x:v>1</x:v>
      </x:c>
      <x:c r="H1604" s="5" t="n">
        <x:v>1</x:v>
      </x:c>
      <x:c r="I1604" s="5" t="str">
        <x:v>SEK 36.5M</x:v>
      </x:c>
      <x:c r="J1604" s="5" t="str">
        <x:v>SOURCE QUOTE; unvalidated / superseded assessments</x:v>
      </x:c>
      <x:c r="L1604" s="31" t="str">
        <x:v>D06, Markdown line 231; http://nas-1.tail55d152.ts.net:4100/static/MEDICAL_NORDICS_FINANCIALS_DOSSIER.html</x:v>
      </x:c>
    </x:row>
    <x:row r="1605" ht="42" customHeight="1">
      <x:c r="A1605" s="5" t="str">
        <x:v>D06</x:v>
      </x:c>
      <x:c r="B1605" s="5" t="str">
        <x:v>D06-T01</x:v>
      </x:c>
      <x:c r="C1605" s="5" t="str">
        <x:v>5. Complete Company Financial Table (135 Facilities Analyzed)</x:v>
      </x:c>
      <x:c r="D1605" s="5" t="n">
        <x:v>231</x:v>
      </x:c>
      <x:c r="E1605" s="5" t="n">
        <x:v>7</x:v>
      </x:c>
      <x:c r="F1605" s="5" t="str">
        <x:v>Currency</x:v>
      </x:c>
      <x:c r="G1605" s="5" t="n">
        <x:v>1</x:v>
      </x:c>
      <x:c r="H1605" s="5" t="n">
        <x:v>1</x:v>
      </x:c>
      <x:c r="I1605" s="5" t="str">
        <x:v>SEK</x:v>
      </x:c>
      <x:c r="J1605" s="5" t="str">
        <x:v>SOURCE QUOTE; unvalidated / superseded assessments</x:v>
      </x:c>
      <x:c r="L1605" s="31" t="str">
        <x:v>D06, Markdown line 231; http://nas-1.tail55d152.ts.net:4100/static/MEDICAL_NORDICS_FINANCIALS_DOSSIER.html</x:v>
      </x:c>
    </x:row>
    <x:row r="1606" ht="42" customHeight="1">
      <x:c r="A1606" s="5" t="str">
        <x:v>D06</x:v>
      </x:c>
      <x:c r="B1606" s="5" t="str">
        <x:v>D06-T01</x:v>
      </x:c>
      <x:c r="C1606" s="5" t="str">
        <x:v>5. Complete Company Financial Table (135 Facilities Analyzed)</x:v>
      </x:c>
      <x:c r="D1606" s="5" t="n">
        <x:v>231</x:v>
      </x:c>
      <x:c r="E1606" s="5" t="n">
        <x:v>8</x:v>
      </x:c>
      <x:c r="F1606" s="5" t="str">
        <x:v>Fiscal Year</x:v>
      </x:c>
      <x:c r="G1606" s="5" t="n">
        <x:v>1</x:v>
      </x:c>
      <x:c r="H1606" s="5" t="n">
        <x:v>1</x:v>
      </x:c>
      <x:c r="I1606" s="5" t="str">
        <x:v>FY2024</x:v>
      </x:c>
      <x:c r="J1606" s="5" t="str">
        <x:v>SOURCE QUOTE; unvalidated / superseded assessments</x:v>
      </x:c>
      <x:c r="L1606" s="31" t="str">
        <x:v>D06, Markdown line 231; http://nas-1.tail55d152.ts.net:4100/static/MEDICAL_NORDICS_FINANCIALS_DOSSIER.html</x:v>
      </x:c>
    </x:row>
    <x:row r="1607" ht="42" customHeight="1">
      <x:c r="A1607" s="5" t="str">
        <x:v>D06</x:v>
      </x:c>
      <x:c r="B1607" s="5" t="str">
        <x:v>D06-T01</x:v>
      </x:c>
      <x:c r="C1607" s="5" t="str">
        <x:v>5. Complete Company Financial Table (135 Facilities Analyzed)</x:v>
      </x:c>
      <x:c r="D1607" s="5" t="n">
        <x:v>231</x:v>
      </x:c>
      <x:c r="E1607" s="5" t="n">
        <x:v>9</x:v>
      </x:c>
      <x:c r="F1607" s="5" t="str">
        <x:v>Status / Ownership / Strategic Service Alignment</x:v>
      </x:c>
      <x:c r="G1607" s="5" t="n">
        <x:v>1</x:v>
      </x:c>
      <x:c r="H1607" s="5" t="n">
        <x:v>1</x:v>
      </x:c>
      <x:c r="I1607" s="5" t="str">
        <x:v>Listed (Spotlight: SPAG); Package B (SpagoPix MRI clinical trial milestone monitoring)</x:v>
      </x:c>
      <x:c r="J1607" s="5" t="str">
        <x:v>SOURCE QUOTE; unvalidated / superseded assessments</x:v>
      </x:c>
      <x:c r="L1607" s="31" t="str">
        <x:v>D06, Markdown line 231; http://nas-1.tail55d152.ts.net:4100/static/MEDICAL_NORDICS_FINANCIALS_DOSSIER.html</x:v>
      </x:c>
    </x:row>
    <x:row r="1608" ht="42" customHeight="1">
      <x:c r="A1608" s="5" t="str">
        <x:v>D06</x:v>
      </x:c>
      <x:c r="B1608" s="5" t="str">
        <x:v>D06-T01</x:v>
      </x:c>
      <x:c r="C1608" s="5" t="str">
        <x:v>5. Complete Company Financial Table (135 Facilities Analyzed)</x:v>
      </x:c>
      <x:c r="D1608" s="5" t="n">
        <x:v>232</x:v>
      </x:c>
      <x:c r="E1608" s="5" t="n">
        <x:v>1</x:v>
      </x:c>
      <x:c r="F1608" s="5" t="str">
        <x:v>#</x:v>
      </x:c>
      <x:c r="G1608" s="5" t="n">
        <x:v>1</x:v>
      </x:c>
      <x:c r="H1608" s="5" t="n">
        <x:v>1</x:v>
      </x:c>
      <x:c r="I1608" s="5" t="str">
        <x:v>51</x:v>
      </x:c>
      <x:c r="J1608" s="5" t="str">
        <x:v>SOURCE QUOTE; unvalidated / superseded assessments</x:v>
      </x:c>
      <x:c r="L1608" s="31" t="str">
        <x:v>D06, Markdown line 232; http://nas-1.tail55d152.ts.net:4100/static/MEDICAL_NORDICS_FINANCIALS_DOSSIER.html</x:v>
      </x:c>
    </x:row>
    <x:row r="1609" ht="42" customHeight="1">
      <x:c r="A1609" s="5" t="str">
        <x:v>D06</x:v>
      </x:c>
      <x:c r="B1609" s="5" t="str">
        <x:v>D06-T01</x:v>
      </x:c>
      <x:c r="C1609" s="5" t="str">
        <x:v>5. Complete Company Financial Table (135 Facilities Analyzed)</x:v>
      </x:c>
      <x:c r="D1609" s="5" t="n">
        <x:v>232</x:v>
      </x:c>
      <x:c r="E1609" s="5" t="n">
        <x:v>2</x:v>
      </x:c>
      <x:c r="F1609" s="5" t="str">
        <x:v>Company</x:v>
      </x:c>
      <x:c r="G1609" s="5" t="n">
        <x:v>1</x:v>
      </x:c>
      <x:c r="H1609" s="5" t="n">
        <x:v>1</x:v>
      </x:c>
      <x:c r="I1609" s="5" t="str">
        <x:v>TFS HealthScience</x:v>
      </x:c>
      <x:c r="J1609" s="5" t="str">
        <x:v>SOURCE QUOTE; unvalidated / superseded assessments</x:v>
      </x:c>
      <x:c r="L1609" s="31" t="str">
        <x:v>D06, Markdown line 232; http://nas-1.tail55d152.ts.net:4100/static/MEDICAL_NORDICS_FINANCIALS_DOSSIER.html</x:v>
      </x:c>
    </x:row>
    <x:row r="1610" ht="42" customHeight="1">
      <x:c r="A1610" s="5" t="str">
        <x:v>D06</x:v>
      </x:c>
      <x:c r="B1610" s="5" t="str">
        <x:v>D06-T01</x:v>
      </x:c>
      <x:c r="C1610" s="5" t="str">
        <x:v>5. Complete Company Financial Table (135 Facilities Analyzed)</x:v>
      </x:c>
      <x:c r="D1610" s="5" t="n">
        <x:v>232</x:v>
      </x:c>
      <x:c r="E1610" s="5" t="n">
        <x:v>3</x:v>
      </x:c>
      <x:c r="F1610" s="5" t="str">
        <x:v>Location</x:v>
      </x:c>
      <x:c r="G1610" s="5" t="n">
        <x:v>1</x:v>
      </x:c>
      <x:c r="H1610" s="5" t="n">
        <x:v>1</x:v>
      </x:c>
      <x:c r="I1610" s="5" t="str">
        <x:v>Lund, Sweden</x:v>
      </x:c>
      <x:c r="J1610" s="5" t="str">
        <x:v>SOURCE QUOTE; unvalidated / superseded assessments</x:v>
      </x:c>
      <x:c r="L1610" s="31" t="str">
        <x:v>D06, Markdown line 232; http://nas-1.tail55d152.ts.net:4100/static/MEDICAL_NORDICS_FINANCIALS_DOSSIER.html</x:v>
      </x:c>
    </x:row>
    <x:row r="1611" ht="42" customHeight="1">
      <x:c r="A1611" s="5" t="str">
        <x:v>D06</x:v>
      </x:c>
      <x:c r="B1611" s="5" t="str">
        <x:v>D06-T01</x:v>
      </x:c>
      <x:c r="C1611" s="5" t="str">
        <x:v>5. Complete Company Financial Table (135 Facilities Analyzed)</x:v>
      </x:c>
      <x:c r="D1611" s="5" t="n">
        <x:v>232</x:v>
      </x:c>
      <x:c r="E1611" s="5" t="n">
        <x:v>4</x:v>
      </x:c>
      <x:c r="F1611" s="5" t="str">
        <x:v>Focus Area</x:v>
      </x:c>
      <x:c r="G1611" s="5" t="n">
        <x:v>1</x:v>
      </x:c>
      <x:c r="H1611" s="5" t="n">
        <x:v>1</x:v>
      </x:c>
      <x:c r="I1611" s="5" t="str">
        <x:v>International Mid-Sized CRO</x:v>
      </x:c>
      <x:c r="J1611" s="5" t="str">
        <x:v>SOURCE QUOTE; unvalidated / superseded assessments</x:v>
      </x:c>
      <x:c r="L1611" s="31" t="str">
        <x:v>D06, Markdown line 232; http://nas-1.tail55d152.ts.net:4100/static/MEDICAL_NORDICS_FINANCIALS_DOSSIER.html</x:v>
      </x:c>
    </x:row>
    <x:row r="1612" ht="42" customHeight="1">
      <x:c r="A1612" s="5" t="str">
        <x:v>D06</x:v>
      </x:c>
      <x:c r="B1612" s="5" t="str">
        <x:v>D06-T01</x:v>
      </x:c>
      <x:c r="C1612" s="5" t="str">
        <x:v>5. Complete Company Financial Table (135 Facilities Analyzed)</x:v>
      </x:c>
      <x:c r="D1612" s="5" t="n">
        <x:v>232</x:v>
      </x:c>
      <x:c r="E1612" s="5" t="n">
        <x:v>5</x:v>
      </x:c>
      <x:c r="F1612" s="5" t="str">
        <x:v>Revenue / Net Sales</x:v>
      </x:c>
      <x:c r="G1612" s="5" t="n">
        <x:v>1</x:v>
      </x:c>
      <x:c r="H1612" s="5" t="n">
        <x:v>1</x:v>
      </x:c>
      <x:c r="I1612" s="5" t="str">
        <x:v>SEK 1,220.0M (Ratos sales)</x:v>
      </x:c>
      <x:c r="J1612" s="5" t="str">
        <x:v>SOURCE QUOTE; unvalidated / superseded assessments</x:v>
      </x:c>
      <x:c r="L1612" s="31" t="str">
        <x:v>D06, Markdown line 232; http://nas-1.tail55d152.ts.net:4100/static/MEDICAL_NORDICS_FINANCIALS_DOSSIER.html</x:v>
      </x:c>
    </x:row>
    <x:row r="1613" ht="42" customHeight="1">
      <x:c r="A1613" s="5" t="str">
        <x:v>D06</x:v>
      </x:c>
      <x:c r="B1613" s="5" t="str">
        <x:v>D06-T01</x:v>
      </x:c>
      <x:c r="C1613" s="5" t="str">
        <x:v>5. Complete Company Financial Table (135 Facilities Analyzed)</x:v>
      </x:c>
      <x:c r="D1613" s="5" t="n">
        <x:v>232</x:v>
      </x:c>
      <x:c r="E1613" s="5" t="n">
        <x:v>6</x:v>
      </x:c>
      <x:c r="F1613" s="5" t="str">
        <x:v>R&amp;D Spend</x:v>
      </x:c>
      <x:c r="G1613" s="5" t="n">
        <x:v>1</x:v>
      </x:c>
      <x:c r="H1613" s="5" t="n">
        <x:v>1</x:v>
      </x:c>
      <x:c r="I1613" s="5" t="str">
        <x:v>SEK 42.0M</x:v>
      </x:c>
      <x:c r="J1613" s="5" t="str">
        <x:v>SOURCE QUOTE; unvalidated / superseded assessments</x:v>
      </x:c>
      <x:c r="L1613" s="31" t="str">
        <x:v>D06, Markdown line 232; http://nas-1.tail55d152.ts.net:4100/static/MEDICAL_NORDICS_FINANCIALS_DOSSIER.html</x:v>
      </x:c>
    </x:row>
    <x:row r="1614" ht="42" customHeight="1">
      <x:c r="A1614" s="5" t="str">
        <x:v>D06</x:v>
      </x:c>
      <x:c r="B1614" s="5" t="str">
        <x:v>D06-T01</x:v>
      </x:c>
      <x:c r="C1614" s="5" t="str">
        <x:v>5. Complete Company Financial Table (135 Facilities Analyzed)</x:v>
      </x:c>
      <x:c r="D1614" s="5" t="n">
        <x:v>232</x:v>
      </x:c>
      <x:c r="E1614" s="5" t="n">
        <x:v>7</x:v>
      </x:c>
      <x:c r="F1614" s="5" t="str">
        <x:v>Currency</x:v>
      </x:c>
      <x:c r="G1614" s="5" t="n">
        <x:v>1</x:v>
      </x:c>
      <x:c r="H1614" s="5" t="n">
        <x:v>1</x:v>
      </x:c>
      <x:c r="I1614" s="5" t="str">
        <x:v>SEK</x:v>
      </x:c>
      <x:c r="J1614" s="5" t="str">
        <x:v>SOURCE QUOTE; unvalidated / superseded assessments</x:v>
      </x:c>
      <x:c r="L1614" s="31" t="str">
        <x:v>D06, Markdown line 232; http://nas-1.tail55d152.ts.net:4100/static/MEDICAL_NORDICS_FINANCIALS_DOSSIER.html</x:v>
      </x:c>
    </x:row>
    <x:row r="1615" ht="42" customHeight="1">
      <x:c r="A1615" s="5" t="str">
        <x:v>D06</x:v>
      </x:c>
      <x:c r="B1615" s="5" t="str">
        <x:v>D06-T01</x:v>
      </x:c>
      <x:c r="C1615" s="5" t="str">
        <x:v>5. Complete Company Financial Table (135 Facilities Analyzed)</x:v>
      </x:c>
      <x:c r="D1615" s="5" t="n">
        <x:v>232</x:v>
      </x:c>
      <x:c r="E1615" s="5" t="n">
        <x:v>8</x:v>
      </x:c>
      <x:c r="F1615" s="5" t="str">
        <x:v>Fiscal Year</x:v>
      </x:c>
      <x:c r="G1615" s="5" t="n">
        <x:v>1</x:v>
      </x:c>
      <x:c r="H1615" s="5" t="n">
        <x:v>1</x:v>
      </x:c>
      <x:c r="I1615" s="5" t="str">
        <x:v>FY2023</x:v>
      </x:c>
      <x:c r="J1615" s="5" t="str">
        <x:v>SOURCE QUOTE; unvalidated / superseded assessments</x:v>
      </x:c>
      <x:c r="L1615" s="31" t="str">
        <x:v>D06, Markdown line 232; http://nas-1.tail55d152.ts.net:4100/static/MEDICAL_NORDICS_FINANCIALS_DOSSIER.html</x:v>
      </x:c>
    </x:row>
    <x:row r="1616" ht="42" customHeight="1">
      <x:c r="A1616" s="5" t="str">
        <x:v>D06</x:v>
      </x:c>
      <x:c r="B1616" s="5" t="str">
        <x:v>D06-T01</x:v>
      </x:c>
      <x:c r="C1616" s="5" t="str">
        <x:v>5. Complete Company Financial Table (135 Facilities Analyzed)</x:v>
      </x:c>
      <x:c r="D1616" s="5" t="n">
        <x:v>232</x:v>
      </x:c>
      <x:c r="E1616" s="5" t="n">
        <x:v>9</x:v>
      </x:c>
      <x:c r="F1616" s="5" t="str">
        <x:v>Status / Ownership / Strategic Service Alignment</x:v>
      </x:c>
      <x:c r="G1616" s="5" t="n">
        <x:v>1</x:v>
      </x:c>
      <x:c r="H1616" s="5" t="n">
        <x:v>1</x:v>
      </x:c>
      <x:c r="I1616" s="5" t="str">
        <x:v>Ratos AB (Nasdaq: RATO B); Package B (ML site accrual prediction &amp; automated grant payments)</x:v>
      </x:c>
      <x:c r="J1616" s="5" t="str">
        <x:v>SOURCE QUOTE; unvalidated / superseded assessments</x:v>
      </x:c>
      <x:c r="L1616" s="31" t="str">
        <x:v>D06, Markdown line 232; http://nas-1.tail55d152.ts.net:4100/static/MEDICAL_NORDICS_FINANCIALS_DOSSIER.html</x:v>
      </x:c>
    </x:row>
    <x:row r="1617" ht="42" customHeight="1">
      <x:c r="A1617" s="5" t="str">
        <x:v>D06</x:v>
      </x:c>
      <x:c r="B1617" s="5" t="str">
        <x:v>D06-T01</x:v>
      </x:c>
      <x:c r="C1617" s="5" t="str">
        <x:v>5. Complete Company Financial Table (135 Facilities Analyzed)</x:v>
      </x:c>
      <x:c r="D1617" s="5" t="n">
        <x:v>233</x:v>
      </x:c>
      <x:c r="E1617" s="5" t="n">
        <x:v>1</x:v>
      </x:c>
      <x:c r="F1617" s="5" t="str">
        <x:v>#</x:v>
      </x:c>
      <x:c r="G1617" s="5" t="n">
        <x:v>1</x:v>
      </x:c>
      <x:c r="H1617" s="5" t="n">
        <x:v>1</x:v>
      </x:c>
      <x:c r="I1617" s="5" t="str">
        <x:v>52</x:v>
      </x:c>
      <x:c r="J1617" s="5" t="str">
        <x:v>SOURCE QUOTE; unvalidated / superseded assessments</x:v>
      </x:c>
      <x:c r="L1617" s="31" t="str">
        <x:v>D06, Markdown line 233; http://nas-1.tail55d152.ts.net:4100/static/MEDICAL_NORDICS_FINANCIALS_DOSSIER.html</x:v>
      </x:c>
    </x:row>
    <x:row r="1618" ht="42" customHeight="1">
      <x:c r="A1618" s="5" t="str">
        <x:v>D06</x:v>
      </x:c>
      <x:c r="B1618" s="5" t="str">
        <x:v>D06-T01</x:v>
      </x:c>
      <x:c r="C1618" s="5" t="str">
        <x:v>5. Complete Company Financial Table (135 Facilities Analyzed)</x:v>
      </x:c>
      <x:c r="D1618" s="5" t="n">
        <x:v>233</x:v>
      </x:c>
      <x:c r="E1618" s="5" t="n">
        <x:v>2</x:v>
      </x:c>
      <x:c r="F1618" s="5" t="str">
        <x:v>Company</x:v>
      </x:c>
      <x:c r="G1618" s="5" t="n">
        <x:v>1</x:v>
      </x:c>
      <x:c r="H1618" s="5" t="n">
        <x:v>1</x:v>
      </x:c>
      <x:c r="I1618" s="5" t="str">
        <x:v>Xintela</x:v>
      </x:c>
      <x:c r="J1618" s="5" t="str">
        <x:v>SOURCE QUOTE; unvalidated / superseded assessments</x:v>
      </x:c>
      <x:c r="L1618" s="31" t="str">
        <x:v>D06, Markdown line 233; http://nas-1.tail55d152.ts.net:4100/static/MEDICAL_NORDICS_FINANCIALS_DOSSIER.html</x:v>
      </x:c>
    </x:row>
    <x:row r="1619" ht="42" customHeight="1">
      <x:c r="A1619" s="5" t="str">
        <x:v>D06</x:v>
      </x:c>
      <x:c r="B1619" s="5" t="str">
        <x:v>D06-T01</x:v>
      </x:c>
      <x:c r="C1619" s="5" t="str">
        <x:v>5. Complete Company Financial Table (135 Facilities Analyzed)</x:v>
      </x:c>
      <x:c r="D1619" s="5" t="n">
        <x:v>233</x:v>
      </x:c>
      <x:c r="E1619" s="5" t="n">
        <x:v>3</x:v>
      </x:c>
      <x:c r="F1619" s="5" t="str">
        <x:v>Location</x:v>
      </x:c>
      <x:c r="G1619" s="5" t="n">
        <x:v>1</x:v>
      </x:c>
      <x:c r="H1619" s="5" t="n">
        <x:v>1</x:v>
      </x:c>
      <x:c r="I1619" s="5" t="str">
        <x:v>Lund, Sweden</x:v>
      </x:c>
      <x:c r="J1619" s="5" t="str">
        <x:v>SOURCE QUOTE; unvalidated / superseded assessments</x:v>
      </x:c>
      <x:c r="L1619" s="31" t="str">
        <x:v>D06, Markdown line 233; http://nas-1.tail55d152.ts.net:4100/static/MEDICAL_NORDICS_FINANCIALS_DOSSIER.html</x:v>
      </x:c>
    </x:row>
    <x:row r="1620" ht="42" customHeight="1">
      <x:c r="A1620" s="5" t="str">
        <x:v>D06</x:v>
      </x:c>
      <x:c r="B1620" s="5" t="str">
        <x:v>D06-T01</x:v>
      </x:c>
      <x:c r="C1620" s="5" t="str">
        <x:v>5. Complete Company Financial Table (135 Facilities Analyzed)</x:v>
      </x:c>
      <x:c r="D1620" s="5" t="n">
        <x:v>233</x:v>
      </x:c>
      <x:c r="E1620" s="5" t="n">
        <x:v>4</x:v>
      </x:c>
      <x:c r="F1620" s="5" t="str">
        <x:v>Focus Area</x:v>
      </x:c>
      <x:c r="G1620" s="5" t="n">
        <x:v>1</x:v>
      </x:c>
      <x:c r="H1620" s="5" t="n">
        <x:v>1</x:v>
      </x:c>
      <x:c r="I1620" s="5" t="str">
        <x:v>Stem Cell &amp; Antibody Therapeutics</x:v>
      </x:c>
      <x:c r="J1620" s="5" t="str">
        <x:v>SOURCE QUOTE; unvalidated / superseded assessments</x:v>
      </x:c>
      <x:c r="L1620" s="31" t="str">
        <x:v>D06, Markdown line 233; http://nas-1.tail55d152.ts.net:4100/static/MEDICAL_NORDICS_FINANCIALS_DOSSIER.html</x:v>
      </x:c>
    </x:row>
    <x:row r="1621" ht="42" customHeight="1">
      <x:c r="A1621" s="5" t="str">
        <x:v>D06</x:v>
      </x:c>
      <x:c r="B1621" s="5" t="str">
        <x:v>D06-T01</x:v>
      </x:c>
      <x:c r="C1621" s="5" t="str">
        <x:v>5. Complete Company Financial Table (135 Facilities Analyzed)</x:v>
      </x:c>
      <x:c r="D1621" s="5" t="n">
        <x:v>233</x:v>
      </x:c>
      <x:c r="E1621" s="5" t="n">
        <x:v>5</x:v>
      </x:c>
      <x:c r="F1621" s="5" t="str">
        <x:v>Revenue / Net Sales</x:v>
      </x:c>
      <x:c r="G1621" s="5" t="n">
        <x:v>1</x:v>
      </x:c>
      <x:c r="H1621" s="5" t="n">
        <x:v>1</x:v>
      </x:c>
      <x:c r="I1621" s="5" t="str">
        <x:v>SEK 3.8M</x:v>
      </x:c>
      <x:c r="J1621" s="5" t="str">
        <x:v>SOURCE QUOTE; unvalidated / superseded assessments</x:v>
      </x:c>
      <x:c r="L1621" s="31" t="str">
        <x:v>D06, Markdown line 233; http://nas-1.tail55d152.ts.net:4100/static/MEDICAL_NORDICS_FINANCIALS_DOSSIER.html</x:v>
      </x:c>
    </x:row>
    <x:row r="1622" ht="42" customHeight="1">
      <x:c r="A1622" s="5" t="str">
        <x:v>D06</x:v>
      </x:c>
      <x:c r="B1622" s="5" t="str">
        <x:v>D06-T01</x:v>
      </x:c>
      <x:c r="C1622" s="5" t="str">
        <x:v>5. Complete Company Financial Table (135 Facilities Analyzed)</x:v>
      </x:c>
      <x:c r="D1622" s="5" t="n">
        <x:v>233</x:v>
      </x:c>
      <x:c r="E1622" s="5" t="n">
        <x:v>6</x:v>
      </x:c>
      <x:c r="F1622" s="5" t="str">
        <x:v>R&amp;D Spend</x:v>
      </x:c>
      <x:c r="G1622" s="5" t="n">
        <x:v>1</x:v>
      </x:c>
      <x:c r="H1622" s="5" t="n">
        <x:v>1</x:v>
      </x:c>
      <x:c r="I1622" s="5" t="str">
        <x:v>SEK 31.4M</x:v>
      </x:c>
      <x:c r="J1622" s="5" t="str">
        <x:v>SOURCE QUOTE; unvalidated / superseded assessments</x:v>
      </x:c>
      <x:c r="L1622" s="31" t="str">
        <x:v>D06, Markdown line 233; http://nas-1.tail55d152.ts.net:4100/static/MEDICAL_NORDICS_FINANCIALS_DOSSIER.html</x:v>
      </x:c>
    </x:row>
    <x:row r="1623" ht="42" customHeight="1">
      <x:c r="A1623" s="5" t="str">
        <x:v>D06</x:v>
      </x:c>
      <x:c r="B1623" s="5" t="str">
        <x:v>D06-T01</x:v>
      </x:c>
      <x:c r="C1623" s="5" t="str">
        <x:v>5. Complete Company Financial Table (135 Facilities Analyzed)</x:v>
      </x:c>
      <x:c r="D1623" s="5" t="n">
        <x:v>233</x:v>
      </x:c>
      <x:c r="E1623" s="5" t="n">
        <x:v>7</x:v>
      </x:c>
      <x:c r="F1623" s="5" t="str">
        <x:v>Currency</x:v>
      </x:c>
      <x:c r="G1623" s="5" t="n">
        <x:v>1</x:v>
      </x:c>
      <x:c r="H1623" s="5" t="n">
        <x:v>1</x:v>
      </x:c>
      <x:c r="I1623" s="5" t="str">
        <x:v>SEK</x:v>
      </x:c>
      <x:c r="J1623" s="5" t="str">
        <x:v>SOURCE QUOTE; unvalidated / superseded assessments</x:v>
      </x:c>
      <x:c r="L1623" s="31" t="str">
        <x:v>D06, Markdown line 233; http://nas-1.tail55d152.ts.net:4100/static/MEDICAL_NORDICS_FINANCIALS_DOSSIER.html</x:v>
      </x:c>
    </x:row>
    <x:row r="1624" ht="42" customHeight="1">
      <x:c r="A1624" s="5" t="str">
        <x:v>D06</x:v>
      </x:c>
      <x:c r="B1624" s="5" t="str">
        <x:v>D06-T01</x:v>
      </x:c>
      <x:c r="C1624" s="5" t="str">
        <x:v>5. Complete Company Financial Table (135 Facilities Analyzed)</x:v>
      </x:c>
      <x:c r="D1624" s="5" t="n">
        <x:v>233</x:v>
      </x:c>
      <x:c r="E1624" s="5" t="n">
        <x:v>8</x:v>
      </x:c>
      <x:c r="F1624" s="5" t="str">
        <x:v>Fiscal Year</x:v>
      </x:c>
      <x:c r="G1624" s="5" t="n">
        <x:v>1</x:v>
      </x:c>
      <x:c r="H1624" s="5" t="n">
        <x:v>1</x:v>
      </x:c>
      <x:c r="I1624" s="5" t="str">
        <x:v>FY2024</x:v>
      </x:c>
      <x:c r="J1624" s="5" t="str">
        <x:v>SOURCE QUOTE; unvalidated / superseded assessments</x:v>
      </x:c>
      <x:c r="L1624" s="31" t="str">
        <x:v>D06, Markdown line 233; http://nas-1.tail55d152.ts.net:4100/static/MEDICAL_NORDICS_FINANCIALS_DOSSIER.html</x:v>
      </x:c>
    </x:row>
    <x:row r="1625" ht="42" customHeight="1">
      <x:c r="A1625" s="5" t="str">
        <x:v>D06</x:v>
      </x:c>
      <x:c r="B1625" s="5" t="str">
        <x:v>D06-T01</x:v>
      </x:c>
      <x:c r="C1625" s="5" t="str">
        <x:v>5. Complete Company Financial Table (135 Facilities Analyzed)</x:v>
      </x:c>
      <x:c r="D1625" s="5" t="n">
        <x:v>233</x:v>
      </x:c>
      <x:c r="E1625" s="5" t="n">
        <x:v>9</x:v>
      </x:c>
      <x:c r="F1625" s="5" t="str">
        <x:v>Status / Ownership / Strategic Service Alignment</x:v>
      </x:c>
      <x:c r="G1625" s="5" t="n">
        <x:v>1</x:v>
      </x:c>
      <x:c r="H1625" s="5" t="n">
        <x:v>1</x:v>
      </x:c>
      <x:c r="I1625" s="5" t="str">
        <x:v>Listed (First North: XINT); Package B (ATMP clinical manufacturing quality documentation)</x:v>
      </x:c>
      <x:c r="J1625" s="5" t="str">
        <x:v>SOURCE QUOTE; unvalidated / superseded assessments</x:v>
      </x:c>
      <x:c r="L1625" s="31" t="str">
        <x:v>D06, Markdown line 233; http://nas-1.tail55d152.ts.net:4100/static/MEDICAL_NORDICS_FINANCIALS_DOSSIER.html</x:v>
      </x:c>
    </x:row>
    <x:row r="1626" ht="42" customHeight="1">
      <x:c r="A1626" s="5" t="str">
        <x:v>D06</x:v>
      </x:c>
      <x:c r="B1626" s="5" t="str">
        <x:v>D06-T01</x:v>
      </x:c>
      <x:c r="C1626" s="5" t="str">
        <x:v>5. Complete Company Financial Table (135 Facilities Analyzed)</x:v>
      </x:c>
      <x:c r="D1626" s="5" t="n">
        <x:v>234</x:v>
      </x:c>
      <x:c r="E1626" s="5" t="n">
        <x:v>1</x:v>
      </x:c>
      <x:c r="F1626" s="5" t="str">
        <x:v>#</x:v>
      </x:c>
      <x:c r="G1626" s="5" t="n">
        <x:v>1</x:v>
      </x:c>
      <x:c r="H1626" s="5" t="n">
        <x:v>1</x:v>
      </x:c>
      <x:c r="I1626" s="5" t="str">
        <x:v>53</x:v>
      </x:c>
      <x:c r="J1626" s="5" t="str">
        <x:v>SOURCE QUOTE; unvalidated / superseded assessments</x:v>
      </x:c>
      <x:c r="L1626" s="31" t="str">
        <x:v>D06, Markdown line 234; http://nas-1.tail55d152.ts.net:4100/static/MEDICAL_NORDICS_FINANCIALS_DOSSIER.html</x:v>
      </x:c>
    </x:row>
    <x:row r="1627" ht="42" customHeight="1">
      <x:c r="A1627" s="5" t="str">
        <x:v>D06</x:v>
      </x:c>
      <x:c r="B1627" s="5" t="str">
        <x:v>D06-T01</x:v>
      </x:c>
      <x:c r="C1627" s="5" t="str">
        <x:v>5. Complete Company Financial Table (135 Facilities Analyzed)</x:v>
      </x:c>
      <x:c r="D1627" s="5" t="n">
        <x:v>234</x:v>
      </x:c>
      <x:c r="E1627" s="5" t="n">
        <x:v>2</x:v>
      </x:c>
      <x:c r="F1627" s="5" t="str">
        <x:v>Company</x:v>
      </x:c>
      <x:c r="G1627" s="5" t="n">
        <x:v>1</x:v>
      </x:c>
      <x:c r="H1627" s="5" t="n">
        <x:v>1</x:v>
      </x:c>
      <x:c r="I1627" s="5" t="str">
        <x:v>Acarix</x:v>
      </x:c>
      <x:c r="J1627" s="5" t="str">
        <x:v>SOURCE QUOTE; unvalidated / superseded assessments</x:v>
      </x:c>
      <x:c r="L1627" s="31" t="str">
        <x:v>D06, Markdown line 234; http://nas-1.tail55d152.ts.net:4100/static/MEDICAL_NORDICS_FINANCIALS_DOSSIER.html</x:v>
      </x:c>
    </x:row>
    <x:row r="1628" ht="42" customHeight="1">
      <x:c r="A1628" s="5" t="str">
        <x:v>D06</x:v>
      </x:c>
      <x:c r="B1628" s="5" t="str">
        <x:v>D06-T01</x:v>
      </x:c>
      <x:c r="C1628" s="5" t="str">
        <x:v>5. Complete Company Financial Table (135 Facilities Analyzed)</x:v>
      </x:c>
      <x:c r="D1628" s="5" t="n">
        <x:v>234</x:v>
      </x:c>
      <x:c r="E1628" s="5" t="n">
        <x:v>3</x:v>
      </x:c>
      <x:c r="F1628" s="5" t="str">
        <x:v>Location</x:v>
      </x:c>
      <x:c r="G1628" s="5" t="n">
        <x:v>1</x:v>
      </x:c>
      <x:c r="H1628" s="5" t="n">
        <x:v>1</x:v>
      </x:c>
      <x:c r="I1628" s="5" t="str">
        <x:v>Malmö, Sweden</x:v>
      </x:c>
      <x:c r="J1628" s="5" t="str">
        <x:v>SOURCE QUOTE; unvalidated / superseded assessments</x:v>
      </x:c>
      <x:c r="L1628" s="31" t="str">
        <x:v>D06, Markdown line 234; http://nas-1.tail55d152.ts.net:4100/static/MEDICAL_NORDICS_FINANCIALS_DOSSIER.html</x:v>
      </x:c>
    </x:row>
    <x:row r="1629" ht="42" customHeight="1">
      <x:c r="A1629" s="5" t="str">
        <x:v>D06</x:v>
      </x:c>
      <x:c r="B1629" s="5" t="str">
        <x:v>D06-T01</x:v>
      </x:c>
      <x:c r="C1629" s="5" t="str">
        <x:v>5. Complete Company Financial Table (135 Facilities Analyzed)</x:v>
      </x:c>
      <x:c r="D1629" s="5" t="n">
        <x:v>234</x:v>
      </x:c>
      <x:c r="E1629" s="5" t="n">
        <x:v>4</x:v>
      </x:c>
      <x:c r="F1629" s="5" t="str">
        <x:v>Focus Area</x:v>
      </x:c>
      <x:c r="G1629" s="5" t="n">
        <x:v>1</x:v>
      </x:c>
      <x:c r="H1629" s="5" t="n">
        <x:v>1</x:v>
      </x:c>
      <x:c r="I1629" s="5" t="str">
        <x:v>CADScor Acoustic Cardiac Diagnostics</x:v>
      </x:c>
      <x:c r="J1629" s="5" t="str">
        <x:v>SOURCE QUOTE; unvalidated / superseded assessments</x:v>
      </x:c>
      <x:c r="L1629" s="31" t="str">
        <x:v>D06, Markdown line 234; http://nas-1.tail55d152.ts.net:4100/static/MEDICAL_NORDICS_FINANCIALS_DOSSIER.html</x:v>
      </x:c>
    </x:row>
    <x:row r="1630" ht="42" customHeight="1">
      <x:c r="A1630" s="5" t="str">
        <x:v>D06</x:v>
      </x:c>
      <x:c r="B1630" s="5" t="str">
        <x:v>D06-T01</x:v>
      </x:c>
      <x:c r="C1630" s="5" t="str">
        <x:v>5. Complete Company Financial Table (135 Facilities Analyzed)</x:v>
      </x:c>
      <x:c r="D1630" s="5" t="n">
        <x:v>234</x:v>
      </x:c>
      <x:c r="E1630" s="5" t="n">
        <x:v>5</x:v>
      </x:c>
      <x:c r="F1630" s="5" t="str">
        <x:v>Revenue / Net Sales</x:v>
      </x:c>
      <x:c r="G1630" s="5" t="n">
        <x:v>1</x:v>
      </x:c>
      <x:c r="H1630" s="5" t="n">
        <x:v>1</x:v>
      </x:c>
      <x:c r="I1630" s="5" t="str">
        <x:v>SEK 7.5M</x:v>
      </x:c>
      <x:c r="J1630" s="5" t="str">
        <x:v>SOURCE QUOTE; unvalidated / superseded assessments</x:v>
      </x:c>
      <x:c r="L1630" s="31" t="str">
        <x:v>D06, Markdown line 234; http://nas-1.tail55d152.ts.net:4100/static/MEDICAL_NORDICS_FINANCIALS_DOSSIER.html</x:v>
      </x:c>
    </x:row>
    <x:row r="1631" ht="42" customHeight="1">
      <x:c r="A1631" s="5" t="str">
        <x:v>D06</x:v>
      </x:c>
      <x:c r="B1631" s="5" t="str">
        <x:v>D06-T01</x:v>
      </x:c>
      <x:c r="C1631" s="5" t="str">
        <x:v>5. Complete Company Financial Table (135 Facilities Analyzed)</x:v>
      </x:c>
      <x:c r="D1631" s="5" t="n">
        <x:v>234</x:v>
      </x:c>
      <x:c r="E1631" s="5" t="n">
        <x:v>6</x:v>
      </x:c>
      <x:c r="F1631" s="5" t="str">
        <x:v>R&amp;D Spend</x:v>
      </x:c>
      <x:c r="G1631" s="5" t="n">
        <x:v>1</x:v>
      </x:c>
      <x:c r="H1631" s="5" t="n">
        <x:v>1</x:v>
      </x:c>
      <x:c r="I1631" s="5" t="str">
        <x:v>SEK 32.4M</x:v>
      </x:c>
      <x:c r="J1631" s="5" t="str">
        <x:v>SOURCE QUOTE; unvalidated / superseded assessments</x:v>
      </x:c>
      <x:c r="L1631" s="31" t="str">
        <x:v>D06, Markdown line 234; http://nas-1.tail55d152.ts.net:4100/static/MEDICAL_NORDICS_FINANCIALS_DOSSIER.html</x:v>
      </x:c>
    </x:row>
    <x:row r="1632" ht="42" customHeight="1">
      <x:c r="A1632" s="5" t="str">
        <x:v>D06</x:v>
      </x:c>
      <x:c r="B1632" s="5" t="str">
        <x:v>D06-T01</x:v>
      </x:c>
      <x:c r="C1632" s="5" t="str">
        <x:v>5. Complete Company Financial Table (135 Facilities Analyzed)</x:v>
      </x:c>
      <x:c r="D1632" s="5" t="n">
        <x:v>234</x:v>
      </x:c>
      <x:c r="E1632" s="5" t="n">
        <x:v>7</x:v>
      </x:c>
      <x:c r="F1632" s="5" t="str">
        <x:v>Currency</x:v>
      </x:c>
      <x:c r="G1632" s="5" t="n">
        <x:v>1</x:v>
      </x:c>
      <x:c r="H1632" s="5" t="n">
        <x:v>1</x:v>
      </x:c>
      <x:c r="I1632" s="5" t="str">
        <x:v>SEK</x:v>
      </x:c>
      <x:c r="J1632" s="5" t="str">
        <x:v>SOURCE QUOTE; unvalidated / superseded assessments</x:v>
      </x:c>
      <x:c r="L1632" s="31" t="str">
        <x:v>D06, Markdown line 234; http://nas-1.tail55d152.ts.net:4100/static/MEDICAL_NORDICS_FINANCIALS_DOSSIER.html</x:v>
      </x:c>
    </x:row>
    <x:row r="1633" ht="42" customHeight="1">
      <x:c r="A1633" s="5" t="str">
        <x:v>D06</x:v>
      </x:c>
      <x:c r="B1633" s="5" t="str">
        <x:v>D06-T01</x:v>
      </x:c>
      <x:c r="C1633" s="5" t="str">
        <x:v>5. Complete Company Financial Table (135 Facilities Analyzed)</x:v>
      </x:c>
      <x:c r="D1633" s="5" t="n">
        <x:v>234</x:v>
      </x:c>
      <x:c r="E1633" s="5" t="n">
        <x:v>8</x:v>
      </x:c>
      <x:c r="F1633" s="5" t="str">
        <x:v>Fiscal Year</x:v>
      </x:c>
      <x:c r="G1633" s="5" t="n">
        <x:v>1</x:v>
      </x:c>
      <x:c r="H1633" s="5" t="n">
        <x:v>1</x:v>
      </x:c>
      <x:c r="I1633" s="5" t="str">
        <x:v>FY2024</x:v>
      </x:c>
      <x:c r="J1633" s="5" t="str">
        <x:v>SOURCE QUOTE; unvalidated / superseded assessments</x:v>
      </x:c>
      <x:c r="L1633" s="31" t="str">
        <x:v>D06, Markdown line 234; http://nas-1.tail55d152.ts.net:4100/static/MEDICAL_NORDICS_FINANCIALS_DOSSIER.html</x:v>
      </x:c>
    </x:row>
    <x:row r="1634" ht="42" customHeight="1">
      <x:c r="A1634" s="5" t="str">
        <x:v>D06</x:v>
      </x:c>
      <x:c r="B1634" s="5" t="str">
        <x:v>D06-T01</x:v>
      </x:c>
      <x:c r="C1634" s="5" t="str">
        <x:v>5. Complete Company Financial Table (135 Facilities Analyzed)</x:v>
      </x:c>
      <x:c r="D1634" s="5" t="n">
        <x:v>234</x:v>
      </x:c>
      <x:c r="E1634" s="5" t="n">
        <x:v>9</x:v>
      </x:c>
      <x:c r="F1634" s="5" t="str">
        <x:v>Status / Ownership / Strategic Service Alignment</x:v>
      </x:c>
      <x:c r="G1634" s="5" t="n">
        <x:v>1</x:v>
      </x:c>
      <x:c r="H1634" s="5" t="n">
        <x:v>1</x:v>
      </x:c>
      <x:c r="I1634" s="5" t="str">
        <x:v>Listed (First North: ACARIX); Package A (Primary care triage HEOR reimbursement proof)</x:v>
      </x:c>
      <x:c r="J1634" s="5" t="str">
        <x:v>SOURCE QUOTE; unvalidated / superseded assessments</x:v>
      </x:c>
      <x:c r="L1634" s="31" t="str">
        <x:v>D06, Markdown line 234; http://nas-1.tail55d152.ts.net:4100/static/MEDICAL_NORDICS_FINANCIALS_DOSSIER.html</x:v>
      </x:c>
    </x:row>
    <x:row r="1635" ht="42" customHeight="1">
      <x:c r="A1635" s="5" t="str">
        <x:v>D06</x:v>
      </x:c>
      <x:c r="B1635" s="5" t="str">
        <x:v>D06-T01</x:v>
      </x:c>
      <x:c r="C1635" s="5" t="str">
        <x:v>5. Complete Company Financial Table (135 Facilities Analyzed)</x:v>
      </x:c>
      <x:c r="D1635" s="5" t="n">
        <x:v>235</x:v>
      </x:c>
      <x:c r="E1635" s="5" t="n">
        <x:v>1</x:v>
      </x:c>
      <x:c r="F1635" s="5" t="str">
        <x:v>#</x:v>
      </x:c>
      <x:c r="G1635" s="5" t="n">
        <x:v>1</x:v>
      </x:c>
      <x:c r="H1635" s="5" t="n">
        <x:v>1</x:v>
      </x:c>
      <x:c r="I1635" s="5" t="str">
        <x:v>54</x:v>
      </x:c>
      <x:c r="J1635" s="5" t="str">
        <x:v>SOURCE QUOTE; unvalidated / superseded assessments</x:v>
      </x:c>
      <x:c r="L1635" s="31" t="str">
        <x:v>D06, Markdown line 235; http://nas-1.tail55d152.ts.net:4100/static/MEDICAL_NORDICS_FINANCIALS_DOSSIER.html</x:v>
      </x:c>
    </x:row>
    <x:row r="1636" ht="42" customHeight="1">
      <x:c r="A1636" s="5" t="str">
        <x:v>D06</x:v>
      </x:c>
      <x:c r="B1636" s="5" t="str">
        <x:v>D06-T01</x:v>
      </x:c>
      <x:c r="C1636" s="5" t="str">
        <x:v>5. Complete Company Financial Table (135 Facilities Analyzed)</x:v>
      </x:c>
      <x:c r="D1636" s="5" t="n">
        <x:v>235</x:v>
      </x:c>
      <x:c r="E1636" s="5" t="n">
        <x:v>2</x:v>
      </x:c>
      <x:c r="F1636" s="5" t="str">
        <x:v>Company</x:v>
      </x:c>
      <x:c r="G1636" s="5" t="n">
        <x:v>1</x:v>
      </x:c>
      <x:c r="H1636" s="5" t="n">
        <x:v>1</x:v>
      </x:c>
      <x:c r="I1636" s="5" t="str">
        <x:v>Ascelia Pharma</x:v>
      </x:c>
      <x:c r="J1636" s="5" t="str">
        <x:v>SOURCE QUOTE; unvalidated / superseded assessments</x:v>
      </x:c>
      <x:c r="L1636" s="31" t="str">
        <x:v>D06, Markdown line 235; http://nas-1.tail55d152.ts.net:4100/static/MEDICAL_NORDICS_FINANCIALS_DOSSIER.html</x:v>
      </x:c>
    </x:row>
    <x:row r="1637" ht="42" customHeight="1">
      <x:c r="A1637" s="5" t="str">
        <x:v>D06</x:v>
      </x:c>
      <x:c r="B1637" s="5" t="str">
        <x:v>D06-T01</x:v>
      </x:c>
      <x:c r="C1637" s="5" t="str">
        <x:v>5. Complete Company Financial Table (135 Facilities Analyzed)</x:v>
      </x:c>
      <x:c r="D1637" s="5" t="n">
        <x:v>235</x:v>
      </x:c>
      <x:c r="E1637" s="5" t="n">
        <x:v>3</x:v>
      </x:c>
      <x:c r="F1637" s="5" t="str">
        <x:v>Location</x:v>
      </x:c>
      <x:c r="G1637" s="5" t="n">
        <x:v>1</x:v>
      </x:c>
      <x:c r="H1637" s="5" t="n">
        <x:v>1</x:v>
      </x:c>
      <x:c r="I1637" s="5" t="str">
        <x:v>Malmö, Sweden</x:v>
      </x:c>
      <x:c r="J1637" s="5" t="str">
        <x:v>SOURCE QUOTE; unvalidated / superseded assessments</x:v>
      </x:c>
      <x:c r="L1637" s="31" t="str">
        <x:v>D06, Markdown line 235; http://nas-1.tail55d152.ts.net:4100/static/MEDICAL_NORDICS_FINANCIALS_DOSSIER.html</x:v>
      </x:c>
    </x:row>
    <x:row r="1638" ht="42" customHeight="1">
      <x:c r="A1638" s="5" t="str">
        <x:v>D06</x:v>
      </x:c>
      <x:c r="B1638" s="5" t="str">
        <x:v>D06-T01</x:v>
      </x:c>
      <x:c r="C1638" s="5" t="str">
        <x:v>5. Complete Company Financial Table (135 Facilities Analyzed)</x:v>
      </x:c>
      <x:c r="D1638" s="5" t="n">
        <x:v>235</x:v>
      </x:c>
      <x:c r="E1638" s="5" t="n">
        <x:v>4</x:v>
      </x:c>
      <x:c r="F1638" s="5" t="str">
        <x:v>Focus Area</x:v>
      </x:c>
      <x:c r="G1638" s="5" t="n">
        <x:v>1</x:v>
      </x:c>
      <x:c r="H1638" s="5" t="n">
        <x:v>1</x:v>
      </x:c>
      <x:c r="I1638" s="5" t="str">
        <x:v>Orviglance Liver MRI Imaging Agent</x:v>
      </x:c>
      <x:c r="J1638" s="5" t="str">
        <x:v>SOURCE QUOTE; unvalidated / superseded assessments</x:v>
      </x:c>
      <x:c r="L1638" s="31" t="str">
        <x:v>D06, Markdown line 235; http://nas-1.tail55d152.ts.net:4100/static/MEDICAL_NORDICS_FINANCIALS_DOSSIER.html</x:v>
      </x:c>
    </x:row>
    <x:row r="1639" ht="42" customHeight="1">
      <x:c r="A1639" s="5" t="str">
        <x:v>D06</x:v>
      </x:c>
      <x:c r="B1639" s="5" t="str">
        <x:v>D06-T01</x:v>
      </x:c>
      <x:c r="C1639" s="5" t="str">
        <x:v>5. Complete Company Financial Table (135 Facilities Analyzed)</x:v>
      </x:c>
      <x:c r="D1639" s="5" t="n">
        <x:v>235</x:v>
      </x:c>
      <x:c r="E1639" s="5" t="n">
        <x:v>5</x:v>
      </x:c>
      <x:c r="F1639" s="5" t="str">
        <x:v>Revenue / Net Sales</x:v>
      </x:c>
      <x:c r="G1639" s="5" t="n">
        <x:v>1</x:v>
      </x:c>
      <x:c r="H1639" s="5" t="n">
        <x:v>1</x:v>
      </x:c>
      <x:c r="I1639" s="5" t="str">
        <x:v>SEK 0M (Clinical stage)</x:v>
      </x:c>
      <x:c r="J1639" s="5" t="str">
        <x:v>SOURCE QUOTE; unvalidated / superseded assessments</x:v>
      </x:c>
      <x:c r="L1639" s="31" t="str">
        <x:v>D06, Markdown line 235; http://nas-1.tail55d152.ts.net:4100/static/MEDICAL_NORDICS_FINANCIALS_DOSSIER.html</x:v>
      </x:c>
    </x:row>
    <x:row r="1640" ht="42" customHeight="1">
      <x:c r="A1640" s="5" t="str">
        <x:v>D06</x:v>
      </x:c>
      <x:c r="B1640" s="5" t="str">
        <x:v>D06-T01</x:v>
      </x:c>
      <x:c r="C1640" s="5" t="str">
        <x:v>5. Complete Company Financial Table (135 Facilities Analyzed)</x:v>
      </x:c>
      <x:c r="D1640" s="5" t="n">
        <x:v>235</x:v>
      </x:c>
      <x:c r="E1640" s="5" t="n">
        <x:v>6</x:v>
      </x:c>
      <x:c r="F1640" s="5" t="str">
        <x:v>R&amp;D Spend</x:v>
      </x:c>
      <x:c r="G1640" s="5" t="n">
        <x:v>1</x:v>
      </x:c>
      <x:c r="H1640" s="5" t="n">
        <x:v>1</x:v>
      </x:c>
      <x:c r="I1640" s="5" t="str">
        <x:v>SEK 74.2M</x:v>
      </x:c>
      <x:c r="J1640" s="5" t="str">
        <x:v>SOURCE QUOTE; unvalidated / superseded assessments</x:v>
      </x:c>
      <x:c r="L1640" s="31" t="str">
        <x:v>D06, Markdown line 235; http://nas-1.tail55d152.ts.net:4100/static/MEDICAL_NORDICS_FINANCIALS_DOSSIER.html</x:v>
      </x:c>
    </x:row>
    <x:row r="1641" ht="42" customHeight="1">
      <x:c r="A1641" s="5" t="str">
        <x:v>D06</x:v>
      </x:c>
      <x:c r="B1641" s="5" t="str">
        <x:v>D06-T01</x:v>
      </x:c>
      <x:c r="C1641" s="5" t="str">
        <x:v>5. Complete Company Financial Table (135 Facilities Analyzed)</x:v>
      </x:c>
      <x:c r="D1641" s="5" t="n">
        <x:v>235</x:v>
      </x:c>
      <x:c r="E1641" s="5" t="n">
        <x:v>7</x:v>
      </x:c>
      <x:c r="F1641" s="5" t="str">
        <x:v>Currency</x:v>
      </x:c>
      <x:c r="G1641" s="5" t="n">
        <x:v>1</x:v>
      </x:c>
      <x:c r="H1641" s="5" t="n">
        <x:v>1</x:v>
      </x:c>
      <x:c r="I1641" s="5" t="str">
        <x:v>SEK</x:v>
      </x:c>
      <x:c r="J1641" s="5" t="str">
        <x:v>SOURCE QUOTE; unvalidated / superseded assessments</x:v>
      </x:c>
      <x:c r="L1641" s="31" t="str">
        <x:v>D06, Markdown line 235; http://nas-1.tail55d152.ts.net:4100/static/MEDICAL_NORDICS_FINANCIALS_DOSSIER.html</x:v>
      </x:c>
    </x:row>
    <x:row r="1642" ht="42" customHeight="1">
      <x:c r="A1642" s="5" t="str">
        <x:v>D06</x:v>
      </x:c>
      <x:c r="B1642" s="5" t="str">
        <x:v>D06-T01</x:v>
      </x:c>
      <x:c r="C1642" s="5" t="str">
        <x:v>5. Complete Company Financial Table (135 Facilities Analyzed)</x:v>
      </x:c>
      <x:c r="D1642" s="5" t="n">
        <x:v>235</x:v>
      </x:c>
      <x:c r="E1642" s="5" t="n">
        <x:v>8</x:v>
      </x:c>
      <x:c r="F1642" s="5" t="str">
        <x:v>Fiscal Year</x:v>
      </x:c>
      <x:c r="G1642" s="5" t="n">
        <x:v>1</x:v>
      </x:c>
      <x:c r="H1642" s="5" t="n">
        <x:v>1</x:v>
      </x:c>
      <x:c r="I1642" s="5" t="str">
        <x:v>FY2023/24</x:v>
      </x:c>
      <x:c r="J1642" s="5" t="str">
        <x:v>SOURCE QUOTE; unvalidated / superseded assessments</x:v>
      </x:c>
      <x:c r="L1642" s="31" t="str">
        <x:v>D06, Markdown line 235; http://nas-1.tail55d152.ts.net:4100/static/MEDICAL_NORDICS_FINANCIALS_DOSSIER.html</x:v>
      </x:c>
    </x:row>
    <x:row r="1643" ht="42" customHeight="1">
      <x:c r="A1643" s="5" t="str">
        <x:v>D06</x:v>
      </x:c>
      <x:c r="B1643" s="5" t="str">
        <x:v>D06-T01</x:v>
      </x:c>
      <x:c r="C1643" s="5" t="str">
        <x:v>5. Complete Company Financial Table (135 Facilities Analyzed)</x:v>
      </x:c>
      <x:c r="D1643" s="5" t="n">
        <x:v>235</x:v>
      </x:c>
      <x:c r="E1643" s="5" t="n">
        <x:v>9</x:v>
      </x:c>
      <x:c r="F1643" s="5" t="str">
        <x:v>Status / Ownership / Strategic Service Alignment</x:v>
      </x:c>
      <x:c r="G1643" s="5" t="n">
        <x:v>1</x:v>
      </x:c>
      <x:c r="H1643" s="5" t="n">
        <x:v>1</x:v>
      </x:c>
      <x:c r="I1643" s="5" t="str">
        <x:v>Listed (Nasdaq: ACE); Package B &amp; C (SPARKLE study readout &amp; launch pricing simulation)</x:v>
      </x:c>
      <x:c r="J1643" s="5" t="str">
        <x:v>SOURCE QUOTE; unvalidated / superseded assessments</x:v>
      </x:c>
      <x:c r="L1643" s="31" t="str">
        <x:v>D06, Markdown line 235; http://nas-1.tail55d152.ts.net:4100/static/MEDICAL_NORDICS_FINANCIALS_DOSSIER.html</x:v>
      </x:c>
    </x:row>
    <x:row r="1644" ht="42" customHeight="1">
      <x:c r="A1644" s="5" t="str">
        <x:v>D06</x:v>
      </x:c>
      <x:c r="B1644" s="5" t="str">
        <x:v>D06-T01</x:v>
      </x:c>
      <x:c r="C1644" s="5" t="str">
        <x:v>5. Complete Company Financial Table (135 Facilities Analyzed)</x:v>
      </x:c>
      <x:c r="D1644" s="5" t="n">
        <x:v>236</x:v>
      </x:c>
      <x:c r="E1644" s="5" t="n">
        <x:v>1</x:v>
      </x:c>
      <x:c r="F1644" s="5" t="str">
        <x:v>#</x:v>
      </x:c>
      <x:c r="G1644" s="5" t="n">
        <x:v>1</x:v>
      </x:c>
      <x:c r="H1644" s="5" t="n">
        <x:v>1</x:v>
      </x:c>
      <x:c r="I1644" s="5" t="str">
        <x:v>55</x:v>
      </x:c>
      <x:c r="J1644" s="5" t="str">
        <x:v>SOURCE QUOTE; unvalidated / superseded assessments</x:v>
      </x:c>
      <x:c r="L1644" s="31" t="str">
        <x:v>D06, Markdown line 236; http://nas-1.tail55d152.ts.net:4100/static/MEDICAL_NORDICS_FINANCIALS_DOSSIER.html</x:v>
      </x:c>
    </x:row>
    <x:row r="1645" ht="42" customHeight="1">
      <x:c r="A1645" s="5" t="str">
        <x:v>D06</x:v>
      </x:c>
      <x:c r="B1645" s="5" t="str">
        <x:v>D06-T01</x:v>
      </x:c>
      <x:c r="C1645" s="5" t="str">
        <x:v>5. Complete Company Financial Table (135 Facilities Analyzed)</x:v>
      </x:c>
      <x:c r="D1645" s="5" t="n">
        <x:v>236</x:v>
      </x:c>
      <x:c r="E1645" s="5" t="n">
        <x:v>2</x:v>
      </x:c>
      <x:c r="F1645" s="5" t="str">
        <x:v>Company</x:v>
      </x:c>
      <x:c r="G1645" s="5" t="n">
        <x:v>1</x:v>
      </x:c>
      <x:c r="H1645" s="5" t="n">
        <x:v>1</x:v>
      </x:c>
      <x:c r="I1645" s="5" t="str">
        <x:v>Flow Neuroscience</x:v>
      </x:c>
      <x:c r="J1645" s="5" t="str">
        <x:v>SOURCE QUOTE; unvalidated / superseded assessments</x:v>
      </x:c>
      <x:c r="L1645" s="31" t="str">
        <x:v>D06, Markdown line 236; http://nas-1.tail55d152.ts.net:4100/static/MEDICAL_NORDICS_FINANCIALS_DOSSIER.html</x:v>
      </x:c>
    </x:row>
    <x:row r="1646" ht="42" customHeight="1">
      <x:c r="A1646" s="5" t="str">
        <x:v>D06</x:v>
      </x:c>
      <x:c r="B1646" s="5" t="str">
        <x:v>D06-T01</x:v>
      </x:c>
      <x:c r="C1646" s="5" t="str">
        <x:v>5. Complete Company Financial Table (135 Facilities Analyzed)</x:v>
      </x:c>
      <x:c r="D1646" s="5" t="n">
        <x:v>236</x:v>
      </x:c>
      <x:c r="E1646" s="5" t="n">
        <x:v>3</x:v>
      </x:c>
      <x:c r="F1646" s="5" t="str">
        <x:v>Location</x:v>
      </x:c>
      <x:c r="G1646" s="5" t="n">
        <x:v>1</x:v>
      </x:c>
      <x:c r="H1646" s="5" t="n">
        <x:v>1</x:v>
      </x:c>
      <x:c r="I1646" s="5" t="str">
        <x:v>Malmö, Sweden</x:v>
      </x:c>
      <x:c r="J1646" s="5" t="str">
        <x:v>SOURCE QUOTE; unvalidated / superseded assessments</x:v>
      </x:c>
      <x:c r="L1646" s="31" t="str">
        <x:v>D06, Markdown line 236; http://nas-1.tail55d152.ts.net:4100/static/MEDICAL_NORDICS_FINANCIALS_DOSSIER.html</x:v>
      </x:c>
    </x:row>
    <x:row r="1647" ht="42" customHeight="1">
      <x:c r="A1647" s="5" t="str">
        <x:v>D06</x:v>
      </x:c>
      <x:c r="B1647" s="5" t="str">
        <x:v>D06-T01</x:v>
      </x:c>
      <x:c r="C1647" s="5" t="str">
        <x:v>5. Complete Company Financial Table (135 Facilities Analyzed)</x:v>
      </x:c>
      <x:c r="D1647" s="5" t="n">
        <x:v>236</x:v>
      </x:c>
      <x:c r="E1647" s="5" t="n">
        <x:v>4</x:v>
      </x:c>
      <x:c r="F1647" s="5" t="str">
        <x:v>Focus Area</x:v>
      </x:c>
      <x:c r="G1647" s="5" t="n">
        <x:v>1</x:v>
      </x:c>
      <x:c r="H1647" s="5" t="n">
        <x:v>1</x:v>
      </x:c>
      <x:c r="I1647" s="5" t="str">
        <x:v>Brain Stimulation Headset for Depression</x:v>
      </x:c>
      <x:c r="J1647" s="5" t="str">
        <x:v>SOURCE QUOTE; unvalidated / superseded assessments</x:v>
      </x:c>
      <x:c r="L1647" s="31" t="str">
        <x:v>D06, Markdown line 236; http://nas-1.tail55d152.ts.net:4100/static/MEDICAL_NORDICS_FINANCIALS_DOSSIER.html</x:v>
      </x:c>
    </x:row>
    <x:row r="1648" ht="42" customHeight="1">
      <x:c r="A1648" s="5" t="str">
        <x:v>D06</x:v>
      </x:c>
      <x:c r="B1648" s="5" t="str">
        <x:v>D06-T01</x:v>
      </x:c>
      <x:c r="C1648" s="5" t="str">
        <x:v>5. Complete Company Financial Table (135 Facilities Analyzed)</x:v>
      </x:c>
      <x:c r="D1648" s="5" t="n">
        <x:v>236</x:v>
      </x:c>
      <x:c r="E1648" s="5" t="n">
        <x:v>5</x:v>
      </x:c>
      <x:c r="F1648" s="5" t="str">
        <x:v>Revenue / Net Sales</x:v>
      </x:c>
      <x:c r="G1648" s="5" t="n">
        <x:v>1</x:v>
      </x:c>
      <x:c r="H1648" s="5" t="n">
        <x:v>1</x:v>
      </x:c>
      <x:c r="I1648" s="5" t="str">
        <x:v>EUR 2.2M est. (~SEK 25M)</x:v>
      </x:c>
      <x:c r="J1648" s="5" t="str">
        <x:v>SOURCE QUOTE; unvalidated / superseded assessments</x:v>
      </x:c>
      <x:c r="L1648" s="31" t="str">
        <x:v>D06, Markdown line 236; http://nas-1.tail55d152.ts.net:4100/static/MEDICAL_NORDICS_FINANCIALS_DOSSIER.html</x:v>
      </x:c>
    </x:row>
    <x:row r="1649" ht="42" customHeight="1">
      <x:c r="A1649" s="5" t="str">
        <x:v>D06</x:v>
      </x:c>
      <x:c r="B1649" s="5" t="str">
        <x:v>D06-T01</x:v>
      </x:c>
      <x:c r="C1649" s="5" t="str">
        <x:v>5. Complete Company Financial Table (135 Facilities Analyzed)</x:v>
      </x:c>
      <x:c r="D1649" s="5" t="n">
        <x:v>236</x:v>
      </x:c>
      <x:c r="E1649" s="5" t="n">
        <x:v>6</x:v>
      </x:c>
      <x:c r="F1649" s="5" t="str">
        <x:v>R&amp;D Spend</x:v>
      </x:c>
      <x:c r="G1649" s="5" t="n">
        <x:v>1</x:v>
      </x:c>
      <x:c r="H1649" s="5" t="n">
        <x:v>1</x:v>
      </x:c>
      <x:c r="I1649" s="5" t="str">
        <x:v>EUR 5.8M (~SEK 65M)</x:v>
      </x:c>
      <x:c r="J1649" s="5" t="str">
        <x:v>SOURCE QUOTE; unvalidated / superseded assessments</x:v>
      </x:c>
      <x:c r="L1649" s="31" t="str">
        <x:v>D06, Markdown line 236; http://nas-1.tail55d152.ts.net:4100/static/MEDICAL_NORDICS_FINANCIALS_DOSSIER.html</x:v>
      </x:c>
    </x:row>
    <x:row r="1650" ht="42" customHeight="1">
      <x:c r="A1650" s="5" t="str">
        <x:v>D06</x:v>
      </x:c>
      <x:c r="B1650" s="5" t="str">
        <x:v>D06-T01</x:v>
      </x:c>
      <x:c r="C1650" s="5" t="str">
        <x:v>5. Complete Company Financial Table (135 Facilities Analyzed)</x:v>
      </x:c>
      <x:c r="D1650" s="5" t="n">
        <x:v>236</x:v>
      </x:c>
      <x:c r="E1650" s="5" t="n">
        <x:v>7</x:v>
      </x:c>
      <x:c r="F1650" s="5" t="str">
        <x:v>Currency</x:v>
      </x:c>
      <x:c r="G1650" s="5" t="n">
        <x:v>1</x:v>
      </x:c>
      <x:c r="H1650" s="5" t="n">
        <x:v>1</x:v>
      </x:c>
      <x:c r="I1650" s="5" t="str">
        <x:v>EUR</x:v>
      </x:c>
      <x:c r="J1650" s="5" t="str">
        <x:v>SOURCE QUOTE; unvalidated / superseded assessments</x:v>
      </x:c>
      <x:c r="L1650" s="31" t="str">
        <x:v>D06, Markdown line 236; http://nas-1.tail55d152.ts.net:4100/static/MEDICAL_NORDICS_FINANCIALS_DOSSIER.html</x:v>
      </x:c>
    </x:row>
    <x:row r="1651" ht="42" customHeight="1">
      <x:c r="A1651" s="5" t="str">
        <x:v>D06</x:v>
      </x:c>
      <x:c r="B1651" s="5" t="str">
        <x:v>D06-T01</x:v>
      </x:c>
      <x:c r="C1651" s="5" t="str">
        <x:v>5. Complete Company Financial Table (135 Facilities Analyzed)</x:v>
      </x:c>
      <x:c r="D1651" s="5" t="n">
        <x:v>236</x:v>
      </x:c>
      <x:c r="E1651" s="5" t="n">
        <x:v>8</x:v>
      </x:c>
      <x:c r="F1651" s="5" t="str">
        <x:v>Fiscal Year</x:v>
      </x:c>
      <x:c r="G1651" s="5" t="n">
        <x:v>1</x:v>
      </x:c>
      <x:c r="H1651" s="5" t="n">
        <x:v>1</x:v>
      </x:c>
      <x:c r="I1651" s="5" t="str">
        <x:v>FY2023/24</x:v>
      </x:c>
      <x:c r="J1651" s="5" t="str">
        <x:v>SOURCE QUOTE; unvalidated / superseded assessments</x:v>
      </x:c>
      <x:c r="L1651" s="31" t="str">
        <x:v>D06, Markdown line 236; http://nas-1.tail55d152.ts.net:4100/static/MEDICAL_NORDICS_FINANCIALS_DOSSIER.html</x:v>
      </x:c>
    </x:row>
    <x:row r="1652" ht="42" customHeight="1">
      <x:c r="A1652" s="5" t="str">
        <x:v>D06</x:v>
      </x:c>
      <x:c r="B1652" s="5" t="str">
        <x:v>D06-T01</x:v>
      </x:c>
      <x:c r="C1652" s="5" t="str">
        <x:v>5. Complete Company Financial Table (135 Facilities Analyzed)</x:v>
      </x:c>
      <x:c r="D1652" s="5" t="n">
        <x:v>236</x:v>
      </x:c>
      <x:c r="E1652" s="5" t="n">
        <x:v>9</x:v>
      </x:c>
      <x:c r="F1652" s="5" t="str">
        <x:v>Status / Ownership / Strategic Service Alignment</x:v>
      </x:c>
      <x:c r="G1652" s="5" t="n">
        <x:v>1</x:v>
      </x:c>
      <x:c r="H1652" s="5" t="n">
        <x:v>1</x:v>
      </x:c>
      <x:c r="I1652" s="5" t="str">
        <x:v>Private tDCS headset; Package A &amp; E (Clinic DaaS subscription &amp; MDR software file)</x:v>
      </x:c>
      <x:c r="J1652" s="5" t="str">
        <x:v>SOURCE QUOTE; unvalidated / superseded assessments</x:v>
      </x:c>
      <x:c r="L1652" s="31" t="str">
        <x:v>D06, Markdown line 236; http://nas-1.tail55d152.ts.net:4100/static/MEDICAL_NORDICS_FINANCIALS_DOSSIER.html</x:v>
      </x:c>
    </x:row>
    <x:row r="1653" ht="42" customHeight="1">
      <x:c r="A1653" s="5" t="str">
        <x:v>D06</x:v>
      </x:c>
      <x:c r="B1653" s="5" t="str">
        <x:v>D06-T01</x:v>
      </x:c>
      <x:c r="C1653" s="5" t="str">
        <x:v>5. Complete Company Financial Table (135 Facilities Analyzed)</x:v>
      </x:c>
      <x:c r="D1653" s="5" t="n">
        <x:v>237</x:v>
      </x:c>
      <x:c r="E1653" s="5" t="n">
        <x:v>1</x:v>
      </x:c>
      <x:c r="F1653" s="5" t="str">
        <x:v>#</x:v>
      </x:c>
      <x:c r="G1653" s="5" t="n">
        <x:v>1</x:v>
      </x:c>
      <x:c r="H1653" s="5" t="n">
        <x:v>1</x:v>
      </x:c>
      <x:c r="I1653" s="5" t="str">
        <x:v>56</x:v>
      </x:c>
      <x:c r="J1653" s="5" t="str">
        <x:v>SOURCE QUOTE; unvalidated / superseded assessments</x:v>
      </x:c>
      <x:c r="L1653" s="31" t="str">
        <x:v>D06, Markdown line 237; http://nas-1.tail55d152.ts.net:4100/static/MEDICAL_NORDICS_FINANCIALS_DOSSIER.html</x:v>
      </x:c>
    </x:row>
    <x:row r="1654" ht="42" customHeight="1">
      <x:c r="A1654" s="5" t="str">
        <x:v>D06</x:v>
      </x:c>
      <x:c r="B1654" s="5" t="str">
        <x:v>D06-T01</x:v>
      </x:c>
      <x:c r="C1654" s="5" t="str">
        <x:v>5. Complete Company Financial Table (135 Facilities Analyzed)</x:v>
      </x:c>
      <x:c r="D1654" s="5" t="n">
        <x:v>237</x:v>
      </x:c>
      <x:c r="E1654" s="5" t="n">
        <x:v>2</x:v>
      </x:c>
      <x:c r="F1654" s="5" t="str">
        <x:v>Company</x:v>
      </x:c>
      <x:c r="G1654" s="5" t="n">
        <x:v>1</x:v>
      </x:c>
      <x:c r="H1654" s="5" t="n">
        <x:v>1</x:v>
      </x:c>
      <x:c r="I1654" s="5" t="str">
        <x:v>Laboratorio Reig Jofre</x:v>
      </x:c>
      <x:c r="J1654" s="5" t="str">
        <x:v>SOURCE QUOTE; unvalidated / superseded assessments</x:v>
      </x:c>
      <x:c r="L1654" s="31" t="str">
        <x:v>D06, Markdown line 237; http://nas-1.tail55d152.ts.net:4100/static/MEDICAL_NORDICS_FINANCIALS_DOSSIER.html</x:v>
      </x:c>
    </x:row>
    <x:row r="1655" ht="42" customHeight="1">
      <x:c r="A1655" s="5" t="str">
        <x:v>D06</x:v>
      </x:c>
      <x:c r="B1655" s="5" t="str">
        <x:v>D06-T01</x:v>
      </x:c>
      <x:c r="C1655" s="5" t="str">
        <x:v>5. Complete Company Financial Table (135 Facilities Analyzed)</x:v>
      </x:c>
      <x:c r="D1655" s="5" t="n">
        <x:v>237</x:v>
      </x:c>
      <x:c r="E1655" s="5" t="n">
        <x:v>3</x:v>
      </x:c>
      <x:c r="F1655" s="5" t="str">
        <x:v>Location</x:v>
      </x:c>
      <x:c r="G1655" s="5" t="n">
        <x:v>1</x:v>
      </x:c>
      <x:c r="H1655" s="5" t="n">
        <x:v>1</x:v>
      </x:c>
      <x:c r="I1655" s="5" t="str">
        <x:v>Malmö, Sweden</x:v>
      </x:c>
      <x:c r="J1655" s="5" t="str">
        <x:v>SOURCE QUOTE; unvalidated / superseded assessments</x:v>
      </x:c>
      <x:c r="L1655" s="31" t="str">
        <x:v>D06, Markdown line 237; http://nas-1.tail55d152.ts.net:4100/static/MEDICAL_NORDICS_FINANCIALS_DOSSIER.html</x:v>
      </x:c>
    </x:row>
    <x:row r="1656" ht="42" customHeight="1">
      <x:c r="A1656" s="5" t="str">
        <x:v>D06</x:v>
      </x:c>
      <x:c r="B1656" s="5" t="str">
        <x:v>D06-T01</x:v>
      </x:c>
      <x:c r="C1656" s="5" t="str">
        <x:v>5. Complete Company Financial Table (135 Facilities Analyzed)</x:v>
      </x:c>
      <x:c r="D1656" s="5" t="n">
        <x:v>237</x:v>
      </x:c>
      <x:c r="E1656" s="5" t="n">
        <x:v>4</x:v>
      </x:c>
      <x:c r="F1656" s="5" t="str">
        <x:v>Focus Area</x:v>
      </x:c>
      <x:c r="G1656" s="5" t="n">
        <x:v>1</x:v>
      </x:c>
      <x:c r="H1656" s="5" t="n">
        <x:v>1</x:v>
      </x:c>
      <x:c r="I1656" s="5" t="str">
        <x:v>Aseptic Injectables &amp; Antibiotic Plant</x:v>
      </x:c>
      <x:c r="J1656" s="5" t="str">
        <x:v>SOURCE QUOTE; unvalidated / superseded assessments</x:v>
      </x:c>
      <x:c r="L1656" s="31" t="str">
        <x:v>D06, Markdown line 237; http://nas-1.tail55d152.ts.net:4100/static/MEDICAL_NORDICS_FINANCIALS_DOSSIER.html</x:v>
      </x:c>
    </x:row>
    <x:row r="1657" ht="42" customHeight="1">
      <x:c r="A1657" s="5" t="str">
        <x:v>D06</x:v>
      </x:c>
      <x:c r="B1657" s="5" t="str">
        <x:v>D06-T01</x:v>
      </x:c>
      <x:c r="C1657" s="5" t="str">
        <x:v>5. Complete Company Financial Table (135 Facilities Analyzed)</x:v>
      </x:c>
      <x:c r="D1657" s="5" t="n">
        <x:v>237</x:v>
      </x:c>
      <x:c r="E1657" s="5" t="n">
        <x:v>5</x:v>
      </x:c>
      <x:c r="F1657" s="5" t="str">
        <x:v>Revenue / Net Sales</x:v>
      </x:c>
      <x:c r="G1657" s="5" t="n">
        <x:v>1</x:v>
      </x:c>
      <x:c r="H1657" s="5" t="n">
        <x:v>1</x:v>
      </x:c>
      <x:c r="I1657" s="5" t="str">
        <x:v>EUR 339.0M (~SEK 3.85B)</x:v>
      </x:c>
      <x:c r="J1657" s="5" t="str">
        <x:v>SOURCE QUOTE; unvalidated / superseded assessments</x:v>
      </x:c>
      <x:c r="L1657" s="31" t="str">
        <x:v>D06, Markdown line 237; http://nas-1.tail55d152.ts.net:4100/static/MEDICAL_NORDICS_FINANCIALS_DOSSIER.html</x:v>
      </x:c>
    </x:row>
    <x:row r="1658" ht="42" customHeight="1">
      <x:c r="A1658" s="5" t="str">
        <x:v>D06</x:v>
      </x:c>
      <x:c r="B1658" s="5" t="str">
        <x:v>D06-T01</x:v>
      </x:c>
      <x:c r="C1658" s="5" t="str">
        <x:v>5. Complete Company Financial Table (135 Facilities Analyzed)</x:v>
      </x:c>
      <x:c r="D1658" s="5" t="n">
        <x:v>237</x:v>
      </x:c>
      <x:c r="E1658" s="5" t="n">
        <x:v>6</x:v>
      </x:c>
      <x:c r="F1658" s="5" t="str">
        <x:v>R&amp;D Spend</x:v>
      </x:c>
      <x:c r="G1658" s="5" t="n">
        <x:v>1</x:v>
      </x:c>
      <x:c r="H1658" s="5" t="n">
        <x:v>1</x:v>
      </x:c>
      <x:c r="I1658" s="5" t="str">
        <x:v>EUR 17.0M (~5% sales)</x:v>
      </x:c>
      <x:c r="J1658" s="5" t="str">
        <x:v>SOURCE QUOTE; unvalidated / superseded assessments</x:v>
      </x:c>
      <x:c r="L1658" s="31" t="str">
        <x:v>D06, Markdown line 237; http://nas-1.tail55d152.ts.net:4100/static/MEDICAL_NORDICS_FINANCIALS_DOSSIER.html</x:v>
      </x:c>
    </x:row>
    <x:row r="1659" ht="42" customHeight="1">
      <x:c r="A1659" s="5" t="str">
        <x:v>D06</x:v>
      </x:c>
      <x:c r="B1659" s="5" t="str">
        <x:v>D06-T01</x:v>
      </x:c>
      <x:c r="C1659" s="5" t="str">
        <x:v>5. Complete Company Financial Table (135 Facilities Analyzed)</x:v>
      </x:c>
      <x:c r="D1659" s="5" t="n">
        <x:v>237</x:v>
      </x:c>
      <x:c r="E1659" s="5" t="n">
        <x:v>7</x:v>
      </x:c>
      <x:c r="F1659" s="5" t="str">
        <x:v>Currency</x:v>
      </x:c>
      <x:c r="G1659" s="5" t="n">
        <x:v>1</x:v>
      </x:c>
      <x:c r="H1659" s="5" t="n">
        <x:v>1</x:v>
      </x:c>
      <x:c r="I1659" s="5" t="str">
        <x:v>EUR</x:v>
      </x:c>
      <x:c r="J1659" s="5" t="str">
        <x:v>SOURCE QUOTE; unvalidated / superseded assessments</x:v>
      </x:c>
      <x:c r="L1659" s="31" t="str">
        <x:v>D06, Markdown line 237; http://nas-1.tail55d152.ts.net:4100/static/MEDICAL_NORDICS_FINANCIALS_DOSSIER.html</x:v>
      </x:c>
    </x:row>
    <x:row r="1660" ht="42" customHeight="1">
      <x:c r="A1660" s="5" t="str">
        <x:v>D06</x:v>
      </x:c>
      <x:c r="B1660" s="5" t="str">
        <x:v>D06-T01</x:v>
      </x:c>
      <x:c r="C1660" s="5" t="str">
        <x:v>5. Complete Company Financial Table (135 Facilities Analyzed)</x:v>
      </x:c>
      <x:c r="D1660" s="5" t="n">
        <x:v>237</x:v>
      </x:c>
      <x:c r="E1660" s="5" t="n">
        <x:v>8</x:v>
      </x:c>
      <x:c r="F1660" s="5" t="str">
        <x:v>Fiscal Year</x:v>
      </x:c>
      <x:c r="G1660" s="5" t="n">
        <x:v>1</x:v>
      </x:c>
      <x:c r="H1660" s="5" t="n">
        <x:v>1</x:v>
      </x:c>
      <x:c r="I1660" s="5" t="str">
        <x:v>FY2024</x:v>
      </x:c>
      <x:c r="J1660" s="5" t="str">
        <x:v>SOURCE QUOTE; unvalidated / superseded assessments</x:v>
      </x:c>
      <x:c r="L1660" s="31" t="str">
        <x:v>D06, Markdown line 237; http://nas-1.tail55d152.ts.net:4100/static/MEDICAL_NORDICS_FINANCIALS_DOSSIER.html</x:v>
      </x:c>
    </x:row>
    <x:row r="1661" ht="42" customHeight="1">
      <x:c r="A1661" s="5" t="str">
        <x:v>D06</x:v>
      </x:c>
      <x:c r="B1661" s="5" t="str">
        <x:v>D06-T01</x:v>
      </x:c>
      <x:c r="C1661" s="5" t="str">
        <x:v>5. Complete Company Financial Table (135 Facilities Analyzed)</x:v>
      </x:c>
      <x:c r="D1661" s="5" t="n">
        <x:v>237</x:v>
      </x:c>
      <x:c r="E1661" s="5" t="n">
        <x:v>9</x:v>
      </x:c>
      <x:c r="F1661" s="5" t="str">
        <x:v>Status / Ownership / Strategic Service Alignment</x:v>
      </x:c>
      <x:c r="G1661" s="5" t="n">
        <x:v>1</x:v>
      </x:c>
      <x:c r="H1661" s="5" t="n">
        <x:v>1</x:v>
      </x:c>
      <x:c r="I1661" s="5" t="str">
        <x:v>Listed (BME: RJF); Package D (Sterile injectable fill-finish yield optimization)</x:v>
      </x:c>
      <x:c r="J1661" s="5" t="str">
        <x:v>SOURCE QUOTE; unvalidated / superseded assessments</x:v>
      </x:c>
      <x:c r="L1661" s="31" t="str">
        <x:v>D06, Markdown line 237; http://nas-1.tail55d152.ts.net:4100/static/MEDICAL_NORDICS_FINANCIALS_DOSSIER.html</x:v>
      </x:c>
    </x:row>
    <x:row r="1662" ht="42" customHeight="1">
      <x:c r="A1662" s="5" t="str">
        <x:v>D06</x:v>
      </x:c>
      <x:c r="B1662" s="5" t="str">
        <x:v>D06-T01</x:v>
      </x:c>
      <x:c r="C1662" s="5" t="str">
        <x:v>5. Complete Company Financial Table (135 Facilities Analyzed)</x:v>
      </x:c>
      <x:c r="D1662" s="5" t="n">
        <x:v>238</x:v>
      </x:c>
      <x:c r="E1662" s="5" t="n">
        <x:v>1</x:v>
      </x:c>
      <x:c r="F1662" s="5" t="str">
        <x:v>#</x:v>
      </x:c>
      <x:c r="G1662" s="5" t="n">
        <x:v>1</x:v>
      </x:c>
      <x:c r="H1662" s="5" t="n">
        <x:v>1</x:v>
      </x:c>
      <x:c r="I1662" s="5" t="str">
        <x:v>57</x:v>
      </x:c>
      <x:c r="J1662" s="5" t="str">
        <x:v>SOURCE QUOTE; unvalidated / superseded assessments</x:v>
      </x:c>
      <x:c r="L1662" s="31" t="str">
        <x:v>D06, Markdown line 238; http://nas-1.tail55d152.ts.net:4100/static/MEDICAL_NORDICS_FINANCIALS_DOSSIER.html</x:v>
      </x:c>
    </x:row>
    <x:row r="1663" ht="42" customHeight="1">
      <x:c r="A1663" s="5" t="str">
        <x:v>D06</x:v>
      </x:c>
      <x:c r="B1663" s="5" t="str">
        <x:v>D06-T01</x:v>
      </x:c>
      <x:c r="C1663" s="5" t="str">
        <x:v>5. Complete Company Financial Table (135 Facilities Analyzed)</x:v>
      </x:c>
      <x:c r="D1663" s="5" t="n">
        <x:v>238</x:v>
      </x:c>
      <x:c r="E1663" s="5" t="n">
        <x:v>2</x:v>
      </x:c>
      <x:c r="F1663" s="5" t="str">
        <x:v>Company</x:v>
      </x:c>
      <x:c r="G1663" s="5" t="n">
        <x:v>1</x:v>
      </x:c>
      <x:c r="H1663" s="5" t="n">
        <x:v>1</x:v>
      </x:c>
      <x:c r="I1663" s="5" t="str">
        <x:v>Magle Chemoswed</x:v>
      </x:c>
      <x:c r="J1663" s="5" t="str">
        <x:v>SOURCE QUOTE; unvalidated / superseded assessments</x:v>
      </x:c>
      <x:c r="L1663" s="31" t="str">
        <x:v>D06, Markdown line 238; http://nas-1.tail55d152.ts.net:4100/static/MEDICAL_NORDICS_FINANCIALS_DOSSIER.html</x:v>
      </x:c>
    </x:row>
    <x:row r="1664" ht="42" customHeight="1">
      <x:c r="A1664" s="5" t="str">
        <x:v>D06</x:v>
      </x:c>
      <x:c r="B1664" s="5" t="str">
        <x:v>D06-T01</x:v>
      </x:c>
      <x:c r="C1664" s="5" t="str">
        <x:v>5. Complete Company Financial Table (135 Facilities Analyzed)</x:v>
      </x:c>
      <x:c r="D1664" s="5" t="n">
        <x:v>238</x:v>
      </x:c>
      <x:c r="E1664" s="5" t="n">
        <x:v>3</x:v>
      </x:c>
      <x:c r="F1664" s="5" t="str">
        <x:v>Location</x:v>
      </x:c>
      <x:c r="G1664" s="5" t="n">
        <x:v>1</x:v>
      </x:c>
      <x:c r="H1664" s="5" t="n">
        <x:v>1</x:v>
      </x:c>
      <x:c r="I1664" s="5" t="str">
        <x:v>Malmö, Sweden</x:v>
      </x:c>
      <x:c r="J1664" s="5" t="str">
        <x:v>SOURCE QUOTE; unvalidated / superseded assessments</x:v>
      </x:c>
      <x:c r="L1664" s="31" t="str">
        <x:v>D06, Markdown line 238; http://nas-1.tail55d152.ts.net:4100/static/MEDICAL_NORDICS_FINANCIALS_DOSSIER.html</x:v>
      </x:c>
    </x:row>
    <x:row r="1665" ht="42" customHeight="1">
      <x:c r="A1665" s="5" t="str">
        <x:v>D06</x:v>
      </x:c>
      <x:c r="B1665" s="5" t="str">
        <x:v>D06-T01</x:v>
      </x:c>
      <x:c r="C1665" s="5" t="str">
        <x:v>5. Complete Company Financial Table (135 Facilities Analyzed)</x:v>
      </x:c>
      <x:c r="D1665" s="5" t="n">
        <x:v>238</x:v>
      </x:c>
      <x:c r="E1665" s="5" t="n">
        <x:v>4</x:v>
      </x:c>
      <x:c r="F1665" s="5" t="str">
        <x:v>Focus Area</x:v>
      </x:c>
      <x:c r="G1665" s="5" t="n">
        <x:v>1</x:v>
      </x:c>
      <x:c r="H1665" s="5" t="n">
        <x:v>1</x:v>
      </x:c>
      <x:c r="I1665" s="5" t="str">
        <x:v>API Synthesis &amp; Chemical Development</x:v>
      </x:c>
      <x:c r="J1665" s="5" t="str">
        <x:v>SOURCE QUOTE; unvalidated / superseded assessments</x:v>
      </x:c>
      <x:c r="L1665" s="31" t="str">
        <x:v>D06, Markdown line 238; http://nas-1.tail55d152.ts.net:4100/static/MEDICAL_NORDICS_FINANCIALS_DOSSIER.html</x:v>
      </x:c>
    </x:row>
    <x:row r="1666" ht="42" customHeight="1">
      <x:c r="A1666" s="5" t="str">
        <x:v>D06</x:v>
      </x:c>
      <x:c r="B1666" s="5" t="str">
        <x:v>D06-T01</x:v>
      </x:c>
      <x:c r="C1666" s="5" t="str">
        <x:v>5. Complete Company Financial Table (135 Facilities Analyzed)</x:v>
      </x:c>
      <x:c r="D1666" s="5" t="n">
        <x:v>238</x:v>
      </x:c>
      <x:c r="E1666" s="5" t="n">
        <x:v>5</x:v>
      </x:c>
      <x:c r="F1666" s="5" t="str">
        <x:v>Revenue / Net Sales</x:v>
      </x:c>
      <x:c r="G1666" s="5" t="n">
        <x:v>1</x:v>
      </x:c>
      <x:c r="H1666" s="5" t="n">
        <x:v>1</x:v>
      </x:c>
      <x:c r="I1666" s="5" t="str">
        <x:v>SEK 21.0M (Chemoswed unit)</x:v>
      </x:c>
      <x:c r="J1666" s="5" t="str">
        <x:v>SOURCE QUOTE; unvalidated / superseded assessments</x:v>
      </x:c>
      <x:c r="L1666" s="31" t="str">
        <x:v>D06, Markdown line 238; http://nas-1.tail55d152.ts.net:4100/static/MEDICAL_NORDICS_FINANCIALS_DOSSIER.html</x:v>
      </x:c>
    </x:row>
    <x:row r="1667" ht="42" customHeight="1">
      <x:c r="A1667" s="5" t="str">
        <x:v>D06</x:v>
      </x:c>
      <x:c r="B1667" s="5" t="str">
        <x:v>D06-T01</x:v>
      </x:c>
      <x:c r="C1667" s="5" t="str">
        <x:v>5. Complete Company Financial Table (135 Facilities Analyzed)</x:v>
      </x:c>
      <x:c r="D1667" s="5" t="n">
        <x:v>238</x:v>
      </x:c>
      <x:c r="E1667" s="5" t="n">
        <x:v>6</x:v>
      </x:c>
      <x:c r="F1667" s="5" t="str">
        <x:v>R&amp;D Spend</x:v>
      </x:c>
      <x:c r="G1667" s="5" t="n">
        <x:v>1</x:v>
      </x:c>
      <x:c r="H1667" s="5" t="n">
        <x:v>1</x:v>
      </x:c>
      <x:c r="I1667" s="5" t="str">
        <x:v>SEK 12.0M</x:v>
      </x:c>
      <x:c r="J1667" s="5" t="str">
        <x:v>SOURCE QUOTE; unvalidated / superseded assessments</x:v>
      </x:c>
      <x:c r="L1667" s="31" t="str">
        <x:v>D06, Markdown line 238; http://nas-1.tail55d152.ts.net:4100/static/MEDICAL_NORDICS_FINANCIALS_DOSSIER.html</x:v>
      </x:c>
    </x:row>
    <x:row r="1668" ht="42" customHeight="1">
      <x:c r="A1668" s="5" t="str">
        <x:v>D06</x:v>
      </x:c>
      <x:c r="B1668" s="5" t="str">
        <x:v>D06-T01</x:v>
      </x:c>
      <x:c r="C1668" s="5" t="str">
        <x:v>5. Complete Company Financial Table (135 Facilities Analyzed)</x:v>
      </x:c>
      <x:c r="D1668" s="5" t="n">
        <x:v>238</x:v>
      </x:c>
      <x:c r="E1668" s="5" t="n">
        <x:v>7</x:v>
      </x:c>
      <x:c r="F1668" s="5" t="str">
        <x:v>Currency</x:v>
      </x:c>
      <x:c r="G1668" s="5" t="n">
        <x:v>1</x:v>
      </x:c>
      <x:c r="H1668" s="5" t="n">
        <x:v>1</x:v>
      </x:c>
      <x:c r="I1668" s="5" t="str">
        <x:v>SEK</x:v>
      </x:c>
      <x:c r="J1668" s="5" t="str">
        <x:v>SOURCE QUOTE; unvalidated / superseded assessments</x:v>
      </x:c>
      <x:c r="L1668" s="31" t="str">
        <x:v>D06, Markdown line 238; http://nas-1.tail55d152.ts.net:4100/static/MEDICAL_NORDICS_FINANCIALS_DOSSIER.html</x:v>
      </x:c>
    </x:row>
    <x:row r="1669" ht="42" customHeight="1">
      <x:c r="A1669" s="5" t="str">
        <x:v>D06</x:v>
      </x:c>
      <x:c r="B1669" s="5" t="str">
        <x:v>D06-T01</x:v>
      </x:c>
      <x:c r="C1669" s="5" t="str">
        <x:v>5. Complete Company Financial Table (135 Facilities Analyzed)</x:v>
      </x:c>
      <x:c r="D1669" s="5" t="n">
        <x:v>238</x:v>
      </x:c>
      <x:c r="E1669" s="5" t="n">
        <x:v>8</x:v>
      </x:c>
      <x:c r="F1669" s="5" t="str">
        <x:v>Fiscal Year</x:v>
      </x:c>
      <x:c r="G1669" s="5" t="n">
        <x:v>1</x:v>
      </x:c>
      <x:c r="H1669" s="5" t="n">
        <x:v>1</x:v>
      </x:c>
      <x:c r="I1669" s="5" t="str">
        <x:v>FY2024</x:v>
      </x:c>
      <x:c r="J1669" s="5" t="str">
        <x:v>SOURCE QUOTE; unvalidated / superseded assessments</x:v>
      </x:c>
      <x:c r="L1669" s="31" t="str">
        <x:v>D06, Markdown line 238; http://nas-1.tail55d152.ts.net:4100/static/MEDICAL_NORDICS_FINANCIALS_DOSSIER.html</x:v>
      </x:c>
    </x:row>
    <x:row r="1670" ht="42" customHeight="1">
      <x:c r="A1670" s="5" t="str">
        <x:v>D06</x:v>
      </x:c>
      <x:c r="B1670" s="5" t="str">
        <x:v>D06-T01</x:v>
      </x:c>
      <x:c r="C1670" s="5" t="str">
        <x:v>5. Complete Company Financial Table (135 Facilities Analyzed)</x:v>
      </x:c>
      <x:c r="D1670" s="5" t="n">
        <x:v>238</x:v>
      </x:c>
      <x:c r="E1670" s="5" t="n">
        <x:v>9</x:v>
      </x:c>
      <x:c r="F1670" s="5" t="str">
        <x:v>Status / Ownership / Strategic Service Alignment</x:v>
      </x:c>
      <x:c r="G1670" s="5" t="n">
        <x:v>1</x:v>
      </x:c>
      <x:c r="H1670" s="5" t="n">
        <x:v>1</x:v>
      </x:c>
      <x:c r="I1670" s="5" t="str">
        <x:v>Magle Group; Package D (Small molecule API batch turnaround defense)</x:v>
      </x:c>
      <x:c r="J1670" s="5" t="str">
        <x:v>SOURCE QUOTE; unvalidated / superseded assessments</x:v>
      </x:c>
      <x:c r="L1670" s="31" t="str">
        <x:v>D06, Markdown line 238; http://nas-1.tail55d152.ts.net:4100/static/MEDICAL_NORDICS_FINANCIALS_DOSSIER.html</x:v>
      </x:c>
    </x:row>
    <x:row r="1671" ht="42" customHeight="1">
      <x:c r="A1671" s="5" t="str">
        <x:v>D06</x:v>
      </x:c>
      <x:c r="B1671" s="5" t="str">
        <x:v>D06-T01</x:v>
      </x:c>
      <x:c r="C1671" s="5" t="str">
        <x:v>5. Complete Company Financial Table (135 Facilities Analyzed)</x:v>
      </x:c>
      <x:c r="D1671" s="5" t="n">
        <x:v>239</x:v>
      </x:c>
      <x:c r="E1671" s="5" t="n">
        <x:v>1</x:v>
      </x:c>
      <x:c r="F1671" s="5" t="str">
        <x:v>#</x:v>
      </x:c>
      <x:c r="G1671" s="5" t="n">
        <x:v>1</x:v>
      </x:c>
      <x:c r="H1671" s="5" t="n">
        <x:v>1</x:v>
      </x:c>
      <x:c r="I1671" s="5" t="str">
        <x:v>58</x:v>
      </x:c>
      <x:c r="J1671" s="5" t="str">
        <x:v>SOURCE QUOTE; unvalidated / superseded assessments</x:v>
      </x:c>
      <x:c r="L1671" s="31" t="str">
        <x:v>D06, Markdown line 239; http://nas-1.tail55d152.ts.net:4100/static/MEDICAL_NORDICS_FINANCIALS_DOSSIER.html</x:v>
      </x:c>
    </x:row>
    <x:row r="1672" ht="42" customHeight="1">
      <x:c r="A1672" s="5" t="str">
        <x:v>D06</x:v>
      </x:c>
      <x:c r="B1672" s="5" t="str">
        <x:v>D06-T01</x:v>
      </x:c>
      <x:c r="C1672" s="5" t="str">
        <x:v>5. Complete Company Financial Table (135 Facilities Analyzed)</x:v>
      </x:c>
      <x:c r="D1672" s="5" t="n">
        <x:v>239</x:v>
      </x:c>
      <x:c r="E1672" s="5" t="n">
        <x:v>2</x:v>
      </x:c>
      <x:c r="F1672" s="5" t="str">
        <x:v>Company</x:v>
      </x:c>
      <x:c r="G1672" s="5" t="n">
        <x:v>1</x:v>
      </x:c>
      <x:c r="H1672" s="5" t="n">
        <x:v>1</x:v>
      </x:c>
      <x:c r="I1672" s="5" t="str">
        <x:v>Svar Life Science</x:v>
      </x:c>
      <x:c r="J1672" s="5" t="str">
        <x:v>SOURCE QUOTE; unvalidated / superseded assessments</x:v>
      </x:c>
      <x:c r="L1672" s="31" t="str">
        <x:v>D06, Markdown line 239; http://nas-1.tail55d152.ts.net:4100/static/MEDICAL_NORDICS_FINANCIALS_DOSSIER.html</x:v>
      </x:c>
    </x:row>
    <x:row r="1673" ht="42" customHeight="1">
      <x:c r="A1673" s="5" t="str">
        <x:v>D06</x:v>
      </x:c>
      <x:c r="B1673" s="5" t="str">
        <x:v>D06-T01</x:v>
      </x:c>
      <x:c r="C1673" s="5" t="str">
        <x:v>5. Complete Company Financial Table (135 Facilities Analyzed)</x:v>
      </x:c>
      <x:c r="D1673" s="5" t="n">
        <x:v>239</x:v>
      </x:c>
      <x:c r="E1673" s="5" t="n">
        <x:v>3</x:v>
      </x:c>
      <x:c r="F1673" s="5" t="str">
        <x:v>Location</x:v>
      </x:c>
      <x:c r="G1673" s="5" t="n">
        <x:v>1</x:v>
      </x:c>
      <x:c r="H1673" s="5" t="n">
        <x:v>1</x:v>
      </x:c>
      <x:c r="I1673" s="5" t="str">
        <x:v>Malmö, Sweden</x:v>
      </x:c>
      <x:c r="J1673" s="5" t="str">
        <x:v>SOURCE QUOTE; unvalidated / superseded assessments</x:v>
      </x:c>
      <x:c r="L1673" s="31" t="str">
        <x:v>D06, Markdown line 239; http://nas-1.tail55d152.ts.net:4100/static/MEDICAL_NORDICS_FINANCIALS_DOSSIER.html</x:v>
      </x:c>
    </x:row>
    <x:row r="1674" ht="42" customHeight="1">
      <x:c r="A1674" s="5" t="str">
        <x:v>D06</x:v>
      </x:c>
      <x:c r="B1674" s="5" t="str">
        <x:v>D06-T01</x:v>
      </x:c>
      <x:c r="C1674" s="5" t="str">
        <x:v>5. Complete Company Financial Table (135 Facilities Analyzed)</x:v>
      </x:c>
      <x:c r="D1674" s="5" t="n">
        <x:v>239</x:v>
      </x:c>
      <x:c r="E1674" s="5" t="n">
        <x:v>4</x:v>
      </x:c>
      <x:c r="F1674" s="5" t="str">
        <x:v>Focus Area</x:v>
      </x:c>
      <x:c r="G1674" s="5" t="n">
        <x:v>1</x:v>
      </x:c>
      <x:c r="H1674" s="5" t="n">
        <x:v>1</x:v>
      </x:c>
      <x:c r="I1674" s="5" t="str">
        <x:v>Functional Assays &amp; Wieslab Testing</x:v>
      </x:c>
      <x:c r="J1674" s="5" t="str">
        <x:v>SOURCE QUOTE; unvalidated / superseded assessments</x:v>
      </x:c>
      <x:c r="L1674" s="31" t="str">
        <x:v>D06, Markdown line 239; http://nas-1.tail55d152.ts.net:4100/static/MEDICAL_NORDICS_FINANCIALS_DOSSIER.html</x:v>
      </x:c>
    </x:row>
    <x:row r="1675" ht="42" customHeight="1">
      <x:c r="A1675" s="5" t="str">
        <x:v>D06</x:v>
      </x:c>
      <x:c r="B1675" s="5" t="str">
        <x:v>D06-T01</x:v>
      </x:c>
      <x:c r="C1675" s="5" t="str">
        <x:v>5. Complete Company Financial Table (135 Facilities Analyzed)</x:v>
      </x:c>
      <x:c r="D1675" s="5" t="n">
        <x:v>239</x:v>
      </x:c>
      <x:c r="E1675" s="5" t="n">
        <x:v>5</x:v>
      </x:c>
      <x:c r="F1675" s="5" t="str">
        <x:v>Revenue / Net Sales</x:v>
      </x:c>
      <x:c r="G1675" s="5" t="n">
        <x:v>1</x:v>
      </x:c>
      <x:c r="H1675" s="5" t="n">
        <x:v>1</x:v>
      </x:c>
      <x:c r="I1675" s="5" t="str">
        <x:v>SEK 235.0M est.</x:v>
      </x:c>
      <x:c r="J1675" s="5" t="str">
        <x:v>SOURCE QUOTE; unvalidated / superseded assessments</x:v>
      </x:c>
      <x:c r="L1675" s="31" t="str">
        <x:v>D06, Markdown line 239; http://nas-1.tail55d152.ts.net:4100/static/MEDICAL_NORDICS_FINANCIALS_DOSSIER.html</x:v>
      </x:c>
    </x:row>
    <x:row r="1676" ht="42" customHeight="1">
      <x:c r="A1676" s="5" t="str">
        <x:v>D06</x:v>
      </x:c>
      <x:c r="B1676" s="5" t="str">
        <x:v>D06-T01</x:v>
      </x:c>
      <x:c r="C1676" s="5" t="str">
        <x:v>5. Complete Company Financial Table (135 Facilities Analyzed)</x:v>
      </x:c>
      <x:c r="D1676" s="5" t="n">
        <x:v>239</x:v>
      </x:c>
      <x:c r="E1676" s="5" t="n">
        <x:v>6</x:v>
      </x:c>
      <x:c r="F1676" s="5" t="str">
        <x:v>R&amp;D Spend</x:v>
      </x:c>
      <x:c r="G1676" s="5" t="n">
        <x:v>1</x:v>
      </x:c>
      <x:c r="H1676" s="5" t="n">
        <x:v>1</x:v>
      </x:c>
      <x:c r="I1676" s="5" t="str">
        <x:v>SEK 28.0M</x:v>
      </x:c>
      <x:c r="J1676" s="5" t="str">
        <x:v>SOURCE QUOTE; unvalidated / superseded assessments</x:v>
      </x:c>
      <x:c r="L1676" s="31" t="str">
        <x:v>D06, Markdown line 239; http://nas-1.tail55d152.ts.net:4100/static/MEDICAL_NORDICS_FINANCIALS_DOSSIER.html</x:v>
      </x:c>
    </x:row>
    <x:row r="1677" ht="42" customHeight="1">
      <x:c r="A1677" s="5" t="str">
        <x:v>D06</x:v>
      </x:c>
      <x:c r="B1677" s="5" t="str">
        <x:v>D06-T01</x:v>
      </x:c>
      <x:c r="C1677" s="5" t="str">
        <x:v>5. Complete Company Financial Table (135 Facilities Analyzed)</x:v>
      </x:c>
      <x:c r="D1677" s="5" t="n">
        <x:v>239</x:v>
      </x:c>
      <x:c r="E1677" s="5" t="n">
        <x:v>7</x:v>
      </x:c>
      <x:c r="F1677" s="5" t="str">
        <x:v>Currency</x:v>
      </x:c>
      <x:c r="G1677" s="5" t="n">
        <x:v>1</x:v>
      </x:c>
      <x:c r="H1677" s="5" t="n">
        <x:v>1</x:v>
      </x:c>
      <x:c r="I1677" s="5" t="str">
        <x:v>SEK</x:v>
      </x:c>
      <x:c r="J1677" s="5" t="str">
        <x:v>SOURCE QUOTE; unvalidated / superseded assessments</x:v>
      </x:c>
      <x:c r="L1677" s="31" t="str">
        <x:v>D06, Markdown line 239; http://nas-1.tail55d152.ts.net:4100/static/MEDICAL_NORDICS_FINANCIALS_DOSSIER.html</x:v>
      </x:c>
    </x:row>
    <x:row r="1678" ht="42" customHeight="1">
      <x:c r="A1678" s="5" t="str">
        <x:v>D06</x:v>
      </x:c>
      <x:c r="B1678" s="5" t="str">
        <x:v>D06-T01</x:v>
      </x:c>
      <x:c r="C1678" s="5" t="str">
        <x:v>5. Complete Company Financial Table (135 Facilities Analyzed)</x:v>
      </x:c>
      <x:c r="D1678" s="5" t="n">
        <x:v>239</x:v>
      </x:c>
      <x:c r="E1678" s="5" t="n">
        <x:v>8</x:v>
      </x:c>
      <x:c r="F1678" s="5" t="str">
        <x:v>Fiscal Year</x:v>
      </x:c>
      <x:c r="G1678" s="5" t="n">
        <x:v>1</x:v>
      </x:c>
      <x:c r="H1678" s="5" t="n">
        <x:v>1</x:v>
      </x:c>
      <x:c r="I1678" s="5" t="str">
        <x:v>FY2023/24</x:v>
      </x:c>
      <x:c r="J1678" s="5" t="str">
        <x:v>SOURCE QUOTE; unvalidated / superseded assessments</x:v>
      </x:c>
      <x:c r="L1678" s="31" t="str">
        <x:v>D06, Markdown line 239; http://nas-1.tail55d152.ts.net:4100/static/MEDICAL_NORDICS_FINANCIALS_DOSSIER.html</x:v>
      </x:c>
    </x:row>
    <x:row r="1679" ht="42" customHeight="1">
      <x:c r="A1679" s="5" t="str">
        <x:v>D06</x:v>
      </x:c>
      <x:c r="B1679" s="5" t="str">
        <x:v>D06-T01</x:v>
      </x:c>
      <x:c r="C1679" s="5" t="str">
        <x:v>5. Complete Company Financial Table (135 Facilities Analyzed)</x:v>
      </x:c>
      <x:c r="D1679" s="5" t="n">
        <x:v>239</x:v>
      </x:c>
      <x:c r="E1679" s="5" t="n">
        <x:v>9</x:v>
      </x:c>
      <x:c r="F1679" s="5" t="str">
        <x:v>Status / Ownership / Strategic Service Alignment</x:v>
      </x:c>
      <x:c r="G1679" s="5" t="n">
        <x:v>1</x:v>
      </x:c>
      <x:c r="H1679" s="5" t="n">
        <x:v>1</x:v>
      </x:c>
      <x:c r="I1679" s="5" t="str">
        <x:v>Private diagnostics; Package C (Custom diagnostic assay supply chain S&amp;OP)</x:v>
      </x:c>
      <x:c r="J1679" s="5" t="str">
        <x:v>SOURCE QUOTE; unvalidated / superseded assessments</x:v>
      </x:c>
      <x:c r="L1679" s="31" t="str">
        <x:v>D06, Markdown line 239; http://nas-1.tail55d152.ts.net:4100/static/MEDICAL_NORDICS_FINANCIALS_DOSSIER.html</x:v>
      </x:c>
    </x:row>
    <x:row r="1680" ht="42" customHeight="1">
      <x:c r="A1680" s="5" t="str">
        <x:v>D06</x:v>
      </x:c>
      <x:c r="B1680" s="5" t="str">
        <x:v>D06-T01</x:v>
      </x:c>
      <x:c r="C1680" s="5" t="str">
        <x:v>5. Complete Company Financial Table (135 Facilities Analyzed)</x:v>
      </x:c>
      <x:c r="D1680" s="5" t="n">
        <x:v>240</x:v>
      </x:c>
      <x:c r="E1680" s="5" t="n">
        <x:v>1</x:v>
      </x:c>
      <x:c r="F1680" s="5" t="str">
        <x:v>#</x:v>
      </x:c>
      <x:c r="G1680" s="5" t="n">
        <x:v>1</x:v>
      </x:c>
      <x:c r="H1680" s="5" t="n">
        <x:v>1</x:v>
      </x:c>
      <x:c r="I1680" s="5" t="str">
        <x:v>59</x:v>
      </x:c>
      <x:c r="J1680" s="5" t="str">
        <x:v>SOURCE QUOTE; unvalidated / superseded assessments</x:v>
      </x:c>
      <x:c r="L1680" s="31" t="str">
        <x:v>D06, Markdown line 240; http://nas-1.tail55d152.ts.net:4100/static/MEDICAL_NORDICS_FINANCIALS_DOSSIER.html</x:v>
      </x:c>
    </x:row>
    <x:row r="1681" ht="42" customHeight="1">
      <x:c r="A1681" s="5" t="str">
        <x:v>D06</x:v>
      </x:c>
      <x:c r="B1681" s="5" t="str">
        <x:v>D06-T01</x:v>
      </x:c>
      <x:c r="C1681" s="5" t="str">
        <x:v>5. Complete Company Financial Table (135 Facilities Analyzed)</x:v>
      </x:c>
      <x:c r="D1681" s="5" t="n">
        <x:v>240</x:v>
      </x:c>
      <x:c r="E1681" s="5" t="n">
        <x:v>2</x:v>
      </x:c>
      <x:c r="F1681" s="5" t="str">
        <x:v>Company</x:v>
      </x:c>
      <x:c r="G1681" s="5" t="n">
        <x:v>1</x:v>
      </x:c>
      <x:c r="H1681" s="5" t="n">
        <x:v>1</x:v>
      </x:c>
      <x:c r="I1681" s="5" t="str">
        <x:v>Alzinova</x:v>
      </x:c>
      <x:c r="J1681" s="5" t="str">
        <x:v>SOURCE QUOTE; unvalidated / superseded assessments</x:v>
      </x:c>
      <x:c r="L1681" s="31" t="str">
        <x:v>D06, Markdown line 240; http://nas-1.tail55d152.ts.net:4100/static/MEDICAL_NORDICS_FINANCIALS_DOSSIER.html</x:v>
      </x:c>
    </x:row>
    <x:row r="1682" ht="42" customHeight="1">
      <x:c r="A1682" s="5" t="str">
        <x:v>D06</x:v>
      </x:c>
      <x:c r="B1682" s="5" t="str">
        <x:v>D06-T01</x:v>
      </x:c>
      <x:c r="C1682" s="5" t="str">
        <x:v>5. Complete Company Financial Table (135 Facilities Analyzed)</x:v>
      </x:c>
      <x:c r="D1682" s="5" t="n">
        <x:v>240</x:v>
      </x:c>
      <x:c r="E1682" s="5" t="n">
        <x:v>3</x:v>
      </x:c>
      <x:c r="F1682" s="5" t="str">
        <x:v>Location</x:v>
      </x:c>
      <x:c r="G1682" s="5" t="n">
        <x:v>1</x:v>
      </x:c>
      <x:c r="H1682" s="5" t="n">
        <x:v>1</x:v>
      </x:c>
      <x:c r="I1682" s="5" t="str">
        <x:v>Mölndal, Sweden</x:v>
      </x:c>
      <x:c r="J1682" s="5" t="str">
        <x:v>SOURCE QUOTE; unvalidated / superseded assessments</x:v>
      </x:c>
      <x:c r="L1682" s="31" t="str">
        <x:v>D06, Markdown line 240; http://nas-1.tail55d152.ts.net:4100/static/MEDICAL_NORDICS_FINANCIALS_DOSSIER.html</x:v>
      </x:c>
    </x:row>
    <x:row r="1683" ht="42" customHeight="1">
      <x:c r="A1683" s="5" t="str">
        <x:v>D06</x:v>
      </x:c>
      <x:c r="B1683" s="5" t="str">
        <x:v>D06-T01</x:v>
      </x:c>
      <x:c r="C1683" s="5" t="str">
        <x:v>5. Complete Company Financial Table (135 Facilities Analyzed)</x:v>
      </x:c>
      <x:c r="D1683" s="5" t="n">
        <x:v>240</x:v>
      </x:c>
      <x:c r="E1683" s="5" t="n">
        <x:v>4</x:v>
      </x:c>
      <x:c r="F1683" s="5" t="str">
        <x:v>Focus Area</x:v>
      </x:c>
      <x:c r="G1683" s="5" t="n">
        <x:v>1</x:v>
      </x:c>
      <x:c r="H1683" s="5" t="n">
        <x:v>1</x:v>
      </x:c>
      <x:c r="I1683" s="5" t="str">
        <x:v>ALZ-101 Alzheimer's Vaccine</x:v>
      </x:c>
      <x:c r="J1683" s="5" t="str">
        <x:v>SOURCE QUOTE; unvalidated / superseded assessments</x:v>
      </x:c>
      <x:c r="L1683" s="31" t="str">
        <x:v>D06, Markdown line 240; http://nas-1.tail55d152.ts.net:4100/static/MEDICAL_NORDICS_FINANCIALS_DOSSIER.html</x:v>
      </x:c>
    </x:row>
    <x:row r="1684" ht="42" customHeight="1">
      <x:c r="A1684" s="5" t="str">
        <x:v>D06</x:v>
      </x:c>
      <x:c r="B1684" s="5" t="str">
        <x:v>D06-T01</x:v>
      </x:c>
      <x:c r="C1684" s="5" t="str">
        <x:v>5. Complete Company Financial Table (135 Facilities Analyzed)</x:v>
      </x:c>
      <x:c r="D1684" s="5" t="n">
        <x:v>240</x:v>
      </x:c>
      <x:c r="E1684" s="5" t="n">
        <x:v>5</x:v>
      </x:c>
      <x:c r="F1684" s="5" t="str">
        <x:v>Revenue / Net Sales</x:v>
      </x:c>
      <x:c r="G1684" s="5" t="n">
        <x:v>1</x:v>
      </x:c>
      <x:c r="H1684" s="5" t="n">
        <x:v>1</x:v>
      </x:c>
      <x:c r="I1684" s="5" t="str">
        <x:v>SEK 0.3M</x:v>
      </x:c>
      <x:c r="J1684" s="5" t="str">
        <x:v>SOURCE QUOTE; unvalidated / superseded assessments</x:v>
      </x:c>
      <x:c r="L1684" s="31" t="str">
        <x:v>D06, Markdown line 240; http://nas-1.tail55d152.ts.net:4100/static/MEDICAL_NORDICS_FINANCIALS_DOSSIER.html</x:v>
      </x:c>
    </x:row>
    <x:row r="1685" ht="42" customHeight="1">
      <x:c r="A1685" s="5" t="str">
        <x:v>D06</x:v>
      </x:c>
      <x:c r="B1685" s="5" t="str">
        <x:v>D06-T01</x:v>
      </x:c>
      <x:c r="C1685" s="5" t="str">
        <x:v>5. Complete Company Financial Table (135 Facilities Analyzed)</x:v>
      </x:c>
      <x:c r="D1685" s="5" t="n">
        <x:v>240</x:v>
      </x:c>
      <x:c r="E1685" s="5" t="n">
        <x:v>6</x:v>
      </x:c>
      <x:c r="F1685" s="5" t="str">
        <x:v>R&amp;D Spend</x:v>
      </x:c>
      <x:c r="G1685" s="5" t="n">
        <x:v>1</x:v>
      </x:c>
      <x:c r="H1685" s="5" t="n">
        <x:v>1</x:v>
      </x:c>
      <x:c r="I1685" s="5" t="str">
        <x:v>SEK 36.4M</x:v>
      </x:c>
      <x:c r="J1685" s="5" t="str">
        <x:v>SOURCE QUOTE; unvalidated / superseded assessments</x:v>
      </x:c>
      <x:c r="L1685" s="31" t="str">
        <x:v>D06, Markdown line 240; http://nas-1.tail55d152.ts.net:4100/static/MEDICAL_NORDICS_FINANCIALS_DOSSIER.html</x:v>
      </x:c>
    </x:row>
    <x:row r="1686" ht="42" customHeight="1">
      <x:c r="A1686" s="5" t="str">
        <x:v>D06</x:v>
      </x:c>
      <x:c r="B1686" s="5" t="str">
        <x:v>D06-T01</x:v>
      </x:c>
      <x:c r="C1686" s="5" t="str">
        <x:v>5. Complete Company Financial Table (135 Facilities Analyzed)</x:v>
      </x:c>
      <x:c r="D1686" s="5" t="n">
        <x:v>240</x:v>
      </x:c>
      <x:c r="E1686" s="5" t="n">
        <x:v>7</x:v>
      </x:c>
      <x:c r="F1686" s="5" t="str">
        <x:v>Currency</x:v>
      </x:c>
      <x:c r="G1686" s="5" t="n">
        <x:v>1</x:v>
      </x:c>
      <x:c r="H1686" s="5" t="n">
        <x:v>1</x:v>
      </x:c>
      <x:c r="I1686" s="5" t="str">
        <x:v>SEK</x:v>
      </x:c>
      <x:c r="J1686" s="5" t="str">
        <x:v>SOURCE QUOTE; unvalidated / superseded assessments</x:v>
      </x:c>
      <x:c r="L1686" s="31" t="str">
        <x:v>D06, Markdown line 240; http://nas-1.tail55d152.ts.net:4100/static/MEDICAL_NORDICS_FINANCIALS_DOSSIER.html</x:v>
      </x:c>
    </x:row>
    <x:row r="1687" ht="42" customHeight="1">
      <x:c r="A1687" s="5" t="str">
        <x:v>D06</x:v>
      </x:c>
      <x:c r="B1687" s="5" t="str">
        <x:v>D06-T01</x:v>
      </x:c>
      <x:c r="C1687" s="5" t="str">
        <x:v>5. Complete Company Financial Table (135 Facilities Analyzed)</x:v>
      </x:c>
      <x:c r="D1687" s="5" t="n">
        <x:v>240</x:v>
      </x:c>
      <x:c r="E1687" s="5" t="n">
        <x:v>8</x:v>
      </x:c>
      <x:c r="F1687" s="5" t="str">
        <x:v>Fiscal Year</x:v>
      </x:c>
      <x:c r="G1687" s="5" t="n">
        <x:v>1</x:v>
      </x:c>
      <x:c r="H1687" s="5" t="n">
        <x:v>1</x:v>
      </x:c>
      <x:c r="I1687" s="5" t="str">
        <x:v>FY2023</x:v>
      </x:c>
      <x:c r="J1687" s="5" t="str">
        <x:v>SOURCE QUOTE; unvalidated / superseded assessments</x:v>
      </x:c>
      <x:c r="L1687" s="31" t="str">
        <x:v>D06, Markdown line 240; http://nas-1.tail55d152.ts.net:4100/static/MEDICAL_NORDICS_FINANCIALS_DOSSIER.html</x:v>
      </x:c>
    </x:row>
    <x:row r="1688" ht="42" customHeight="1">
      <x:c r="A1688" s="5" t="str">
        <x:v>D06</x:v>
      </x:c>
      <x:c r="B1688" s="5" t="str">
        <x:v>D06-T01</x:v>
      </x:c>
      <x:c r="C1688" s="5" t="str">
        <x:v>5. Complete Company Financial Table (135 Facilities Analyzed)</x:v>
      </x:c>
      <x:c r="D1688" s="5" t="n">
        <x:v>240</x:v>
      </x:c>
      <x:c r="E1688" s="5" t="n">
        <x:v>9</x:v>
      </x:c>
      <x:c r="F1688" s="5" t="str">
        <x:v>Status / Ownership / Strategic Service Alignment</x:v>
      </x:c>
      <x:c r="G1688" s="5" t="n">
        <x:v>1</x:v>
      </x:c>
      <x:c r="H1688" s="5" t="n">
        <x:v>1</x:v>
      </x:c>
      <x:c r="I1688" s="5" t="str">
        <x:v>Listed (First North: ALZ); Package B (Phase II trial protocol enrollment analytics)</x:v>
      </x:c>
      <x:c r="J1688" s="5" t="str">
        <x:v>SOURCE QUOTE; unvalidated / superseded assessments</x:v>
      </x:c>
      <x:c r="L1688" s="31" t="str">
        <x:v>D06, Markdown line 240; http://nas-1.tail55d152.ts.net:4100/static/MEDICAL_NORDICS_FINANCIALS_DOSSIER.html</x:v>
      </x:c>
    </x:row>
    <x:row r="1689" ht="42" customHeight="1">
      <x:c r="A1689" s="5" t="str">
        <x:v>D06</x:v>
      </x:c>
      <x:c r="B1689" s="5" t="str">
        <x:v>D06-T01</x:v>
      </x:c>
      <x:c r="C1689" s="5" t="str">
        <x:v>5. Complete Company Financial Table (135 Facilities Analyzed)</x:v>
      </x:c>
      <x:c r="D1689" s="5" t="n">
        <x:v>241</x:v>
      </x:c>
      <x:c r="E1689" s="5" t="n">
        <x:v>1</x:v>
      </x:c>
      <x:c r="F1689" s="5" t="str">
        <x:v>#</x:v>
      </x:c>
      <x:c r="G1689" s="5" t="n">
        <x:v>1</x:v>
      </x:c>
      <x:c r="H1689" s="5" t="n">
        <x:v>1</x:v>
      </x:c>
      <x:c r="I1689" s="5" t="str">
        <x:v>60</x:v>
      </x:c>
      <x:c r="J1689" s="5" t="str">
        <x:v>SOURCE QUOTE; unvalidated / superseded assessments</x:v>
      </x:c>
      <x:c r="L1689" s="31" t="str">
        <x:v>D06, Markdown line 241; http://nas-1.tail55d152.ts.net:4100/static/MEDICAL_NORDICS_FINANCIALS_DOSSIER.html</x:v>
      </x:c>
    </x:row>
    <x:row r="1690" ht="42" customHeight="1">
      <x:c r="A1690" s="5" t="str">
        <x:v>D06</x:v>
      </x:c>
      <x:c r="B1690" s="5" t="str">
        <x:v>D06-T01</x:v>
      </x:c>
      <x:c r="C1690" s="5" t="str">
        <x:v>5. Complete Company Financial Table (135 Facilities Analyzed)</x:v>
      </x:c>
      <x:c r="D1690" s="5" t="n">
        <x:v>241</x:v>
      </x:c>
      <x:c r="E1690" s="5" t="n">
        <x:v>2</x:v>
      </x:c>
      <x:c r="F1690" s="5" t="str">
        <x:v>Company</x:v>
      </x:c>
      <x:c r="G1690" s="5" t="n">
        <x:v>1</x:v>
      </x:c>
      <x:c r="H1690" s="5" t="n">
        <x:v>1</x:v>
      </x:c>
      <x:c r="I1690" s="5" t="str">
        <x:v>Amferia</x:v>
      </x:c>
      <x:c r="J1690" s="5" t="str">
        <x:v>SOURCE QUOTE; unvalidated / superseded assessments</x:v>
      </x:c>
      <x:c r="L1690" s="31" t="str">
        <x:v>D06, Markdown line 241; http://nas-1.tail55d152.ts.net:4100/static/MEDICAL_NORDICS_FINANCIALS_DOSSIER.html</x:v>
      </x:c>
    </x:row>
    <x:row r="1691" ht="42" customHeight="1">
      <x:c r="A1691" s="5" t="str">
        <x:v>D06</x:v>
      </x:c>
      <x:c r="B1691" s="5" t="str">
        <x:v>D06-T01</x:v>
      </x:c>
      <x:c r="C1691" s="5" t="str">
        <x:v>5. Complete Company Financial Table (135 Facilities Analyzed)</x:v>
      </x:c>
      <x:c r="D1691" s="5" t="n">
        <x:v>241</x:v>
      </x:c>
      <x:c r="E1691" s="5" t="n">
        <x:v>3</x:v>
      </x:c>
      <x:c r="F1691" s="5" t="str">
        <x:v>Location</x:v>
      </x:c>
      <x:c r="G1691" s="5" t="n">
        <x:v>1</x:v>
      </x:c>
      <x:c r="H1691" s="5" t="n">
        <x:v>1</x:v>
      </x:c>
      <x:c r="I1691" s="5" t="str">
        <x:v>Mölndal, Sweden</x:v>
      </x:c>
      <x:c r="J1691" s="5" t="str">
        <x:v>SOURCE QUOTE; unvalidated / superseded assessments</x:v>
      </x:c>
      <x:c r="L1691" s="31" t="str">
        <x:v>D06, Markdown line 241; http://nas-1.tail55d152.ts.net:4100/static/MEDICAL_NORDICS_FINANCIALS_DOSSIER.html</x:v>
      </x:c>
    </x:row>
    <x:row r="1692" ht="42" customHeight="1">
      <x:c r="A1692" s="5" t="str">
        <x:v>D06</x:v>
      </x:c>
      <x:c r="B1692" s="5" t="str">
        <x:v>D06-T01</x:v>
      </x:c>
      <x:c r="C1692" s="5" t="str">
        <x:v>5. Complete Company Financial Table (135 Facilities Analyzed)</x:v>
      </x:c>
      <x:c r="D1692" s="5" t="n">
        <x:v>241</x:v>
      </x:c>
      <x:c r="E1692" s="5" t="n">
        <x:v>4</x:v>
      </x:c>
      <x:c r="F1692" s="5" t="str">
        <x:v>Focus Area</x:v>
      </x:c>
      <x:c r="G1692" s="5" t="n">
        <x:v>1</x:v>
      </x:c>
      <x:c r="H1692" s="5" t="n">
        <x:v>1</x:v>
      </x:c>
      <x:c r="I1692" s="5" t="str">
        <x:v>Antimicrobial Peptide Wound Hydrogels</x:v>
      </x:c>
      <x:c r="J1692" s="5" t="str">
        <x:v>SOURCE QUOTE; unvalidated / superseded assessments</x:v>
      </x:c>
      <x:c r="L1692" s="31" t="str">
        <x:v>D06, Markdown line 241; http://nas-1.tail55d152.ts.net:4100/static/MEDICAL_NORDICS_FINANCIALS_DOSSIER.html</x:v>
      </x:c>
    </x:row>
    <x:row r="1693" ht="42" customHeight="1">
      <x:c r="A1693" s="5" t="str">
        <x:v>D06</x:v>
      </x:c>
      <x:c r="B1693" s="5" t="str">
        <x:v>D06-T01</x:v>
      </x:c>
      <x:c r="C1693" s="5" t="str">
        <x:v>5. Complete Company Financial Table (135 Facilities Analyzed)</x:v>
      </x:c>
      <x:c r="D1693" s="5" t="n">
        <x:v>241</x:v>
      </x:c>
      <x:c r="E1693" s="5" t="n">
        <x:v>5</x:v>
      </x:c>
      <x:c r="F1693" s="5" t="str">
        <x:v>Revenue / Net Sales</x:v>
      </x:c>
      <x:c r="G1693" s="5" t="n">
        <x:v>1</x:v>
      </x:c>
      <x:c r="H1693" s="5" t="n">
        <x:v>1</x:v>
      </x:c>
      <x:c r="I1693" s="5" t="str">
        <x:v>SEK 3.5M est.</x:v>
      </x:c>
      <x:c r="J1693" s="5" t="str">
        <x:v>SOURCE QUOTE; unvalidated / superseded assessments</x:v>
      </x:c>
      <x:c r="L1693" s="31" t="str">
        <x:v>D06, Markdown line 241; http://nas-1.tail55d152.ts.net:4100/static/MEDICAL_NORDICS_FINANCIALS_DOSSIER.html</x:v>
      </x:c>
    </x:row>
    <x:row r="1694" ht="42" customHeight="1">
      <x:c r="A1694" s="5" t="str">
        <x:v>D06</x:v>
      </x:c>
      <x:c r="B1694" s="5" t="str">
        <x:v>D06-T01</x:v>
      </x:c>
      <x:c r="C1694" s="5" t="str">
        <x:v>5. Complete Company Financial Table (135 Facilities Analyzed)</x:v>
      </x:c>
      <x:c r="D1694" s="5" t="n">
        <x:v>241</x:v>
      </x:c>
      <x:c r="E1694" s="5" t="n">
        <x:v>6</x:v>
      </x:c>
      <x:c r="F1694" s="5" t="str">
        <x:v>R&amp;D Spend</x:v>
      </x:c>
      <x:c r="G1694" s="5" t="n">
        <x:v>1</x:v>
      </x:c>
      <x:c r="H1694" s="5" t="n">
        <x:v>1</x:v>
      </x:c>
      <x:c r="I1694" s="5" t="str">
        <x:v>SEK 15.0M</x:v>
      </x:c>
      <x:c r="J1694" s="5" t="str">
        <x:v>SOURCE QUOTE; unvalidated / superseded assessments</x:v>
      </x:c>
      <x:c r="L1694" s="31" t="str">
        <x:v>D06, Markdown line 241; http://nas-1.tail55d152.ts.net:4100/static/MEDICAL_NORDICS_FINANCIALS_DOSSIER.html</x:v>
      </x:c>
    </x:row>
    <x:row r="1695" ht="42" customHeight="1">
      <x:c r="A1695" s="5" t="str">
        <x:v>D06</x:v>
      </x:c>
      <x:c r="B1695" s="5" t="str">
        <x:v>D06-T01</x:v>
      </x:c>
      <x:c r="C1695" s="5" t="str">
        <x:v>5. Complete Company Financial Table (135 Facilities Analyzed)</x:v>
      </x:c>
      <x:c r="D1695" s="5" t="n">
        <x:v>241</x:v>
      </x:c>
      <x:c r="E1695" s="5" t="n">
        <x:v>7</x:v>
      </x:c>
      <x:c r="F1695" s="5" t="str">
        <x:v>Currency</x:v>
      </x:c>
      <x:c r="G1695" s="5" t="n">
        <x:v>1</x:v>
      </x:c>
      <x:c r="H1695" s="5" t="n">
        <x:v>1</x:v>
      </x:c>
      <x:c r="I1695" s="5" t="str">
        <x:v>SEK</x:v>
      </x:c>
      <x:c r="J1695" s="5" t="str">
        <x:v>SOURCE QUOTE; unvalidated / superseded assessments</x:v>
      </x:c>
      <x:c r="L1695" s="31" t="str">
        <x:v>D06, Markdown line 241; http://nas-1.tail55d152.ts.net:4100/static/MEDICAL_NORDICS_FINANCIALS_DOSSIER.html</x:v>
      </x:c>
    </x:row>
    <x:row r="1696" ht="42" customHeight="1">
      <x:c r="A1696" s="5" t="str">
        <x:v>D06</x:v>
      </x:c>
      <x:c r="B1696" s="5" t="str">
        <x:v>D06-T01</x:v>
      </x:c>
      <x:c r="C1696" s="5" t="str">
        <x:v>5. Complete Company Financial Table (135 Facilities Analyzed)</x:v>
      </x:c>
      <x:c r="D1696" s="5" t="n">
        <x:v>241</x:v>
      </x:c>
      <x:c r="E1696" s="5" t="n">
        <x:v>8</x:v>
      </x:c>
      <x:c r="F1696" s="5" t="str">
        <x:v>Fiscal Year</x:v>
      </x:c>
      <x:c r="G1696" s="5" t="n">
        <x:v>1</x:v>
      </x:c>
      <x:c r="H1696" s="5" t="n">
        <x:v>1</x:v>
      </x:c>
      <x:c r="I1696" s="5" t="str">
        <x:v>FY2023/24</x:v>
      </x:c>
      <x:c r="J1696" s="5" t="str">
        <x:v>SOURCE QUOTE; unvalidated / superseded assessments</x:v>
      </x:c>
      <x:c r="L1696" s="31" t="str">
        <x:v>D06, Markdown line 241; http://nas-1.tail55d152.ts.net:4100/static/MEDICAL_NORDICS_FINANCIALS_DOSSIER.html</x:v>
      </x:c>
    </x:row>
    <x:row r="1697" ht="42" customHeight="1">
      <x:c r="A1697" s="5" t="str">
        <x:v>D06</x:v>
      </x:c>
      <x:c r="B1697" s="5" t="str">
        <x:v>D06-T01</x:v>
      </x:c>
      <x:c r="C1697" s="5" t="str">
        <x:v>5. Complete Company Financial Table (135 Facilities Analyzed)</x:v>
      </x:c>
      <x:c r="D1697" s="5" t="n">
        <x:v>241</x:v>
      </x:c>
      <x:c r="E1697" s="5" t="n">
        <x:v>9</x:v>
      </x:c>
      <x:c r="F1697" s="5" t="str">
        <x:v>Status / Ownership / Strategic Service Alignment</x:v>
      </x:c>
      <x:c r="G1697" s="5" t="n">
        <x:v>1</x:v>
      </x:c>
      <x:c r="H1697" s="5" t="n">
        <x:v>1</x:v>
      </x:c>
      <x:c r="I1697" s="5" t="str">
        <x:v>Private Chalmers spinout; Package A (Hospital surgical wound infection reduction proof)</x:v>
      </x:c>
      <x:c r="J1697" s="5" t="str">
        <x:v>SOURCE QUOTE; unvalidated / superseded assessments</x:v>
      </x:c>
      <x:c r="L1697" s="31" t="str">
        <x:v>D06, Markdown line 241; http://nas-1.tail55d152.ts.net:4100/static/MEDICAL_NORDICS_FINANCIALS_DOSSIER.html</x:v>
      </x:c>
    </x:row>
    <x:row r="1698" ht="42" customHeight="1">
      <x:c r="A1698" s="5" t="str">
        <x:v>D06</x:v>
      </x:c>
      <x:c r="B1698" s="5" t="str">
        <x:v>D06-T01</x:v>
      </x:c>
      <x:c r="C1698" s="5" t="str">
        <x:v>5. Complete Company Financial Table (135 Facilities Analyzed)</x:v>
      </x:c>
      <x:c r="D1698" s="5" t="n">
        <x:v>242</x:v>
      </x:c>
      <x:c r="E1698" s="5" t="n">
        <x:v>1</x:v>
      </x:c>
      <x:c r="F1698" s="5" t="str">
        <x:v>#</x:v>
      </x:c>
      <x:c r="G1698" s="5" t="n">
        <x:v>1</x:v>
      </x:c>
      <x:c r="H1698" s="5" t="n">
        <x:v>1</x:v>
      </x:c>
      <x:c r="I1698" s="5" t="str">
        <x:v>61</x:v>
      </x:c>
      <x:c r="J1698" s="5" t="str">
        <x:v>SOURCE QUOTE; unvalidated / superseded assessments</x:v>
      </x:c>
      <x:c r="L1698" s="31" t="str">
        <x:v>D06, Markdown line 242; http://nas-1.tail55d152.ts.net:4100/static/MEDICAL_NORDICS_FINANCIALS_DOSSIER.html</x:v>
      </x:c>
    </x:row>
    <x:row r="1699" ht="42" customHeight="1">
      <x:c r="A1699" s="5" t="str">
        <x:v>D06</x:v>
      </x:c>
      <x:c r="B1699" s="5" t="str">
        <x:v>D06-T01</x:v>
      </x:c>
      <x:c r="C1699" s="5" t="str">
        <x:v>5. Complete Company Financial Table (135 Facilities Analyzed)</x:v>
      </x:c>
      <x:c r="D1699" s="5" t="n">
        <x:v>242</x:v>
      </x:c>
      <x:c r="E1699" s="5" t="n">
        <x:v>2</x:v>
      </x:c>
      <x:c r="F1699" s="5" t="str">
        <x:v>Company</x:v>
      </x:c>
      <x:c r="G1699" s="5" t="n">
        <x:v>1</x:v>
      </x:c>
      <x:c r="H1699" s="5" t="n">
        <x:v>1</x:v>
      </x:c>
      <x:c r="I1699" s="5" t="str">
        <x:v>Cereno Scientific</x:v>
      </x:c>
      <x:c r="J1699" s="5" t="str">
        <x:v>SOURCE QUOTE; unvalidated / superseded assessments</x:v>
      </x:c>
      <x:c r="L1699" s="31" t="str">
        <x:v>D06, Markdown line 242; http://nas-1.tail55d152.ts.net:4100/static/MEDICAL_NORDICS_FINANCIALS_DOSSIER.html</x:v>
      </x:c>
    </x:row>
    <x:row r="1700" ht="42" customHeight="1">
      <x:c r="A1700" s="5" t="str">
        <x:v>D06</x:v>
      </x:c>
      <x:c r="B1700" s="5" t="str">
        <x:v>D06-T01</x:v>
      </x:c>
      <x:c r="C1700" s="5" t="str">
        <x:v>5. Complete Company Financial Table (135 Facilities Analyzed)</x:v>
      </x:c>
      <x:c r="D1700" s="5" t="n">
        <x:v>242</x:v>
      </x:c>
      <x:c r="E1700" s="5" t="n">
        <x:v>3</x:v>
      </x:c>
      <x:c r="F1700" s="5" t="str">
        <x:v>Location</x:v>
      </x:c>
      <x:c r="G1700" s="5" t="n">
        <x:v>1</x:v>
      </x:c>
      <x:c r="H1700" s="5" t="n">
        <x:v>1</x:v>
      </x:c>
      <x:c r="I1700" s="5" t="str">
        <x:v>Mölndal, Sweden</x:v>
      </x:c>
      <x:c r="J1700" s="5" t="str">
        <x:v>SOURCE QUOTE; unvalidated / superseded assessments</x:v>
      </x:c>
      <x:c r="L1700" s="31" t="str">
        <x:v>D06, Markdown line 242; http://nas-1.tail55d152.ts.net:4100/static/MEDICAL_NORDICS_FINANCIALS_DOSSIER.html</x:v>
      </x:c>
    </x:row>
    <x:row r="1701" ht="42" customHeight="1">
      <x:c r="A1701" s="5" t="str">
        <x:v>D06</x:v>
      </x:c>
      <x:c r="B1701" s="5" t="str">
        <x:v>D06-T01</x:v>
      </x:c>
      <x:c r="C1701" s="5" t="str">
        <x:v>5. Complete Company Financial Table (135 Facilities Analyzed)</x:v>
      </x:c>
      <x:c r="D1701" s="5" t="n">
        <x:v>242</x:v>
      </x:c>
      <x:c r="E1701" s="5" t="n">
        <x:v>4</x:v>
      </x:c>
      <x:c r="F1701" s="5" t="str">
        <x:v>Focus Area</x:v>
      </x:c>
      <x:c r="G1701" s="5" t="n">
        <x:v>1</x:v>
      </x:c>
      <x:c r="H1701" s="5" t="n">
        <x:v>1</x:v>
      </x:c>
      <x:c r="I1701" s="5" t="str">
        <x:v>Epigenetic Small Molecules for PAH</x:v>
      </x:c>
      <x:c r="J1701" s="5" t="str">
        <x:v>SOURCE QUOTE; unvalidated / superseded assessments</x:v>
      </x:c>
      <x:c r="L1701" s="31" t="str">
        <x:v>D06, Markdown line 242; http://nas-1.tail55d152.ts.net:4100/static/MEDICAL_NORDICS_FINANCIALS_DOSSIER.html</x:v>
      </x:c>
    </x:row>
    <x:row r="1702" ht="42" customHeight="1">
      <x:c r="A1702" s="5" t="str">
        <x:v>D06</x:v>
      </x:c>
      <x:c r="B1702" s="5" t="str">
        <x:v>D06-T01</x:v>
      </x:c>
      <x:c r="C1702" s="5" t="str">
        <x:v>5. Complete Company Financial Table (135 Facilities Analyzed)</x:v>
      </x:c>
      <x:c r="D1702" s="5" t="n">
        <x:v>242</x:v>
      </x:c>
      <x:c r="E1702" s="5" t="n">
        <x:v>5</x:v>
      </x:c>
      <x:c r="F1702" s="5" t="str">
        <x:v>Revenue / Net Sales</x:v>
      </x:c>
      <x:c r="G1702" s="5" t="n">
        <x:v>1</x:v>
      </x:c>
      <x:c r="H1702" s="5" t="n">
        <x:v>1</x:v>
      </x:c>
      <x:c r="I1702" s="5" t="str">
        <x:v>SEK 0M (Clinical stage)</x:v>
      </x:c>
      <x:c r="J1702" s="5" t="str">
        <x:v>SOURCE QUOTE; unvalidated / superseded assessments</x:v>
      </x:c>
      <x:c r="L1702" s="31" t="str">
        <x:v>D06, Markdown line 242; http://nas-1.tail55d152.ts.net:4100/static/MEDICAL_NORDICS_FINANCIALS_DOSSIER.html</x:v>
      </x:c>
    </x:row>
    <x:row r="1703" ht="42" customHeight="1">
      <x:c r="A1703" s="5" t="str">
        <x:v>D06</x:v>
      </x:c>
      <x:c r="B1703" s="5" t="str">
        <x:v>D06-T01</x:v>
      </x:c>
      <x:c r="C1703" s="5" t="str">
        <x:v>5. Complete Company Financial Table (135 Facilities Analyzed)</x:v>
      </x:c>
      <x:c r="D1703" s="5" t="n">
        <x:v>242</x:v>
      </x:c>
      <x:c r="E1703" s="5" t="n">
        <x:v>6</x:v>
      </x:c>
      <x:c r="F1703" s="5" t="str">
        <x:v>R&amp;D Spend</x:v>
      </x:c>
      <x:c r="G1703" s="5" t="n">
        <x:v>1</x:v>
      </x:c>
      <x:c r="H1703" s="5" t="n">
        <x:v>1</x:v>
      </x:c>
      <x:c r="I1703" s="5" t="str">
        <x:v>SEK 78.4M</x:v>
      </x:c>
      <x:c r="J1703" s="5" t="str">
        <x:v>SOURCE QUOTE; unvalidated / superseded assessments</x:v>
      </x:c>
      <x:c r="L1703" s="31" t="str">
        <x:v>D06, Markdown line 242; http://nas-1.tail55d152.ts.net:4100/static/MEDICAL_NORDICS_FINANCIALS_DOSSIER.html</x:v>
      </x:c>
    </x:row>
    <x:row r="1704" ht="42" customHeight="1">
      <x:c r="A1704" s="5" t="str">
        <x:v>D06</x:v>
      </x:c>
      <x:c r="B1704" s="5" t="str">
        <x:v>D06-T01</x:v>
      </x:c>
      <x:c r="C1704" s="5" t="str">
        <x:v>5. Complete Company Financial Table (135 Facilities Analyzed)</x:v>
      </x:c>
      <x:c r="D1704" s="5" t="n">
        <x:v>242</x:v>
      </x:c>
      <x:c r="E1704" s="5" t="n">
        <x:v>7</x:v>
      </x:c>
      <x:c r="F1704" s="5" t="str">
        <x:v>Currency</x:v>
      </x:c>
      <x:c r="G1704" s="5" t="n">
        <x:v>1</x:v>
      </x:c>
      <x:c r="H1704" s="5" t="n">
        <x:v>1</x:v>
      </x:c>
      <x:c r="I1704" s="5" t="str">
        <x:v>SEK</x:v>
      </x:c>
      <x:c r="J1704" s="5" t="str">
        <x:v>SOURCE QUOTE; unvalidated / superseded assessments</x:v>
      </x:c>
      <x:c r="L1704" s="31" t="str">
        <x:v>D06, Markdown line 242; http://nas-1.tail55d152.ts.net:4100/static/MEDICAL_NORDICS_FINANCIALS_DOSSIER.html</x:v>
      </x:c>
    </x:row>
    <x:row r="1705" ht="42" customHeight="1">
      <x:c r="A1705" s="5" t="str">
        <x:v>D06</x:v>
      </x:c>
      <x:c r="B1705" s="5" t="str">
        <x:v>D06-T01</x:v>
      </x:c>
      <x:c r="C1705" s="5" t="str">
        <x:v>5. Complete Company Financial Table (135 Facilities Analyzed)</x:v>
      </x:c>
      <x:c r="D1705" s="5" t="n">
        <x:v>242</x:v>
      </x:c>
      <x:c r="E1705" s="5" t="n">
        <x:v>8</x:v>
      </x:c>
      <x:c r="F1705" s="5" t="str">
        <x:v>Fiscal Year</x:v>
      </x:c>
      <x:c r="G1705" s="5" t="n">
        <x:v>1</x:v>
      </x:c>
      <x:c r="H1705" s="5" t="n">
        <x:v>1</x:v>
      </x:c>
      <x:c r="I1705" s="5" t="str">
        <x:v>FY2024</x:v>
      </x:c>
      <x:c r="J1705" s="5" t="str">
        <x:v>SOURCE QUOTE; unvalidated / superseded assessments</x:v>
      </x:c>
      <x:c r="L1705" s="31" t="str">
        <x:v>D06, Markdown line 242; http://nas-1.tail55d152.ts.net:4100/static/MEDICAL_NORDICS_FINANCIALS_DOSSIER.html</x:v>
      </x:c>
    </x:row>
    <x:row r="1706" ht="42" customHeight="1">
      <x:c r="A1706" s="5" t="str">
        <x:v>D06</x:v>
      </x:c>
      <x:c r="B1706" s="5" t="str">
        <x:v>D06-T01</x:v>
      </x:c>
      <x:c r="C1706" s="5" t="str">
        <x:v>5. Complete Company Financial Table (135 Facilities Analyzed)</x:v>
      </x:c>
      <x:c r="D1706" s="5" t="n">
        <x:v>242</x:v>
      </x:c>
      <x:c r="E1706" s="5" t="n">
        <x:v>9</x:v>
      </x:c>
      <x:c r="F1706" s="5" t="str">
        <x:v>Status / Ownership / Strategic Service Alignment</x:v>
      </x:c>
      <x:c r="G1706" s="5" t="n">
        <x:v>1</x:v>
      </x:c>
      <x:c r="H1706" s="5" t="n">
        <x:v>1</x:v>
      </x:c>
      <x:c r="I1706" s="5" t="str">
        <x:v>Listed (First North: CRNO B); Package B (CS1 pulmonary trial milestone burn control)</x:v>
      </x:c>
      <x:c r="J1706" s="5" t="str">
        <x:v>SOURCE QUOTE; unvalidated / superseded assessments</x:v>
      </x:c>
      <x:c r="L1706" s="31" t="str">
        <x:v>D06, Markdown line 242; http://nas-1.tail55d152.ts.net:4100/static/MEDICAL_NORDICS_FINANCIALS_DOSSIER.html</x:v>
      </x:c>
    </x:row>
    <x:row r="1707" ht="42" customHeight="1">
      <x:c r="A1707" s="5" t="str">
        <x:v>D06</x:v>
      </x:c>
      <x:c r="B1707" s="5" t="str">
        <x:v>D06-T01</x:v>
      </x:c>
      <x:c r="C1707" s="5" t="str">
        <x:v>5. Complete Company Financial Table (135 Facilities Analyzed)</x:v>
      </x:c>
      <x:c r="D1707" s="5" t="n">
        <x:v>243</x:v>
      </x:c>
      <x:c r="E1707" s="5" t="n">
        <x:v>1</x:v>
      </x:c>
      <x:c r="F1707" s="5" t="str">
        <x:v>#</x:v>
      </x:c>
      <x:c r="G1707" s="5" t="n">
        <x:v>1</x:v>
      </x:c>
      <x:c r="H1707" s="5" t="n">
        <x:v>1</x:v>
      </x:c>
      <x:c r="I1707" s="5" t="str">
        <x:v>62</x:v>
      </x:c>
      <x:c r="J1707" s="5" t="str">
        <x:v>SOURCE QUOTE; unvalidated / superseded assessments</x:v>
      </x:c>
      <x:c r="L1707" s="31" t="str">
        <x:v>D06, Markdown line 243; http://nas-1.tail55d152.ts.net:4100/static/MEDICAL_NORDICS_FINANCIALS_DOSSIER.html</x:v>
      </x:c>
    </x:row>
    <x:row r="1708" ht="42" customHeight="1">
      <x:c r="A1708" s="5" t="str">
        <x:v>D06</x:v>
      </x:c>
      <x:c r="B1708" s="5" t="str">
        <x:v>D06-T01</x:v>
      </x:c>
      <x:c r="C1708" s="5" t="str">
        <x:v>5. Complete Company Financial Table (135 Facilities Analyzed)</x:v>
      </x:c>
      <x:c r="D1708" s="5" t="n">
        <x:v>243</x:v>
      </x:c>
      <x:c r="E1708" s="5" t="n">
        <x:v>2</x:v>
      </x:c>
      <x:c r="F1708" s="5" t="str">
        <x:v>Company</x:v>
      </x:c>
      <x:c r="G1708" s="5" t="n">
        <x:v>1</x:v>
      </x:c>
      <x:c r="H1708" s="5" t="n">
        <x:v>1</x:v>
      </x:c>
      <x:c r="I1708" s="5" t="str">
        <x:v>Fluicell</x:v>
      </x:c>
      <x:c r="J1708" s="5" t="str">
        <x:v>SOURCE QUOTE; unvalidated / superseded assessments</x:v>
      </x:c>
      <x:c r="L1708" s="31" t="str">
        <x:v>D06, Markdown line 243; http://nas-1.tail55d152.ts.net:4100/static/MEDICAL_NORDICS_FINANCIALS_DOSSIER.html</x:v>
      </x:c>
    </x:row>
    <x:row r="1709" ht="42" customHeight="1">
      <x:c r="A1709" s="5" t="str">
        <x:v>D06</x:v>
      </x:c>
      <x:c r="B1709" s="5" t="str">
        <x:v>D06-T01</x:v>
      </x:c>
      <x:c r="C1709" s="5" t="str">
        <x:v>5. Complete Company Financial Table (135 Facilities Analyzed)</x:v>
      </x:c>
      <x:c r="D1709" s="5" t="n">
        <x:v>243</x:v>
      </x:c>
      <x:c r="E1709" s="5" t="n">
        <x:v>3</x:v>
      </x:c>
      <x:c r="F1709" s="5" t="str">
        <x:v>Location</x:v>
      </x:c>
      <x:c r="G1709" s="5" t="n">
        <x:v>1</x:v>
      </x:c>
      <x:c r="H1709" s="5" t="n">
        <x:v>1</x:v>
      </x:c>
      <x:c r="I1709" s="5" t="str">
        <x:v>Mölndal, Sweden</x:v>
      </x:c>
      <x:c r="J1709" s="5" t="str">
        <x:v>SOURCE QUOTE; unvalidated / superseded assessments</x:v>
      </x:c>
      <x:c r="L1709" s="31" t="str">
        <x:v>D06, Markdown line 243; http://nas-1.tail55d152.ts.net:4100/static/MEDICAL_NORDICS_FINANCIALS_DOSSIER.html</x:v>
      </x:c>
    </x:row>
    <x:row r="1710" ht="42" customHeight="1">
      <x:c r="A1710" s="5" t="str">
        <x:v>D06</x:v>
      </x:c>
      <x:c r="B1710" s="5" t="str">
        <x:v>D06-T01</x:v>
      </x:c>
      <x:c r="C1710" s="5" t="str">
        <x:v>5. Complete Company Financial Table (135 Facilities Analyzed)</x:v>
      </x:c>
      <x:c r="D1710" s="5" t="n">
        <x:v>243</x:v>
      </x:c>
      <x:c r="E1710" s="5" t="n">
        <x:v>4</x:v>
      </x:c>
      <x:c r="F1710" s="5" t="str">
        <x:v>Focus Area</x:v>
      </x:c>
      <x:c r="G1710" s="5" t="n">
        <x:v>1</x:v>
      </x:c>
      <x:c r="H1710" s="5" t="n">
        <x:v>1</x:v>
      </x:c>
      <x:c r="I1710" s="5" t="str">
        <x:v>Single-Cell Biopixlar Bioprinting</x:v>
      </x:c>
      <x:c r="J1710" s="5" t="str">
        <x:v>SOURCE QUOTE; unvalidated / superseded assessments</x:v>
      </x:c>
      <x:c r="L1710" s="31" t="str">
        <x:v>D06, Markdown line 243; http://nas-1.tail55d152.ts.net:4100/static/MEDICAL_NORDICS_FINANCIALS_DOSSIER.html</x:v>
      </x:c>
    </x:row>
    <x:row r="1711" ht="42" customHeight="1">
      <x:c r="A1711" s="5" t="str">
        <x:v>D06</x:v>
      </x:c>
      <x:c r="B1711" s="5" t="str">
        <x:v>D06-T01</x:v>
      </x:c>
      <x:c r="C1711" s="5" t="str">
        <x:v>5. Complete Company Financial Table (135 Facilities Analyzed)</x:v>
      </x:c>
      <x:c r="D1711" s="5" t="n">
        <x:v>243</x:v>
      </x:c>
      <x:c r="E1711" s="5" t="n">
        <x:v>5</x:v>
      </x:c>
      <x:c r="F1711" s="5" t="str">
        <x:v>Revenue / Net Sales</x:v>
      </x:c>
      <x:c r="G1711" s="5" t="n">
        <x:v>1</x:v>
      </x:c>
      <x:c r="H1711" s="5" t="n">
        <x:v>1</x:v>
      </x:c>
      <x:c r="I1711" s="5" t="str">
        <x:v>SEK 4.8M</x:v>
      </x:c>
      <x:c r="J1711" s="5" t="str">
        <x:v>SOURCE QUOTE; unvalidated / superseded assessments</x:v>
      </x:c>
      <x:c r="L1711" s="31" t="str">
        <x:v>D06, Markdown line 243; http://nas-1.tail55d152.ts.net:4100/static/MEDICAL_NORDICS_FINANCIALS_DOSSIER.html</x:v>
      </x:c>
    </x:row>
    <x:row r="1712" ht="42" customHeight="1">
      <x:c r="A1712" s="5" t="str">
        <x:v>D06</x:v>
      </x:c>
      <x:c r="B1712" s="5" t="str">
        <x:v>D06-T01</x:v>
      </x:c>
      <x:c r="C1712" s="5" t="str">
        <x:v>5. Complete Company Financial Table (135 Facilities Analyzed)</x:v>
      </x:c>
      <x:c r="D1712" s="5" t="n">
        <x:v>243</x:v>
      </x:c>
      <x:c r="E1712" s="5" t="n">
        <x:v>6</x:v>
      </x:c>
      <x:c r="F1712" s="5" t="str">
        <x:v>R&amp;D Spend</x:v>
      </x:c>
      <x:c r="G1712" s="5" t="n">
        <x:v>1</x:v>
      </x:c>
      <x:c r="H1712" s="5" t="n">
        <x:v>1</x:v>
      </x:c>
      <x:c r="I1712" s="5" t="str">
        <x:v>SEK 15.6M</x:v>
      </x:c>
      <x:c r="J1712" s="5" t="str">
        <x:v>SOURCE QUOTE; unvalidated / superseded assessments</x:v>
      </x:c>
      <x:c r="L1712" s="31" t="str">
        <x:v>D06, Markdown line 243; http://nas-1.tail55d152.ts.net:4100/static/MEDICAL_NORDICS_FINANCIALS_DOSSIER.html</x:v>
      </x:c>
    </x:row>
    <x:row r="1713" ht="42" customHeight="1">
      <x:c r="A1713" s="5" t="str">
        <x:v>D06</x:v>
      </x:c>
      <x:c r="B1713" s="5" t="str">
        <x:v>D06-T01</x:v>
      </x:c>
      <x:c r="C1713" s="5" t="str">
        <x:v>5. Complete Company Financial Table (135 Facilities Analyzed)</x:v>
      </x:c>
      <x:c r="D1713" s="5" t="n">
        <x:v>243</x:v>
      </x:c>
      <x:c r="E1713" s="5" t="n">
        <x:v>7</x:v>
      </x:c>
      <x:c r="F1713" s="5" t="str">
        <x:v>Currency</x:v>
      </x:c>
      <x:c r="G1713" s="5" t="n">
        <x:v>1</x:v>
      </x:c>
      <x:c r="H1713" s="5" t="n">
        <x:v>1</x:v>
      </x:c>
      <x:c r="I1713" s="5" t="str">
        <x:v>SEK</x:v>
      </x:c>
      <x:c r="J1713" s="5" t="str">
        <x:v>SOURCE QUOTE; unvalidated / superseded assessments</x:v>
      </x:c>
      <x:c r="L1713" s="31" t="str">
        <x:v>D06, Markdown line 243; http://nas-1.tail55d152.ts.net:4100/static/MEDICAL_NORDICS_FINANCIALS_DOSSIER.html</x:v>
      </x:c>
    </x:row>
    <x:row r="1714" ht="42" customHeight="1">
      <x:c r="A1714" s="5" t="str">
        <x:v>D06</x:v>
      </x:c>
      <x:c r="B1714" s="5" t="str">
        <x:v>D06-T01</x:v>
      </x:c>
      <x:c r="C1714" s="5" t="str">
        <x:v>5. Complete Company Financial Table (135 Facilities Analyzed)</x:v>
      </x:c>
      <x:c r="D1714" s="5" t="n">
        <x:v>243</x:v>
      </x:c>
      <x:c r="E1714" s="5" t="n">
        <x:v>8</x:v>
      </x:c>
      <x:c r="F1714" s="5" t="str">
        <x:v>Fiscal Year</x:v>
      </x:c>
      <x:c r="G1714" s="5" t="n">
        <x:v>1</x:v>
      </x:c>
      <x:c r="H1714" s="5" t="n">
        <x:v>1</x:v>
      </x:c>
      <x:c r="I1714" s="5" t="str">
        <x:v>FY2023/24</x:v>
      </x:c>
      <x:c r="J1714" s="5" t="str">
        <x:v>SOURCE QUOTE; unvalidated / superseded assessments</x:v>
      </x:c>
      <x:c r="L1714" s="31" t="str">
        <x:v>D06, Markdown line 243; http://nas-1.tail55d152.ts.net:4100/static/MEDICAL_NORDICS_FINANCIALS_DOSSIER.html</x:v>
      </x:c>
    </x:row>
    <x:row r="1715" ht="42" customHeight="1">
      <x:c r="A1715" s="5" t="str">
        <x:v>D06</x:v>
      </x:c>
      <x:c r="B1715" s="5" t="str">
        <x:v>D06-T01</x:v>
      </x:c>
      <x:c r="C1715" s="5" t="str">
        <x:v>5. Complete Company Financial Table (135 Facilities Analyzed)</x:v>
      </x:c>
      <x:c r="D1715" s="5" t="n">
        <x:v>243</x:v>
      </x:c>
      <x:c r="E1715" s="5" t="n">
        <x:v>9</x:v>
      </x:c>
      <x:c r="F1715" s="5" t="str">
        <x:v>Status / Ownership / Strategic Service Alignment</x:v>
      </x:c>
      <x:c r="G1715" s="5" t="n">
        <x:v>1</x:v>
      </x:c>
      <x:c r="H1715" s="5" t="n">
        <x:v>1</x:v>
      </x:c>
      <x:c r="I1715" s="5" t="str">
        <x:v>Listed (First North: FLUI); Package A (Microfluidic hardware leasing &amp; lab subscription)</x:v>
      </x:c>
      <x:c r="J1715" s="5" t="str">
        <x:v>SOURCE QUOTE; unvalidated / superseded assessments</x:v>
      </x:c>
      <x:c r="L1715" s="31" t="str">
        <x:v>D06, Markdown line 243; http://nas-1.tail55d152.ts.net:4100/static/MEDICAL_NORDICS_FINANCIALS_DOSSIER.html</x:v>
      </x:c>
    </x:row>
    <x:row r="1716" ht="42" customHeight="1">
      <x:c r="A1716" s="5" t="str">
        <x:v>D06</x:v>
      </x:c>
      <x:c r="B1716" s="5" t="str">
        <x:v>D06-T01</x:v>
      </x:c>
      <x:c r="C1716" s="5" t="str">
        <x:v>5. Complete Company Financial Table (135 Facilities Analyzed)</x:v>
      </x:c>
      <x:c r="D1716" s="5" t="n">
        <x:v>244</x:v>
      </x:c>
      <x:c r="E1716" s="5" t="n">
        <x:v>1</x:v>
      </x:c>
      <x:c r="F1716" s="5" t="str">
        <x:v>#</x:v>
      </x:c>
      <x:c r="G1716" s="5" t="n">
        <x:v>1</x:v>
      </x:c>
      <x:c r="H1716" s="5" t="n">
        <x:v>1</x:v>
      </x:c>
      <x:c r="I1716" s="5" t="str">
        <x:v>63</x:v>
      </x:c>
      <x:c r="J1716" s="5" t="str">
        <x:v>SOURCE QUOTE; unvalidated / superseded assessments</x:v>
      </x:c>
      <x:c r="L1716" s="31" t="str">
        <x:v>D06, Markdown line 244; http://nas-1.tail55d152.ts.net:4100/static/MEDICAL_NORDICS_FINANCIALS_DOSSIER.html</x:v>
      </x:c>
    </x:row>
    <x:row r="1717" ht="42" customHeight="1">
      <x:c r="A1717" s="5" t="str">
        <x:v>D06</x:v>
      </x:c>
      <x:c r="B1717" s="5" t="str">
        <x:v>D06-T01</x:v>
      </x:c>
      <x:c r="C1717" s="5" t="str">
        <x:v>5. Complete Company Financial Table (135 Facilities Analyzed)</x:v>
      </x:c>
      <x:c r="D1717" s="5" t="n">
        <x:v>244</x:v>
      </x:c>
      <x:c r="E1717" s="5" t="n">
        <x:v>2</x:v>
      </x:c>
      <x:c r="F1717" s="5" t="str">
        <x:v>Company</x:v>
      </x:c>
      <x:c r="G1717" s="5" t="n">
        <x:v>1</x:v>
      </x:c>
      <x:c r="H1717" s="5" t="n">
        <x:v>1</x:v>
      </x:c>
      <x:c r="I1717" s="5" t="str">
        <x:v>Ribocure Pharmaceuticals</x:v>
      </x:c>
      <x:c r="J1717" s="5" t="str">
        <x:v>SOURCE QUOTE; unvalidated / superseded assessments</x:v>
      </x:c>
      <x:c r="L1717" s="31" t="str">
        <x:v>D06, Markdown line 244; http://nas-1.tail55d152.ts.net:4100/static/MEDICAL_NORDICS_FINANCIALS_DOSSIER.html</x:v>
      </x:c>
    </x:row>
    <x:row r="1718" ht="42" customHeight="1">
      <x:c r="A1718" s="5" t="str">
        <x:v>D06</x:v>
      </x:c>
      <x:c r="B1718" s="5" t="str">
        <x:v>D06-T01</x:v>
      </x:c>
      <x:c r="C1718" s="5" t="str">
        <x:v>5. Complete Company Financial Table (135 Facilities Analyzed)</x:v>
      </x:c>
      <x:c r="D1718" s="5" t="n">
        <x:v>244</x:v>
      </x:c>
      <x:c r="E1718" s="5" t="n">
        <x:v>3</x:v>
      </x:c>
      <x:c r="F1718" s="5" t="str">
        <x:v>Location</x:v>
      </x:c>
      <x:c r="G1718" s="5" t="n">
        <x:v>1</x:v>
      </x:c>
      <x:c r="H1718" s="5" t="n">
        <x:v>1</x:v>
      </x:c>
      <x:c r="I1718" s="5" t="str">
        <x:v>Mölndal, Sweden</x:v>
      </x:c>
      <x:c r="J1718" s="5" t="str">
        <x:v>SOURCE QUOTE; unvalidated / superseded assessments</x:v>
      </x:c>
      <x:c r="L1718" s="31" t="str">
        <x:v>D06, Markdown line 244; http://nas-1.tail55d152.ts.net:4100/static/MEDICAL_NORDICS_FINANCIALS_DOSSIER.html</x:v>
      </x:c>
    </x:row>
    <x:row r="1719" ht="42" customHeight="1">
      <x:c r="A1719" s="5" t="str">
        <x:v>D06</x:v>
      </x:c>
      <x:c r="B1719" s="5" t="str">
        <x:v>D06-T01</x:v>
      </x:c>
      <x:c r="C1719" s="5" t="str">
        <x:v>5. Complete Company Financial Table (135 Facilities Analyzed)</x:v>
      </x:c>
      <x:c r="D1719" s="5" t="n">
        <x:v>244</x:v>
      </x:c>
      <x:c r="E1719" s="5" t="n">
        <x:v>4</x:v>
      </x:c>
      <x:c r="F1719" s="5" t="str">
        <x:v>Focus Area</x:v>
      </x:c>
      <x:c r="G1719" s="5" t="n">
        <x:v>1</x:v>
      </x:c>
      <x:c r="H1719" s="5" t="n">
        <x:v>1</x:v>
      </x:c>
      <x:c r="I1719" s="5" t="str">
        <x:v>RNA Therapeutics for Cardiovascular</x:v>
      </x:c>
      <x:c r="J1719" s="5" t="str">
        <x:v>SOURCE QUOTE; unvalidated / superseded assessments</x:v>
      </x:c>
      <x:c r="L1719" s="31" t="str">
        <x:v>D06, Markdown line 244; http://nas-1.tail55d152.ts.net:4100/static/MEDICAL_NORDICS_FINANCIALS_DOSSIER.html</x:v>
      </x:c>
    </x:row>
    <x:row r="1720" ht="42" customHeight="1">
      <x:c r="A1720" s="5" t="str">
        <x:v>D06</x:v>
      </x:c>
      <x:c r="B1720" s="5" t="str">
        <x:v>D06-T01</x:v>
      </x:c>
      <x:c r="C1720" s="5" t="str">
        <x:v>5. Complete Company Financial Table (135 Facilities Analyzed)</x:v>
      </x:c>
      <x:c r="D1720" s="5" t="n">
        <x:v>244</x:v>
      </x:c>
      <x:c r="E1720" s="5" t="n">
        <x:v>5</x:v>
      </x:c>
      <x:c r="F1720" s="5" t="str">
        <x:v>Revenue / Net Sales</x:v>
      </x:c>
      <x:c r="G1720" s="5" t="n">
        <x:v>1</x:v>
      </x:c>
      <x:c r="H1720" s="5" t="n">
        <x:v>1</x:v>
      </x:c>
      <x:c r="I1720" s="5" t="str">
        <x:v>USD 0M (Clinical stage)</x:v>
      </x:c>
      <x:c r="J1720" s="5" t="str">
        <x:v>SOURCE QUOTE; unvalidated / superseded assessments</x:v>
      </x:c>
      <x:c r="L1720" s="31" t="str">
        <x:v>D06, Markdown line 244; http://nas-1.tail55d152.ts.net:4100/static/MEDICAL_NORDICS_FINANCIALS_DOSSIER.html</x:v>
      </x:c>
    </x:row>
    <x:row r="1721" ht="42" customHeight="1">
      <x:c r="A1721" s="5" t="str">
        <x:v>D06</x:v>
      </x:c>
      <x:c r="B1721" s="5" t="str">
        <x:v>D06-T01</x:v>
      </x:c>
      <x:c r="C1721" s="5" t="str">
        <x:v>5. Complete Company Financial Table (135 Facilities Analyzed)</x:v>
      </x:c>
      <x:c r="D1721" s="5" t="n">
        <x:v>244</x:v>
      </x:c>
      <x:c r="E1721" s="5" t="n">
        <x:v>6</x:v>
      </x:c>
      <x:c r="F1721" s="5" t="str">
        <x:v>R&amp;D Spend</x:v>
      </x:c>
      <x:c r="G1721" s="5" t="n">
        <x:v>1</x:v>
      </x:c>
      <x:c r="H1721" s="5" t="n">
        <x:v>1</x:v>
      </x:c>
      <x:c r="I1721" s="5" t="str">
        <x:v>USD 8.5M (~SEK 88M)</x:v>
      </x:c>
      <x:c r="J1721" s="5" t="str">
        <x:v>SOURCE QUOTE; unvalidated / superseded assessments</x:v>
      </x:c>
      <x:c r="L1721" s="31" t="str">
        <x:v>D06, Markdown line 244; http://nas-1.tail55d152.ts.net:4100/static/MEDICAL_NORDICS_FINANCIALS_DOSSIER.html</x:v>
      </x:c>
    </x:row>
    <x:row r="1722" ht="42" customHeight="1">
      <x:c r="A1722" s="5" t="str">
        <x:v>D06</x:v>
      </x:c>
      <x:c r="B1722" s="5" t="str">
        <x:v>D06-T01</x:v>
      </x:c>
      <x:c r="C1722" s="5" t="str">
        <x:v>5. Complete Company Financial Table (135 Facilities Analyzed)</x:v>
      </x:c>
      <x:c r="D1722" s="5" t="n">
        <x:v>244</x:v>
      </x:c>
      <x:c r="E1722" s="5" t="n">
        <x:v>7</x:v>
      </x:c>
      <x:c r="F1722" s="5" t="str">
        <x:v>Currency</x:v>
      </x:c>
      <x:c r="G1722" s="5" t="n">
        <x:v>1</x:v>
      </x:c>
      <x:c r="H1722" s="5" t="n">
        <x:v>1</x:v>
      </x:c>
      <x:c r="I1722" s="5" t="str">
        <x:v>USD</x:v>
      </x:c>
      <x:c r="J1722" s="5" t="str">
        <x:v>SOURCE QUOTE; unvalidated / superseded assessments</x:v>
      </x:c>
      <x:c r="L1722" s="31" t="str">
        <x:v>D06, Markdown line 244; http://nas-1.tail55d152.ts.net:4100/static/MEDICAL_NORDICS_FINANCIALS_DOSSIER.html</x:v>
      </x:c>
    </x:row>
    <x:row r="1723" ht="42" customHeight="1">
      <x:c r="A1723" s="5" t="str">
        <x:v>D06</x:v>
      </x:c>
      <x:c r="B1723" s="5" t="str">
        <x:v>D06-T01</x:v>
      </x:c>
      <x:c r="C1723" s="5" t="str">
        <x:v>5. Complete Company Financial Table (135 Facilities Analyzed)</x:v>
      </x:c>
      <x:c r="D1723" s="5" t="n">
        <x:v>244</x:v>
      </x:c>
      <x:c r="E1723" s="5" t="n">
        <x:v>8</x:v>
      </x:c>
      <x:c r="F1723" s="5" t="str">
        <x:v>Fiscal Year</x:v>
      </x:c>
      <x:c r="G1723" s="5" t="n">
        <x:v>1</x:v>
      </x:c>
      <x:c r="H1723" s="5" t="n">
        <x:v>1</x:v>
      </x:c>
      <x:c r="I1723" s="5" t="str">
        <x:v>FY2024</x:v>
      </x:c>
      <x:c r="J1723" s="5" t="str">
        <x:v>SOURCE QUOTE; unvalidated / superseded assessments</x:v>
      </x:c>
      <x:c r="L1723" s="31" t="str">
        <x:v>D06, Markdown line 244; http://nas-1.tail55d152.ts.net:4100/static/MEDICAL_NORDICS_FINANCIALS_DOSSIER.html</x:v>
      </x:c>
    </x:row>
    <x:row r="1724" ht="42" customHeight="1">
      <x:c r="A1724" s="5" t="str">
        <x:v>D06</x:v>
      </x:c>
      <x:c r="B1724" s="5" t="str">
        <x:v>D06-T01</x:v>
      </x:c>
      <x:c r="C1724" s="5" t="str">
        <x:v>5. Complete Company Financial Table (135 Facilities Analyzed)</x:v>
      </x:c>
      <x:c r="D1724" s="5" t="n">
        <x:v>244</x:v>
      </x:c>
      <x:c r="E1724" s="5" t="n">
        <x:v>9</x:v>
      </x:c>
      <x:c r="F1724" s="5" t="str">
        <x:v>Status / Ownership / Strategic Service Alignment</x:v>
      </x:c>
      <x:c r="G1724" s="5" t="n">
        <x:v>1</x:v>
      </x:c>
      <x:c r="H1724" s="5" t="n">
        <x:v>1</x:v>
      </x:c>
      <x:c r="I1724" s="5" t="str">
        <x:v>Private RNA ($33M equity); Package B (Oligonucleotide preclinical-to-clinical data bridge)</x:v>
      </x:c>
      <x:c r="J1724" s="5" t="str">
        <x:v>SOURCE QUOTE; unvalidated / superseded assessments</x:v>
      </x:c>
      <x:c r="L1724" s="31" t="str">
        <x:v>D06, Markdown line 244; http://nas-1.tail55d152.ts.net:4100/static/MEDICAL_NORDICS_FINANCIALS_DOSSIER.html</x:v>
      </x:c>
    </x:row>
    <x:row r="1725" ht="42" customHeight="1">
      <x:c r="A1725" s="5" t="str">
        <x:v>D06</x:v>
      </x:c>
      <x:c r="B1725" s="5" t="str">
        <x:v>D06-T01</x:v>
      </x:c>
      <x:c r="C1725" s="5" t="str">
        <x:v>5. Complete Company Financial Table (135 Facilities Analyzed)</x:v>
      </x:c>
      <x:c r="D1725" s="5" t="n">
        <x:v>245</x:v>
      </x:c>
      <x:c r="E1725" s="5" t="n">
        <x:v>1</x:v>
      </x:c>
      <x:c r="F1725" s="5" t="str">
        <x:v>#</x:v>
      </x:c>
      <x:c r="G1725" s="5" t="n">
        <x:v>1</x:v>
      </x:c>
      <x:c r="H1725" s="5" t="n">
        <x:v>1</x:v>
      </x:c>
      <x:c r="I1725" s="5" t="str">
        <x:v>64</x:v>
      </x:c>
      <x:c r="J1725" s="5" t="str">
        <x:v>SOURCE QUOTE; unvalidated / superseded assessments</x:v>
      </x:c>
      <x:c r="L1725" s="31" t="str">
        <x:v>D06, Markdown line 245; http://nas-1.tail55d152.ts.net:4100/static/MEDICAL_NORDICS_FINANCIALS_DOSSIER.html</x:v>
      </x:c>
    </x:row>
    <x:row r="1726" ht="42" customHeight="1">
      <x:c r="A1726" s="5" t="str">
        <x:v>D06</x:v>
      </x:c>
      <x:c r="B1726" s="5" t="str">
        <x:v>D06-T01</x:v>
      </x:c>
      <x:c r="C1726" s="5" t="str">
        <x:v>5. Complete Company Financial Table (135 Facilities Analyzed)</x:v>
      </x:c>
      <x:c r="D1726" s="5" t="n">
        <x:v>245</x:v>
      </x:c>
      <x:c r="E1726" s="5" t="n">
        <x:v>2</x:v>
      </x:c>
      <x:c r="F1726" s="5" t="str">
        <x:v>Company</x:v>
      </x:c>
      <x:c r="G1726" s="5" t="n">
        <x:v>1</x:v>
      </x:c>
      <x:c r="H1726" s="5" t="n">
        <x:v>1</x:v>
      </x:c>
      <x:c r="I1726" s="5" t="str">
        <x:v>XVIVO Perfusion</x:v>
      </x:c>
      <x:c r="J1726" s="5" t="str">
        <x:v>SOURCE QUOTE; unvalidated / superseded assessments</x:v>
      </x:c>
      <x:c r="L1726" s="31" t="str">
        <x:v>D06, Markdown line 245; http://nas-1.tail55d152.ts.net:4100/static/MEDICAL_NORDICS_FINANCIALS_DOSSIER.html</x:v>
      </x:c>
    </x:row>
    <x:row r="1727" ht="42" customHeight="1">
      <x:c r="A1727" s="5" t="str">
        <x:v>D06</x:v>
      </x:c>
      <x:c r="B1727" s="5" t="str">
        <x:v>D06-T01</x:v>
      </x:c>
      <x:c r="C1727" s="5" t="str">
        <x:v>5. Complete Company Financial Table (135 Facilities Analyzed)</x:v>
      </x:c>
      <x:c r="D1727" s="5" t="n">
        <x:v>245</x:v>
      </x:c>
      <x:c r="E1727" s="5" t="n">
        <x:v>3</x:v>
      </x:c>
      <x:c r="F1727" s="5" t="str">
        <x:v>Location</x:v>
      </x:c>
      <x:c r="G1727" s="5" t="n">
        <x:v>1</x:v>
      </x:c>
      <x:c r="H1727" s="5" t="n">
        <x:v>1</x:v>
      </x:c>
      <x:c r="I1727" s="5" t="str">
        <x:v>Mölndal, Sweden</x:v>
      </x:c>
      <x:c r="J1727" s="5" t="str">
        <x:v>SOURCE QUOTE; unvalidated / superseded assessments</x:v>
      </x:c>
      <x:c r="L1727" s="31" t="str">
        <x:v>D06, Markdown line 245; http://nas-1.tail55d152.ts.net:4100/static/MEDICAL_NORDICS_FINANCIALS_DOSSIER.html</x:v>
      </x:c>
    </x:row>
    <x:row r="1728" ht="42" customHeight="1">
      <x:c r="A1728" s="5" t="str">
        <x:v>D06</x:v>
      </x:c>
      <x:c r="B1728" s="5" t="str">
        <x:v>D06-T01</x:v>
      </x:c>
      <x:c r="C1728" s="5" t="str">
        <x:v>5. Complete Company Financial Table (135 Facilities Analyzed)</x:v>
      </x:c>
      <x:c r="D1728" s="5" t="n">
        <x:v>245</x:v>
      </x:c>
      <x:c r="E1728" s="5" t="n">
        <x:v>4</x:v>
      </x:c>
      <x:c r="F1728" s="5" t="str">
        <x:v>Focus Area</x:v>
      </x:c>
      <x:c r="G1728" s="5" t="n">
        <x:v>1</x:v>
      </x:c>
      <x:c r="H1728" s="5" t="n">
        <x:v>1</x:v>
      </x:c>
      <x:c r="I1728" s="5" t="str">
        <x:v>Organ Machine Perfusion Systems</x:v>
      </x:c>
      <x:c r="J1728" s="5" t="str">
        <x:v>SOURCE QUOTE; unvalidated / superseded assessments</x:v>
      </x:c>
      <x:c r="L1728" s="31" t="str">
        <x:v>D06, Markdown line 245; http://nas-1.tail55d152.ts.net:4100/static/MEDICAL_NORDICS_FINANCIALS_DOSSIER.html</x:v>
      </x:c>
    </x:row>
    <x:row r="1729" ht="42" customHeight="1">
      <x:c r="A1729" s="5" t="str">
        <x:v>D06</x:v>
      </x:c>
      <x:c r="B1729" s="5" t="str">
        <x:v>D06-T01</x:v>
      </x:c>
      <x:c r="C1729" s="5" t="str">
        <x:v>5. Complete Company Financial Table (135 Facilities Analyzed)</x:v>
      </x:c>
      <x:c r="D1729" s="5" t="n">
        <x:v>245</x:v>
      </x:c>
      <x:c r="E1729" s="5" t="n">
        <x:v>5</x:v>
      </x:c>
      <x:c r="F1729" s="5" t="str">
        <x:v>Revenue / Net Sales</x:v>
      </x:c>
      <x:c r="G1729" s="5" t="n">
        <x:v>1</x:v>
      </x:c>
      <x:c r="H1729" s="5" t="n">
        <x:v>1</x:v>
      </x:c>
      <x:c r="I1729" s="5" t="str">
        <x:v>SEK 822.4M (SEK 605M FY23)</x:v>
      </x:c>
      <x:c r="J1729" s="5" t="str">
        <x:v>SOURCE QUOTE; unvalidated / superseded assessments</x:v>
      </x:c>
      <x:c r="L1729" s="31" t="str">
        <x:v>D06, Markdown line 245; http://nas-1.tail55d152.ts.net:4100/static/MEDICAL_NORDICS_FINANCIALS_DOSSIER.html</x:v>
      </x:c>
    </x:row>
    <x:row r="1730" ht="42" customHeight="1">
      <x:c r="A1730" s="5" t="str">
        <x:v>D06</x:v>
      </x:c>
      <x:c r="B1730" s="5" t="str">
        <x:v>D06-T01</x:v>
      </x:c>
      <x:c r="C1730" s="5" t="str">
        <x:v>5. Complete Company Financial Table (135 Facilities Analyzed)</x:v>
      </x:c>
      <x:c r="D1730" s="5" t="n">
        <x:v>245</x:v>
      </x:c>
      <x:c r="E1730" s="5" t="n">
        <x:v>6</x:v>
      </x:c>
      <x:c r="F1730" s="5" t="str">
        <x:v>R&amp;D Spend</x:v>
      </x:c>
      <x:c r="G1730" s="5" t="n">
        <x:v>1</x:v>
      </x:c>
      <x:c r="H1730" s="5" t="n">
        <x:v>1</x:v>
      </x:c>
      <x:c r="I1730" s="5" t="str">
        <x:v>SEK 114.5M</x:v>
      </x:c>
      <x:c r="J1730" s="5" t="str">
        <x:v>SOURCE QUOTE; unvalidated / superseded assessments</x:v>
      </x:c>
      <x:c r="L1730" s="31" t="str">
        <x:v>D06, Markdown line 245; http://nas-1.tail55d152.ts.net:4100/static/MEDICAL_NORDICS_FINANCIALS_DOSSIER.html</x:v>
      </x:c>
    </x:row>
    <x:row r="1731" ht="42" customHeight="1">
      <x:c r="A1731" s="5" t="str">
        <x:v>D06</x:v>
      </x:c>
      <x:c r="B1731" s="5" t="str">
        <x:v>D06-T01</x:v>
      </x:c>
      <x:c r="C1731" s="5" t="str">
        <x:v>5. Complete Company Financial Table (135 Facilities Analyzed)</x:v>
      </x:c>
      <x:c r="D1731" s="5" t="n">
        <x:v>245</x:v>
      </x:c>
      <x:c r="E1731" s="5" t="n">
        <x:v>7</x:v>
      </x:c>
      <x:c r="F1731" s="5" t="str">
        <x:v>Currency</x:v>
      </x:c>
      <x:c r="G1731" s="5" t="n">
        <x:v>1</x:v>
      </x:c>
      <x:c r="H1731" s="5" t="n">
        <x:v>1</x:v>
      </x:c>
      <x:c r="I1731" s="5" t="str">
        <x:v>SEK</x:v>
      </x:c>
      <x:c r="J1731" s="5" t="str">
        <x:v>SOURCE QUOTE; unvalidated / superseded assessments</x:v>
      </x:c>
      <x:c r="L1731" s="31" t="str">
        <x:v>D06, Markdown line 245; http://nas-1.tail55d152.ts.net:4100/static/MEDICAL_NORDICS_FINANCIALS_DOSSIER.html</x:v>
      </x:c>
    </x:row>
    <x:row r="1732" ht="42" customHeight="1">
      <x:c r="A1732" s="5" t="str">
        <x:v>D06</x:v>
      </x:c>
      <x:c r="B1732" s="5" t="str">
        <x:v>D06-T01</x:v>
      </x:c>
      <x:c r="C1732" s="5" t="str">
        <x:v>5. Complete Company Financial Table (135 Facilities Analyzed)</x:v>
      </x:c>
      <x:c r="D1732" s="5" t="n">
        <x:v>245</x:v>
      </x:c>
      <x:c r="E1732" s="5" t="n">
        <x:v>8</x:v>
      </x:c>
      <x:c r="F1732" s="5" t="str">
        <x:v>Fiscal Year</x:v>
      </x:c>
      <x:c r="G1732" s="5" t="n">
        <x:v>1</x:v>
      </x:c>
      <x:c r="H1732" s="5" t="n">
        <x:v>1</x:v>
      </x:c>
      <x:c r="I1732" s="5" t="str">
        <x:v>FY2024</x:v>
      </x:c>
      <x:c r="J1732" s="5" t="str">
        <x:v>SOURCE QUOTE; unvalidated / superseded assessments</x:v>
      </x:c>
      <x:c r="L1732" s="31" t="str">
        <x:v>D06, Markdown line 245; http://nas-1.tail55d152.ts.net:4100/static/MEDICAL_NORDICS_FINANCIALS_DOSSIER.html</x:v>
      </x:c>
    </x:row>
    <x:row r="1733" ht="42" customHeight="1">
      <x:c r="A1733" s="5" t="str">
        <x:v>D06</x:v>
      </x:c>
      <x:c r="B1733" s="5" t="str">
        <x:v>D06-T01</x:v>
      </x:c>
      <x:c r="C1733" s="5" t="str">
        <x:v>5. Complete Company Financial Table (135 Facilities Analyzed)</x:v>
      </x:c>
      <x:c r="D1733" s="5" t="n">
        <x:v>245</x:v>
      </x:c>
      <x:c r="E1733" s="5" t="n">
        <x:v>9</x:v>
      </x:c>
      <x:c r="F1733" s="5" t="str">
        <x:v>Status / Ownership / Strategic Service Alignment</x:v>
      </x:c>
      <x:c r="G1733" s="5" t="n">
        <x:v>1</x:v>
      </x:c>
      <x:c r="H1733" s="5" t="n">
        <x:v>1</x:v>
      </x:c>
      <x:c r="I1733" s="5" t="str">
        <x:v>Listed (Nasdaq: XVIVO); Package A (Hospital transplant ICU $45k+ savings calculator)</x:v>
      </x:c>
      <x:c r="J1733" s="5" t="str">
        <x:v>SOURCE QUOTE; unvalidated / superseded assessments</x:v>
      </x:c>
      <x:c r="L1733" s="31" t="str">
        <x:v>D06, Markdown line 245; http://nas-1.tail55d152.ts.net:4100/static/MEDICAL_NORDICS_FINANCIALS_DOSSIER.html</x:v>
      </x:c>
    </x:row>
    <x:row r="1734" ht="42" customHeight="1">
      <x:c r="A1734" s="5" t="str">
        <x:v>D06</x:v>
      </x:c>
      <x:c r="B1734" s="5" t="str">
        <x:v>D06-T01</x:v>
      </x:c>
      <x:c r="C1734" s="5" t="str">
        <x:v>5. Complete Company Financial Table (135 Facilities Analyzed)</x:v>
      </x:c>
      <x:c r="D1734" s="5" t="n">
        <x:v>246</x:v>
      </x:c>
      <x:c r="E1734" s="5" t="n">
        <x:v>1</x:v>
      </x:c>
      <x:c r="F1734" s="5" t="str">
        <x:v>#</x:v>
      </x:c>
      <x:c r="G1734" s="5" t="n">
        <x:v>1</x:v>
      </x:c>
      <x:c r="H1734" s="5" t="n">
        <x:v>1</x:v>
      </x:c>
      <x:c r="I1734" s="5" t="str">
        <x:v>65</x:v>
      </x:c>
      <x:c r="J1734" s="5" t="str">
        <x:v>SOURCE QUOTE; unvalidated / superseded assessments</x:v>
      </x:c>
      <x:c r="L1734" s="31" t="str">
        <x:v>D06, Markdown line 246; http://nas-1.tail55d152.ts.net:4100/static/MEDICAL_NORDICS_FINANCIALS_DOSSIER.html</x:v>
      </x:c>
    </x:row>
    <x:row r="1735" ht="42" customHeight="1">
      <x:c r="A1735" s="5" t="str">
        <x:v>D06</x:v>
      </x:c>
      <x:c r="B1735" s="5" t="str">
        <x:v>D06-T01</x:v>
      </x:c>
      <x:c r="C1735" s="5" t="str">
        <x:v>5. Complete Company Financial Table (135 Facilities Analyzed)</x:v>
      </x:c>
      <x:c r="D1735" s="5" t="n">
        <x:v>246</x:v>
      </x:c>
      <x:c r="E1735" s="5" t="n">
        <x:v>2</x:v>
      </x:c>
      <x:c r="F1735" s="5" t="str">
        <x:v>Company</x:v>
      </x:c>
      <x:c r="G1735" s="5" t="n">
        <x:v>1</x:v>
      </x:c>
      <x:c r="H1735" s="5" t="n">
        <x:v>1</x:v>
      </x:c>
      <x:c r="I1735" s="5" t="str">
        <x:v>ImmunoIVD</x:v>
      </x:c>
      <x:c r="J1735" s="5" t="str">
        <x:v>SOURCE QUOTE; unvalidated / superseded assessments</x:v>
      </x:c>
      <x:c r="L1735" s="31" t="str">
        <x:v>D06, Markdown line 246; http://nas-1.tail55d152.ts.net:4100/static/MEDICAL_NORDICS_FINANCIALS_DOSSIER.html</x:v>
      </x:c>
    </x:row>
    <x:row r="1736" ht="42" customHeight="1">
      <x:c r="A1736" s="5" t="str">
        <x:v>D06</x:v>
      </x:c>
      <x:c r="B1736" s="5" t="str">
        <x:v>D06-T01</x:v>
      </x:c>
      <x:c r="C1736" s="5" t="str">
        <x:v>5. Complete Company Financial Table (135 Facilities Analyzed)</x:v>
      </x:c>
      <x:c r="D1736" s="5" t="n">
        <x:v>246</x:v>
      </x:c>
      <x:c r="E1736" s="5" t="n">
        <x:v>3</x:v>
      </x:c>
      <x:c r="F1736" s="5" t="str">
        <x:v>Location</x:v>
      </x:c>
      <x:c r="G1736" s="5" t="n">
        <x:v>1</x:v>
      </x:c>
      <x:c r="H1736" s="5" t="n">
        <x:v>1</x:v>
      </x:c>
      <x:c r="I1736" s="5" t="str">
        <x:v>Nacka Strand, Sweden</x:v>
      </x:c>
      <x:c r="J1736" s="5" t="str">
        <x:v>SOURCE QUOTE; unvalidated / superseded assessments</x:v>
      </x:c>
      <x:c r="L1736" s="31" t="str">
        <x:v>D06, Markdown line 246; http://nas-1.tail55d152.ts.net:4100/static/MEDICAL_NORDICS_FINANCIALS_DOSSIER.html</x:v>
      </x:c>
    </x:row>
    <x:row r="1737" ht="42" customHeight="1">
      <x:c r="A1737" s="5" t="str">
        <x:v>D06</x:v>
      </x:c>
      <x:c r="B1737" s="5" t="str">
        <x:v>D06-T01</x:v>
      </x:c>
      <x:c r="C1737" s="5" t="str">
        <x:v>5. Complete Company Financial Table (135 Facilities Analyzed)</x:v>
      </x:c>
      <x:c r="D1737" s="5" t="n">
        <x:v>246</x:v>
      </x:c>
      <x:c r="E1737" s="5" t="n">
        <x:v>4</x:v>
      </x:c>
      <x:c r="F1737" s="5" t="str">
        <x:v>Focus Area</x:v>
      </x:c>
      <x:c r="G1737" s="5" t="n">
        <x:v>1</x:v>
      </x:c>
      <x:c r="H1737" s="5" t="n">
        <x:v>1</x:v>
      </x:c>
      <x:c r="I1737" s="5" t="str">
        <x:v>SPOT-it Neonatal qPCR Screening Kits</x:v>
      </x:c>
      <x:c r="J1737" s="5" t="str">
        <x:v>SOURCE QUOTE; unvalidated / superseded assessments</x:v>
      </x:c>
      <x:c r="L1737" s="31" t="str">
        <x:v>D06, Markdown line 246; http://nas-1.tail55d152.ts.net:4100/static/MEDICAL_NORDICS_FINANCIALS_DOSSIER.html</x:v>
      </x:c>
    </x:row>
    <x:row r="1738" ht="42" customHeight="1">
      <x:c r="A1738" s="5" t="str">
        <x:v>D06</x:v>
      </x:c>
      <x:c r="B1738" s="5" t="str">
        <x:v>D06-T01</x:v>
      </x:c>
      <x:c r="C1738" s="5" t="str">
        <x:v>5. Complete Company Financial Table (135 Facilities Analyzed)</x:v>
      </x:c>
      <x:c r="D1738" s="5" t="n">
        <x:v>246</x:v>
      </x:c>
      <x:c r="E1738" s="5" t="n">
        <x:v>5</x:v>
      </x:c>
      <x:c r="F1738" s="5" t="str">
        <x:v>Revenue / Net Sales</x:v>
      </x:c>
      <x:c r="G1738" s="5" t="n">
        <x:v>1</x:v>
      </x:c>
      <x:c r="H1738" s="5" t="n">
        <x:v>1</x:v>
      </x:c>
      <x:c r="I1738" s="5" t="str">
        <x:v>SEK 16.5M</x:v>
      </x:c>
      <x:c r="J1738" s="5" t="str">
        <x:v>SOURCE QUOTE; unvalidated / superseded assessments</x:v>
      </x:c>
      <x:c r="L1738" s="31" t="str">
        <x:v>D06, Markdown line 246; http://nas-1.tail55d152.ts.net:4100/static/MEDICAL_NORDICS_FINANCIALS_DOSSIER.html</x:v>
      </x:c>
    </x:row>
    <x:row r="1739" ht="42" customHeight="1">
      <x:c r="A1739" s="5" t="str">
        <x:v>D06</x:v>
      </x:c>
      <x:c r="B1739" s="5" t="str">
        <x:v>D06-T01</x:v>
      </x:c>
      <x:c r="C1739" s="5" t="str">
        <x:v>5. Complete Company Financial Table (135 Facilities Analyzed)</x:v>
      </x:c>
      <x:c r="D1739" s="5" t="n">
        <x:v>246</x:v>
      </x:c>
      <x:c r="E1739" s="5" t="n">
        <x:v>6</x:v>
      </x:c>
      <x:c r="F1739" s="5" t="str">
        <x:v>R&amp;D Spend</x:v>
      </x:c>
      <x:c r="G1739" s="5" t="n">
        <x:v>1</x:v>
      </x:c>
      <x:c r="H1739" s="5" t="n">
        <x:v>1</x:v>
      </x:c>
      <x:c r="I1739" s="5" t="str">
        <x:v>SEK 5.2M</x:v>
      </x:c>
      <x:c r="J1739" s="5" t="str">
        <x:v>SOURCE QUOTE; unvalidated / superseded assessments</x:v>
      </x:c>
      <x:c r="L1739" s="31" t="str">
        <x:v>D06, Markdown line 246; http://nas-1.tail55d152.ts.net:4100/static/MEDICAL_NORDICS_FINANCIALS_DOSSIER.html</x:v>
      </x:c>
    </x:row>
    <x:row r="1740" ht="42" customHeight="1">
      <x:c r="A1740" s="5" t="str">
        <x:v>D06</x:v>
      </x:c>
      <x:c r="B1740" s="5" t="str">
        <x:v>D06-T01</x:v>
      </x:c>
      <x:c r="C1740" s="5" t="str">
        <x:v>5. Complete Company Financial Table (135 Facilities Analyzed)</x:v>
      </x:c>
      <x:c r="D1740" s="5" t="n">
        <x:v>246</x:v>
      </x:c>
      <x:c r="E1740" s="5" t="n">
        <x:v>7</x:v>
      </x:c>
      <x:c r="F1740" s="5" t="str">
        <x:v>Currency</x:v>
      </x:c>
      <x:c r="G1740" s="5" t="n">
        <x:v>1</x:v>
      </x:c>
      <x:c r="H1740" s="5" t="n">
        <x:v>1</x:v>
      </x:c>
      <x:c r="I1740" s="5" t="str">
        <x:v>SEK</x:v>
      </x:c>
      <x:c r="J1740" s="5" t="str">
        <x:v>SOURCE QUOTE; unvalidated / superseded assessments</x:v>
      </x:c>
      <x:c r="L1740" s="31" t="str">
        <x:v>D06, Markdown line 246; http://nas-1.tail55d152.ts.net:4100/static/MEDICAL_NORDICS_FINANCIALS_DOSSIER.html</x:v>
      </x:c>
    </x:row>
    <x:row r="1741" ht="42" customHeight="1">
      <x:c r="A1741" s="5" t="str">
        <x:v>D06</x:v>
      </x:c>
      <x:c r="B1741" s="5" t="str">
        <x:v>D06-T01</x:v>
      </x:c>
      <x:c r="C1741" s="5" t="str">
        <x:v>5. Complete Company Financial Table (135 Facilities Analyzed)</x:v>
      </x:c>
      <x:c r="D1741" s="5" t="n">
        <x:v>246</x:v>
      </x:c>
      <x:c r="E1741" s="5" t="n">
        <x:v>8</x:v>
      </x:c>
      <x:c r="F1741" s="5" t="str">
        <x:v>Fiscal Year</x:v>
      </x:c>
      <x:c r="G1741" s="5" t="n">
        <x:v>1</x:v>
      </x:c>
      <x:c r="H1741" s="5" t="n">
        <x:v>1</x:v>
      </x:c>
      <x:c r="I1741" s="5" t="str">
        <x:v>FY2023/24</x:v>
      </x:c>
      <x:c r="J1741" s="5" t="str">
        <x:v>SOURCE QUOTE; unvalidated / superseded assessments</x:v>
      </x:c>
      <x:c r="L1741" s="31" t="str">
        <x:v>D06, Markdown line 246; http://nas-1.tail55d152.ts.net:4100/static/MEDICAL_NORDICS_FINANCIALS_DOSSIER.html</x:v>
      </x:c>
    </x:row>
    <x:row r="1742" ht="42" customHeight="1">
      <x:c r="A1742" s="5" t="str">
        <x:v>D06</x:v>
      </x:c>
      <x:c r="B1742" s="5" t="str">
        <x:v>D06-T01</x:v>
      </x:c>
      <x:c r="C1742" s="5" t="str">
        <x:v>5. Complete Company Financial Table (135 Facilities Analyzed)</x:v>
      </x:c>
      <x:c r="D1742" s="5" t="n">
        <x:v>246</x:v>
      </x:c>
      <x:c r="E1742" s="5" t="n">
        <x:v>9</x:v>
      </x:c>
      <x:c r="F1742" s="5" t="str">
        <x:v>Status / Ownership / Strategic Service Alignment</x:v>
      </x:c>
      <x:c r="G1742" s="5" t="n">
        <x:v>1</x:v>
      </x:c>
      <x:c r="H1742" s="5" t="n">
        <x:v>1</x:v>
      </x:c>
      <x:c r="I1742" s="5" t="str">
        <x:v>Private; Package A &amp; C (Hospital laboratory neonatal tender submission modeling)</x:v>
      </x:c>
      <x:c r="J1742" s="5" t="str">
        <x:v>SOURCE QUOTE; unvalidated / superseded assessments</x:v>
      </x:c>
      <x:c r="L1742" s="31" t="str">
        <x:v>D06, Markdown line 246; http://nas-1.tail55d152.ts.net:4100/static/MEDICAL_NORDICS_FINANCIALS_DOSSIER.html</x:v>
      </x:c>
    </x:row>
    <x:row r="1743" ht="42" customHeight="1">
      <x:c r="A1743" s="5" t="str">
        <x:v>D06</x:v>
      </x:c>
      <x:c r="B1743" s="5" t="str">
        <x:v>D06-T01</x:v>
      </x:c>
      <x:c r="C1743" s="5" t="str">
        <x:v>5. Complete Company Financial Table (135 Facilities Analyzed)</x:v>
      </x:c>
      <x:c r="D1743" s="5" t="n">
        <x:v>247</x:v>
      </x:c>
      <x:c r="E1743" s="5" t="n">
        <x:v>1</x:v>
      </x:c>
      <x:c r="F1743" s="5" t="str">
        <x:v>#</x:v>
      </x:c>
      <x:c r="G1743" s="5" t="n">
        <x:v>1</x:v>
      </x:c>
      <x:c r="H1743" s="5" t="n">
        <x:v>1</x:v>
      </x:c>
      <x:c r="I1743" s="5" t="str">
        <x:v>66</x:v>
      </x:c>
      <x:c r="J1743" s="5" t="str">
        <x:v>SOURCE QUOTE; unvalidated / superseded assessments</x:v>
      </x:c>
      <x:c r="L1743" s="31" t="str">
        <x:v>D06, Markdown line 247; http://nas-1.tail55d152.ts.net:4100/static/MEDICAL_NORDICS_FINANCIALS_DOSSIER.html</x:v>
      </x:c>
    </x:row>
    <x:row r="1744" ht="42" customHeight="1">
      <x:c r="A1744" s="5" t="str">
        <x:v>D06</x:v>
      </x:c>
      <x:c r="B1744" s="5" t="str">
        <x:v>D06-T01</x:v>
      </x:c>
      <x:c r="C1744" s="5" t="str">
        <x:v>5. Complete Company Financial Table (135 Facilities Analyzed)</x:v>
      </x:c>
      <x:c r="D1744" s="5" t="n">
        <x:v>247</x:v>
      </x:c>
      <x:c r="E1744" s="5" t="n">
        <x:v>2</x:v>
      </x:c>
      <x:c r="F1744" s="5" t="str">
        <x:v>Company</x:v>
      </x:c>
      <x:c r="G1744" s="5" t="n">
        <x:v>1</x:v>
      </x:c>
      <x:c r="H1744" s="5" t="n">
        <x:v>1</x:v>
      </x:c>
      <x:c r="I1744" s="5" t="str">
        <x:v>Anocca</x:v>
      </x:c>
      <x:c r="J1744" s="5" t="str">
        <x:v>SOURCE QUOTE; unvalidated / superseded assessments</x:v>
      </x:c>
      <x:c r="L1744" s="31" t="str">
        <x:v>D06, Markdown line 247; http://nas-1.tail55d152.ts.net:4100/static/MEDICAL_NORDICS_FINANCIALS_DOSSIER.html</x:v>
      </x:c>
    </x:row>
    <x:row r="1745" ht="42" customHeight="1">
      <x:c r="A1745" s="5" t="str">
        <x:v>D06</x:v>
      </x:c>
      <x:c r="B1745" s="5" t="str">
        <x:v>D06-T01</x:v>
      </x:c>
      <x:c r="C1745" s="5" t="str">
        <x:v>5. Complete Company Financial Table (135 Facilities Analyzed)</x:v>
      </x:c>
      <x:c r="D1745" s="5" t="n">
        <x:v>247</x:v>
      </x:c>
      <x:c r="E1745" s="5" t="n">
        <x:v>3</x:v>
      </x:c>
      <x:c r="F1745" s="5" t="str">
        <x:v>Location</x:v>
      </x:c>
      <x:c r="G1745" s="5" t="n">
        <x:v>1</x:v>
      </x:c>
      <x:c r="H1745" s="5" t="n">
        <x:v>1</x:v>
      </x:c>
      <x:c r="I1745" s="5" t="str">
        <x:v>Södertälje, Sweden</x:v>
      </x:c>
      <x:c r="J1745" s="5" t="str">
        <x:v>SOURCE QUOTE; unvalidated / superseded assessments</x:v>
      </x:c>
      <x:c r="L1745" s="31" t="str">
        <x:v>D06, Markdown line 247; http://nas-1.tail55d152.ts.net:4100/static/MEDICAL_NORDICS_FINANCIALS_DOSSIER.html</x:v>
      </x:c>
    </x:row>
    <x:row r="1746" ht="42" customHeight="1">
      <x:c r="A1746" s="5" t="str">
        <x:v>D06</x:v>
      </x:c>
      <x:c r="B1746" s="5" t="str">
        <x:v>D06-T01</x:v>
      </x:c>
      <x:c r="C1746" s="5" t="str">
        <x:v>5. Complete Company Financial Table (135 Facilities Analyzed)</x:v>
      </x:c>
      <x:c r="D1746" s="5" t="n">
        <x:v>247</x:v>
      </x:c>
      <x:c r="E1746" s="5" t="n">
        <x:v>4</x:v>
      </x:c>
      <x:c r="F1746" s="5" t="str">
        <x:v>Focus Area</x:v>
      </x:c>
      <x:c r="G1746" s="5" t="n">
        <x:v>1</x:v>
      </x:c>
      <x:c r="H1746" s="5" t="n">
        <x:v>1</x:v>
      </x:c>
      <x:c r="I1746" s="5" t="str">
        <x:v>TCR Cellular Immunotherapy</x:v>
      </x:c>
      <x:c r="J1746" s="5" t="str">
        <x:v>SOURCE QUOTE; unvalidated / superseded assessments</x:v>
      </x:c>
      <x:c r="L1746" s="31" t="str">
        <x:v>D06, Markdown line 247; http://nas-1.tail55d152.ts.net:4100/static/MEDICAL_NORDICS_FINANCIALS_DOSSIER.html</x:v>
      </x:c>
    </x:row>
    <x:row r="1747" ht="42" customHeight="1">
      <x:c r="A1747" s="5" t="str">
        <x:v>D06</x:v>
      </x:c>
      <x:c r="B1747" s="5" t="str">
        <x:v>D06-T01</x:v>
      </x:c>
      <x:c r="C1747" s="5" t="str">
        <x:v>5. Complete Company Financial Table (135 Facilities Analyzed)</x:v>
      </x:c>
      <x:c r="D1747" s="5" t="n">
        <x:v>247</x:v>
      </x:c>
      <x:c r="E1747" s="5" t="n">
        <x:v>5</x:v>
      </x:c>
      <x:c r="F1747" s="5" t="str">
        <x:v>Revenue / Net Sales</x:v>
      </x:c>
      <x:c r="G1747" s="5" t="n">
        <x:v>1</x:v>
      </x:c>
      <x:c r="H1747" s="5" t="n">
        <x:v>1</x:v>
      </x:c>
      <x:c r="I1747" s="5" t="str">
        <x:v>SEK 0M (Clinical stage)</x:v>
      </x:c>
      <x:c r="J1747" s="5" t="str">
        <x:v>SOURCE QUOTE; unvalidated / superseded assessments</x:v>
      </x:c>
      <x:c r="L1747" s="31" t="str">
        <x:v>D06, Markdown line 247; http://nas-1.tail55d152.ts.net:4100/static/MEDICAL_NORDICS_FINANCIALS_DOSSIER.html</x:v>
      </x:c>
    </x:row>
    <x:row r="1748" ht="42" customHeight="1">
      <x:c r="A1748" s="5" t="str">
        <x:v>D06</x:v>
      </x:c>
      <x:c r="B1748" s="5" t="str">
        <x:v>D06-T01</x:v>
      </x:c>
      <x:c r="C1748" s="5" t="str">
        <x:v>5. Complete Company Financial Table (135 Facilities Analyzed)</x:v>
      </x:c>
      <x:c r="D1748" s="5" t="n">
        <x:v>247</x:v>
      </x:c>
      <x:c r="E1748" s="5" t="n">
        <x:v>6</x:v>
      </x:c>
      <x:c r="F1748" s="5" t="str">
        <x:v>R&amp;D Spend</x:v>
      </x:c>
      <x:c r="G1748" s="5" t="n">
        <x:v>1</x:v>
      </x:c>
      <x:c r="H1748" s="5" t="n">
        <x:v>1</x:v>
      </x:c>
      <x:c r="I1748" s="5" t="str">
        <x:v>SEK 195.0M est.</x:v>
      </x:c>
      <x:c r="J1748" s="5" t="str">
        <x:v>SOURCE QUOTE; unvalidated / superseded assessments</x:v>
      </x:c>
      <x:c r="L1748" s="31" t="str">
        <x:v>D06, Markdown line 247; http://nas-1.tail55d152.ts.net:4100/static/MEDICAL_NORDICS_FINANCIALS_DOSSIER.html</x:v>
      </x:c>
    </x:row>
    <x:row r="1749" ht="42" customHeight="1">
      <x:c r="A1749" s="5" t="str">
        <x:v>D06</x:v>
      </x:c>
      <x:c r="B1749" s="5" t="str">
        <x:v>D06-T01</x:v>
      </x:c>
      <x:c r="C1749" s="5" t="str">
        <x:v>5. Complete Company Financial Table (135 Facilities Analyzed)</x:v>
      </x:c>
      <x:c r="D1749" s="5" t="n">
        <x:v>247</x:v>
      </x:c>
      <x:c r="E1749" s="5" t="n">
        <x:v>7</x:v>
      </x:c>
      <x:c r="F1749" s="5" t="str">
        <x:v>Currency</x:v>
      </x:c>
      <x:c r="G1749" s="5" t="n">
        <x:v>1</x:v>
      </x:c>
      <x:c r="H1749" s="5" t="n">
        <x:v>1</x:v>
      </x:c>
      <x:c r="I1749" s="5" t="str">
        <x:v>SEK</x:v>
      </x:c>
      <x:c r="J1749" s="5" t="str">
        <x:v>SOURCE QUOTE; unvalidated / superseded assessments</x:v>
      </x:c>
      <x:c r="L1749" s="31" t="str">
        <x:v>D06, Markdown line 247; http://nas-1.tail55d152.ts.net:4100/static/MEDICAL_NORDICS_FINANCIALS_DOSSIER.html</x:v>
      </x:c>
    </x:row>
    <x:row r="1750" ht="42" customHeight="1">
      <x:c r="A1750" s="5" t="str">
        <x:v>D06</x:v>
      </x:c>
      <x:c r="B1750" s="5" t="str">
        <x:v>D06-T01</x:v>
      </x:c>
      <x:c r="C1750" s="5" t="str">
        <x:v>5. Complete Company Financial Table (135 Facilities Analyzed)</x:v>
      </x:c>
      <x:c r="D1750" s="5" t="n">
        <x:v>247</x:v>
      </x:c>
      <x:c r="E1750" s="5" t="n">
        <x:v>8</x:v>
      </x:c>
      <x:c r="F1750" s="5" t="str">
        <x:v>Fiscal Year</x:v>
      </x:c>
      <x:c r="G1750" s="5" t="n">
        <x:v>1</x:v>
      </x:c>
      <x:c r="H1750" s="5" t="n">
        <x:v>1</x:v>
      </x:c>
      <x:c r="I1750" s="5" t="str">
        <x:v>FY2023/24</x:v>
      </x:c>
      <x:c r="J1750" s="5" t="str">
        <x:v>SOURCE QUOTE; unvalidated / superseded assessments</x:v>
      </x:c>
      <x:c r="L1750" s="31" t="str">
        <x:v>D06, Markdown line 247; http://nas-1.tail55d152.ts.net:4100/static/MEDICAL_NORDICS_FINANCIALS_DOSSIER.html</x:v>
      </x:c>
    </x:row>
    <x:row r="1751" ht="42" customHeight="1">
      <x:c r="A1751" s="5" t="str">
        <x:v>D06</x:v>
      </x:c>
      <x:c r="B1751" s="5" t="str">
        <x:v>D06-T01</x:v>
      </x:c>
      <x:c r="C1751" s="5" t="str">
        <x:v>5. Complete Company Financial Table (135 Facilities Analyzed)</x:v>
      </x:c>
      <x:c r="D1751" s="5" t="n">
        <x:v>247</x:v>
      </x:c>
      <x:c r="E1751" s="5" t="n">
        <x:v>9</x:v>
      </x:c>
      <x:c r="F1751" s="5" t="str">
        <x:v>Status / Ownership / Strategic Service Alignment</x:v>
      </x:c>
      <x:c r="G1751" s="5" t="n">
        <x:v>1</x:v>
      </x:c>
      <x:c r="H1751" s="5" t="n">
        <x:v>1</x:v>
      </x:c>
      <x:c r="I1751" s="5" t="str">
        <x:v>Private (SEK 440M funding); Package B &amp; E (High-throughput library clinical data engine)</x:v>
      </x:c>
      <x:c r="J1751" s="5" t="str">
        <x:v>SOURCE QUOTE; unvalidated / superseded assessments</x:v>
      </x:c>
      <x:c r="L1751" s="31" t="str">
        <x:v>D06, Markdown line 247; http://nas-1.tail55d152.ts.net:4100/static/MEDICAL_NORDICS_FINANCIALS_DOSSIER.html</x:v>
      </x:c>
    </x:row>
    <x:row r="1752" ht="42" customHeight="1">
      <x:c r="A1752" s="5" t="str">
        <x:v>D06</x:v>
      </x:c>
      <x:c r="B1752" s="5" t="str">
        <x:v>D06-T01</x:v>
      </x:c>
      <x:c r="C1752" s="5" t="str">
        <x:v>5. Complete Company Financial Table (135 Facilities Analyzed)</x:v>
      </x:c>
      <x:c r="D1752" s="5" t="n">
        <x:v>248</x:v>
      </x:c>
      <x:c r="E1752" s="5" t="n">
        <x:v>1</x:v>
      </x:c>
      <x:c r="F1752" s="5" t="str">
        <x:v>#</x:v>
      </x:c>
      <x:c r="G1752" s="5" t="n">
        <x:v>1</x:v>
      </x:c>
      <x:c r="H1752" s="5" t="n">
        <x:v>1</x:v>
      </x:c>
      <x:c r="I1752" s="5" t="str">
        <x:v>67</x:v>
      </x:c>
      <x:c r="J1752" s="5" t="str">
        <x:v>SOURCE QUOTE; unvalidated / superseded assessments</x:v>
      </x:c>
      <x:c r="L1752" s="31" t="str">
        <x:v>D06, Markdown line 248; http://nas-1.tail55d152.ts.net:4100/static/MEDICAL_NORDICS_FINANCIALS_DOSSIER.html</x:v>
      </x:c>
    </x:row>
    <x:row r="1753" ht="42" customHeight="1">
      <x:c r="A1753" s="5" t="str">
        <x:v>D06</x:v>
      </x:c>
      <x:c r="B1753" s="5" t="str">
        <x:v>D06-T01</x:v>
      </x:c>
      <x:c r="C1753" s="5" t="str">
        <x:v>5. Complete Company Financial Table (135 Facilities Analyzed)</x:v>
      </x:c>
      <x:c r="D1753" s="5" t="n">
        <x:v>248</x:v>
      </x:c>
      <x:c r="E1753" s="5" t="n">
        <x:v>2</x:v>
      </x:c>
      <x:c r="F1753" s="5" t="str">
        <x:v>Company</x:v>
      </x:c>
      <x:c r="G1753" s="5" t="n">
        <x:v>1</x:v>
      </x:c>
      <x:c r="H1753" s="5" t="n">
        <x:v>1</x:v>
      </x:c>
      <x:c r="I1753" s="5" t="str">
        <x:v>AstraZeneca</x:v>
      </x:c>
      <x:c r="J1753" s="5" t="str">
        <x:v>SOURCE QUOTE; unvalidated / superseded assessments</x:v>
      </x:c>
      <x:c r="L1753" s="31" t="str">
        <x:v>D06, Markdown line 248; http://nas-1.tail55d152.ts.net:4100/static/MEDICAL_NORDICS_FINANCIALS_DOSSIER.html</x:v>
      </x:c>
    </x:row>
    <x:row r="1754" ht="42" customHeight="1">
      <x:c r="A1754" s="5" t="str">
        <x:v>D06</x:v>
      </x:c>
      <x:c r="B1754" s="5" t="str">
        <x:v>D06-T01</x:v>
      </x:c>
      <x:c r="C1754" s="5" t="str">
        <x:v>5. Complete Company Financial Table (135 Facilities Analyzed)</x:v>
      </x:c>
      <x:c r="D1754" s="5" t="n">
        <x:v>248</x:v>
      </x:c>
      <x:c r="E1754" s="5" t="n">
        <x:v>3</x:v>
      </x:c>
      <x:c r="F1754" s="5" t="str">
        <x:v>Location</x:v>
      </x:c>
      <x:c r="G1754" s="5" t="n">
        <x:v>1</x:v>
      </x:c>
      <x:c r="H1754" s="5" t="n">
        <x:v>1</x:v>
      </x:c>
      <x:c r="I1754" s="5" t="str">
        <x:v>Södertälje, Sweden</x:v>
      </x:c>
      <x:c r="J1754" s="5" t="str">
        <x:v>SOURCE QUOTE; unvalidated / superseded assessments</x:v>
      </x:c>
      <x:c r="L1754" s="31" t="str">
        <x:v>D06, Markdown line 248; http://nas-1.tail55d152.ts.net:4100/static/MEDICAL_NORDICS_FINANCIALS_DOSSIER.html</x:v>
      </x:c>
    </x:row>
    <x:row r="1755" ht="42" customHeight="1">
      <x:c r="A1755" s="5" t="str">
        <x:v>D06</x:v>
      </x:c>
      <x:c r="B1755" s="5" t="str">
        <x:v>D06-T01</x:v>
      </x:c>
      <x:c r="C1755" s="5" t="str">
        <x:v>5. Complete Company Financial Table (135 Facilities Analyzed)</x:v>
      </x:c>
      <x:c r="D1755" s="5" t="n">
        <x:v>248</x:v>
      </x:c>
      <x:c r="E1755" s="5" t="n">
        <x:v>4</x:v>
      </x:c>
      <x:c r="F1755" s="5" t="str">
        <x:v>Focus Area</x:v>
      </x:c>
      <x:c r="G1755" s="5" t="n">
        <x:v>1</x:v>
      </x:c>
      <x:c r="H1755" s="5" t="n">
        <x:v>1</x:v>
      </x:c>
      <x:c r="I1755" s="5" t="str">
        <x:v>Global Supply &amp; Manufacturing Plant</x:v>
      </x:c>
      <x:c r="J1755" s="5" t="str">
        <x:v>SOURCE QUOTE; unvalidated / superseded assessments</x:v>
      </x:c>
      <x:c r="L1755" s="31" t="str">
        <x:v>D06, Markdown line 248; http://nas-1.tail55d152.ts.net:4100/static/MEDICAL_NORDICS_FINANCIALS_DOSSIER.html</x:v>
      </x:c>
    </x:row>
    <x:row r="1756" ht="42" customHeight="1">
      <x:c r="A1756" s="5" t="str">
        <x:v>D06</x:v>
      </x:c>
      <x:c r="B1756" s="5" t="str">
        <x:v>D06-T01</x:v>
      </x:c>
      <x:c r="C1756" s="5" t="str">
        <x:v>5. Complete Company Financial Table (135 Facilities Analyzed)</x:v>
      </x:c>
      <x:c r="D1756" s="5" t="n">
        <x:v>248</x:v>
      </x:c>
      <x:c r="E1756" s="5" t="n">
        <x:v>5</x:v>
      </x:c>
      <x:c r="F1756" s="5" t="str">
        <x:v>Revenue / Net Sales</x:v>
      </x:c>
      <x:c r="G1756" s="5" t="n">
        <x:v>1</x:v>
      </x:c>
      <x:c r="H1756" s="5" t="n">
        <x:v>1</x:v>
      </x:c>
      <x:c r="I1756" s="5" t="str">
        <x:v>USD 54,100.0M ($54.1B)</x:v>
      </x:c>
      <x:c r="J1756" s="5" t="str">
        <x:v>SOURCE QUOTE; unvalidated / superseded assessments</x:v>
      </x:c>
      <x:c r="L1756" s="31" t="str">
        <x:v>D06, Markdown line 248; http://nas-1.tail55d152.ts.net:4100/static/MEDICAL_NORDICS_FINANCIALS_DOSSIER.html</x:v>
      </x:c>
    </x:row>
    <x:row r="1757" ht="42" customHeight="1">
      <x:c r="A1757" s="5" t="str">
        <x:v>D06</x:v>
      </x:c>
      <x:c r="B1757" s="5" t="str">
        <x:v>D06-T01</x:v>
      </x:c>
      <x:c r="C1757" s="5" t="str">
        <x:v>5. Complete Company Financial Table (135 Facilities Analyzed)</x:v>
      </x:c>
      <x:c r="D1757" s="5" t="n">
        <x:v>248</x:v>
      </x:c>
      <x:c r="E1757" s="5" t="n">
        <x:v>6</x:v>
      </x:c>
      <x:c r="F1757" s="5" t="str">
        <x:v>R&amp;D Spend</x:v>
      </x:c>
      <x:c r="G1757" s="5" t="n">
        <x:v>1</x:v>
      </x:c>
      <x:c r="H1757" s="5" t="n">
        <x:v>1</x:v>
      </x:c>
      <x:c r="I1757" s="5" t="str">
        <x:v>USD 13,600.0M ($13.6B)</x:v>
      </x:c>
      <x:c r="J1757" s="5" t="str">
        <x:v>SOURCE QUOTE; unvalidated / superseded assessments</x:v>
      </x:c>
      <x:c r="L1757" s="31" t="str">
        <x:v>D06, Markdown line 248; http://nas-1.tail55d152.ts.net:4100/static/MEDICAL_NORDICS_FINANCIALS_DOSSIER.html</x:v>
      </x:c>
    </x:row>
    <x:row r="1758" ht="42" customHeight="1">
      <x:c r="A1758" s="5" t="str">
        <x:v>D06</x:v>
      </x:c>
      <x:c r="B1758" s="5" t="str">
        <x:v>D06-T01</x:v>
      </x:c>
      <x:c r="C1758" s="5" t="str">
        <x:v>5. Complete Company Financial Table (135 Facilities Analyzed)</x:v>
      </x:c>
      <x:c r="D1758" s="5" t="n">
        <x:v>248</x:v>
      </x:c>
      <x:c r="E1758" s="5" t="n">
        <x:v>7</x:v>
      </x:c>
      <x:c r="F1758" s="5" t="str">
        <x:v>Currency</x:v>
      </x:c>
      <x:c r="G1758" s="5" t="n">
        <x:v>1</x:v>
      </x:c>
      <x:c r="H1758" s="5" t="n">
        <x:v>1</x:v>
      </x:c>
      <x:c r="I1758" s="5" t="str">
        <x:v>USD</x:v>
      </x:c>
      <x:c r="J1758" s="5" t="str">
        <x:v>SOURCE QUOTE; unvalidated / superseded assessments</x:v>
      </x:c>
      <x:c r="L1758" s="31" t="str">
        <x:v>D06, Markdown line 248; http://nas-1.tail55d152.ts.net:4100/static/MEDICAL_NORDICS_FINANCIALS_DOSSIER.html</x:v>
      </x:c>
    </x:row>
    <x:row r="1759" ht="42" customHeight="1">
      <x:c r="A1759" s="5" t="str">
        <x:v>D06</x:v>
      </x:c>
      <x:c r="B1759" s="5" t="str">
        <x:v>D06-T01</x:v>
      </x:c>
      <x:c r="C1759" s="5" t="str">
        <x:v>5. Complete Company Financial Table (135 Facilities Analyzed)</x:v>
      </x:c>
      <x:c r="D1759" s="5" t="n">
        <x:v>248</x:v>
      </x:c>
      <x:c r="E1759" s="5" t="n">
        <x:v>8</x:v>
      </x:c>
      <x:c r="F1759" s="5" t="str">
        <x:v>Fiscal Year</x:v>
      </x:c>
      <x:c r="G1759" s="5" t="n">
        <x:v>1</x:v>
      </x:c>
      <x:c r="H1759" s="5" t="n">
        <x:v>1</x:v>
      </x:c>
      <x:c r="I1759" s="5" t="str">
        <x:v>FY2024</x:v>
      </x:c>
      <x:c r="J1759" s="5" t="str">
        <x:v>SOURCE QUOTE; unvalidated / superseded assessments</x:v>
      </x:c>
      <x:c r="L1759" s="31" t="str">
        <x:v>D06, Markdown line 248; http://nas-1.tail55d152.ts.net:4100/static/MEDICAL_NORDICS_FINANCIALS_DOSSIER.html</x:v>
      </x:c>
    </x:row>
    <x:row r="1760" ht="42" customHeight="1">
      <x:c r="A1760" s="5" t="str">
        <x:v>D06</x:v>
      </x:c>
      <x:c r="B1760" s="5" t="str">
        <x:v>D06-T01</x:v>
      </x:c>
      <x:c r="C1760" s="5" t="str">
        <x:v>5. Complete Company Financial Table (135 Facilities Analyzed)</x:v>
      </x:c>
      <x:c r="D1760" s="5" t="n">
        <x:v>248</x:v>
      </x:c>
      <x:c r="E1760" s="5" t="n">
        <x:v>9</x:v>
      </x:c>
      <x:c r="F1760" s="5" t="str">
        <x:v>Status / Ownership / Strategic Service Alignment</x:v>
      </x:c>
      <x:c r="G1760" s="5" t="n">
        <x:v>1</x:v>
      </x:c>
      <x:c r="H1760" s="5" t="n">
        <x:v>1</x:v>
      </x:c>
      <x:c r="I1760" s="5" t="str">
        <x:v>AZN flagship; Package D (Packaging line automation &amp; high-volume release analytics)</x:v>
      </x:c>
      <x:c r="J1760" s="5" t="str">
        <x:v>SOURCE QUOTE; unvalidated / superseded assessments</x:v>
      </x:c>
      <x:c r="L1760" s="31" t="str">
        <x:v>D06, Markdown line 248; http://nas-1.tail55d152.ts.net:4100/static/MEDICAL_NORDICS_FINANCIALS_DOSSIER.html</x:v>
      </x:c>
    </x:row>
    <x:row r="1761" ht="42" customHeight="1">
      <x:c r="A1761" s="5" t="str">
        <x:v>D06</x:v>
      </x:c>
      <x:c r="B1761" s="5" t="str">
        <x:v>D06-T01</x:v>
      </x:c>
      <x:c r="C1761" s="5" t="str">
        <x:v>5. Complete Company Financial Table (135 Facilities Analyzed)</x:v>
      </x:c>
      <x:c r="D1761" s="5" t="n">
        <x:v>249</x:v>
      </x:c>
      <x:c r="E1761" s="5" t="n">
        <x:v>1</x:v>
      </x:c>
      <x:c r="F1761" s="5" t="str">
        <x:v>#</x:v>
      </x:c>
      <x:c r="G1761" s="5" t="n">
        <x:v>1</x:v>
      </x:c>
      <x:c r="H1761" s="5" t="n">
        <x:v>1</x:v>
      </x:c>
      <x:c r="I1761" s="5" t="str">
        <x:v>68</x:v>
      </x:c>
      <x:c r="J1761" s="5" t="str">
        <x:v>SOURCE QUOTE; unvalidated / superseded assessments</x:v>
      </x:c>
      <x:c r="L1761" s="31" t="str">
        <x:v>D06, Markdown line 249; http://nas-1.tail55d152.ts.net:4100/static/MEDICAL_NORDICS_FINANCIALS_DOSSIER.html</x:v>
      </x:c>
    </x:row>
    <x:row r="1762" ht="42" customHeight="1">
      <x:c r="A1762" s="5" t="str">
        <x:v>D06</x:v>
      </x:c>
      <x:c r="B1762" s="5" t="str">
        <x:v>D06-T01</x:v>
      </x:c>
      <x:c r="C1762" s="5" t="str">
        <x:v>5. Complete Company Financial Table (135 Facilities Analyzed)</x:v>
      </x:c>
      <x:c r="D1762" s="5" t="n">
        <x:v>249</x:v>
      </x:c>
      <x:c r="E1762" s="5" t="n">
        <x:v>2</x:v>
      </x:c>
      <x:c r="F1762" s="5" t="str">
        <x:v>Company</x:v>
      </x:c>
      <x:c r="G1762" s="5" t="n">
        <x:v>1</x:v>
      </x:c>
      <x:c r="H1762" s="5" t="n">
        <x:v>1</x:v>
      </x:c>
      <x:c r="I1762" s="5" t="str">
        <x:v>Nanologica</x:v>
      </x:c>
      <x:c r="J1762" s="5" t="str">
        <x:v>SOURCE QUOTE; unvalidated / superseded assessments</x:v>
      </x:c>
      <x:c r="L1762" s="31" t="str">
        <x:v>D06, Markdown line 249; http://nas-1.tail55d152.ts.net:4100/static/MEDICAL_NORDICS_FINANCIALS_DOSSIER.html</x:v>
      </x:c>
    </x:row>
    <x:row r="1763" ht="42" customHeight="1">
      <x:c r="A1763" s="5" t="str">
        <x:v>D06</x:v>
      </x:c>
      <x:c r="B1763" s="5" t="str">
        <x:v>D06-T01</x:v>
      </x:c>
      <x:c r="C1763" s="5" t="str">
        <x:v>5. Complete Company Financial Table (135 Facilities Analyzed)</x:v>
      </x:c>
      <x:c r="D1763" s="5" t="n">
        <x:v>249</x:v>
      </x:c>
      <x:c r="E1763" s="5" t="n">
        <x:v>3</x:v>
      </x:c>
      <x:c r="F1763" s="5" t="str">
        <x:v>Location</x:v>
      </x:c>
      <x:c r="G1763" s="5" t="n">
        <x:v>1</x:v>
      </x:c>
      <x:c r="H1763" s="5" t="n">
        <x:v>1</x:v>
      </x:c>
      <x:c r="I1763" s="5" t="str">
        <x:v>Södertälje, Sweden</x:v>
      </x:c>
      <x:c r="J1763" s="5" t="str">
        <x:v>SOURCE QUOTE; unvalidated / superseded assessments</x:v>
      </x:c>
      <x:c r="L1763" s="31" t="str">
        <x:v>D06, Markdown line 249; http://nas-1.tail55d152.ts.net:4100/static/MEDICAL_NORDICS_FINANCIALS_DOSSIER.html</x:v>
      </x:c>
    </x:row>
    <x:row r="1764" ht="42" customHeight="1">
      <x:c r="A1764" s="5" t="str">
        <x:v>D06</x:v>
      </x:c>
      <x:c r="B1764" s="5" t="str">
        <x:v>D06-T01</x:v>
      </x:c>
      <x:c r="C1764" s="5" t="str">
        <x:v>5. Complete Company Financial Table (135 Facilities Analyzed)</x:v>
      </x:c>
      <x:c r="D1764" s="5" t="n">
        <x:v>249</x:v>
      </x:c>
      <x:c r="E1764" s="5" t="n">
        <x:v>4</x:v>
      </x:c>
      <x:c r="F1764" s="5" t="str">
        <x:v>Focus Area</x:v>
      </x:c>
      <x:c r="G1764" s="5" t="n">
        <x:v>1</x:v>
      </x:c>
      <x:c r="H1764" s="5" t="n">
        <x:v>1</x:v>
      </x:c>
      <x:c r="I1764" s="5" t="str">
        <x:v>Nanoporous Silica Chromatography</x:v>
      </x:c>
      <x:c r="J1764" s="5" t="str">
        <x:v>SOURCE QUOTE; unvalidated / superseded assessments</x:v>
      </x:c>
      <x:c r="L1764" s="31" t="str">
        <x:v>D06, Markdown line 249; http://nas-1.tail55d152.ts.net:4100/static/MEDICAL_NORDICS_FINANCIALS_DOSSIER.html</x:v>
      </x:c>
    </x:row>
    <x:row r="1765" ht="42" customHeight="1">
      <x:c r="A1765" s="5" t="str">
        <x:v>D06</x:v>
      </x:c>
      <x:c r="B1765" s="5" t="str">
        <x:v>D06-T01</x:v>
      </x:c>
      <x:c r="C1765" s="5" t="str">
        <x:v>5. Complete Company Financial Table (135 Facilities Analyzed)</x:v>
      </x:c>
      <x:c r="D1765" s="5" t="n">
        <x:v>249</x:v>
      </x:c>
      <x:c r="E1765" s="5" t="n">
        <x:v>5</x:v>
      </x:c>
      <x:c r="F1765" s="5" t="str">
        <x:v>Revenue / Net Sales</x:v>
      </x:c>
      <x:c r="G1765" s="5" t="n">
        <x:v>1</x:v>
      </x:c>
      <x:c r="H1765" s="5" t="n">
        <x:v>1</x:v>
      </x:c>
      <x:c r="I1765" s="5" t="str">
        <x:v>SEK 14.54M</x:v>
      </x:c>
      <x:c r="J1765" s="5" t="str">
        <x:v>SOURCE QUOTE; unvalidated / superseded assessments</x:v>
      </x:c>
      <x:c r="L1765" s="31" t="str">
        <x:v>D06, Markdown line 249; http://nas-1.tail55d152.ts.net:4100/static/MEDICAL_NORDICS_FINANCIALS_DOSSIER.html</x:v>
      </x:c>
    </x:row>
    <x:row r="1766" ht="42" customHeight="1">
      <x:c r="A1766" s="5" t="str">
        <x:v>D06</x:v>
      </x:c>
      <x:c r="B1766" s="5" t="str">
        <x:v>D06-T01</x:v>
      </x:c>
      <x:c r="C1766" s="5" t="str">
        <x:v>5. Complete Company Financial Table (135 Facilities Analyzed)</x:v>
      </x:c>
      <x:c r="D1766" s="5" t="n">
        <x:v>249</x:v>
      </x:c>
      <x:c r="E1766" s="5" t="n">
        <x:v>6</x:v>
      </x:c>
      <x:c r="F1766" s="5" t="str">
        <x:v>R&amp;D Spend</x:v>
      </x:c>
      <x:c r="G1766" s="5" t="n">
        <x:v>1</x:v>
      </x:c>
      <x:c r="H1766" s="5" t="n">
        <x:v>1</x:v>
      </x:c>
      <x:c r="I1766" s="5" t="str">
        <x:v>SEK 28.2M</x:v>
      </x:c>
      <x:c r="J1766" s="5" t="str">
        <x:v>SOURCE QUOTE; unvalidated / superseded assessments</x:v>
      </x:c>
      <x:c r="L1766" s="31" t="str">
        <x:v>D06, Markdown line 249; http://nas-1.tail55d152.ts.net:4100/static/MEDICAL_NORDICS_FINANCIALS_DOSSIER.html</x:v>
      </x:c>
    </x:row>
    <x:row r="1767" ht="42" customHeight="1">
      <x:c r="A1767" s="5" t="str">
        <x:v>D06</x:v>
      </x:c>
      <x:c r="B1767" s="5" t="str">
        <x:v>D06-T01</x:v>
      </x:c>
      <x:c r="C1767" s="5" t="str">
        <x:v>5. Complete Company Financial Table (135 Facilities Analyzed)</x:v>
      </x:c>
      <x:c r="D1767" s="5" t="n">
        <x:v>249</x:v>
      </x:c>
      <x:c r="E1767" s="5" t="n">
        <x:v>7</x:v>
      </x:c>
      <x:c r="F1767" s="5" t="str">
        <x:v>Currency</x:v>
      </x:c>
      <x:c r="G1767" s="5" t="n">
        <x:v>1</x:v>
      </x:c>
      <x:c r="H1767" s="5" t="n">
        <x:v>1</x:v>
      </x:c>
      <x:c r="I1767" s="5" t="str">
        <x:v>SEK</x:v>
      </x:c>
      <x:c r="J1767" s="5" t="str">
        <x:v>SOURCE QUOTE; unvalidated / superseded assessments</x:v>
      </x:c>
      <x:c r="L1767" s="31" t="str">
        <x:v>D06, Markdown line 249; http://nas-1.tail55d152.ts.net:4100/static/MEDICAL_NORDICS_FINANCIALS_DOSSIER.html</x:v>
      </x:c>
    </x:row>
    <x:row r="1768" ht="42" customHeight="1">
      <x:c r="A1768" s="5" t="str">
        <x:v>D06</x:v>
      </x:c>
      <x:c r="B1768" s="5" t="str">
        <x:v>D06-T01</x:v>
      </x:c>
      <x:c r="C1768" s="5" t="str">
        <x:v>5. Complete Company Financial Table (135 Facilities Analyzed)</x:v>
      </x:c>
      <x:c r="D1768" s="5" t="n">
        <x:v>249</x:v>
      </x:c>
      <x:c r="E1768" s="5" t="n">
        <x:v>8</x:v>
      </x:c>
      <x:c r="F1768" s="5" t="str">
        <x:v>Fiscal Year</x:v>
      </x:c>
      <x:c r="G1768" s="5" t="n">
        <x:v>1</x:v>
      </x:c>
      <x:c r="H1768" s="5" t="n">
        <x:v>1</x:v>
      </x:c>
      <x:c r="I1768" s="5" t="str">
        <x:v>FY2024</x:v>
      </x:c>
      <x:c r="J1768" s="5" t="str">
        <x:v>SOURCE QUOTE; unvalidated / superseded assessments</x:v>
      </x:c>
      <x:c r="L1768" s="31" t="str">
        <x:v>D06, Markdown line 249; http://nas-1.tail55d152.ts.net:4100/static/MEDICAL_NORDICS_FINANCIALS_DOSSIER.html</x:v>
      </x:c>
    </x:row>
    <x:row r="1769" ht="42" customHeight="1">
      <x:c r="A1769" s="5" t="str">
        <x:v>D06</x:v>
      </x:c>
      <x:c r="B1769" s="5" t="str">
        <x:v>D06-T01</x:v>
      </x:c>
      <x:c r="C1769" s="5" t="str">
        <x:v>5. Complete Company Financial Table (135 Facilities Analyzed)</x:v>
      </x:c>
      <x:c r="D1769" s="5" t="n">
        <x:v>249</x:v>
      </x:c>
      <x:c r="E1769" s="5" t="n">
        <x:v>9</x:v>
      </x:c>
      <x:c r="F1769" s="5" t="str">
        <x:v>Status / Ownership / Strategic Service Alignment</x:v>
      </x:c>
      <x:c r="G1769" s="5" t="n">
        <x:v>1</x:v>
      </x:c>
      <x:c r="H1769" s="5" t="n">
        <x:v>1</x:v>
      </x:c>
      <x:c r="I1769" s="5" t="str">
        <x:v>Listed (Nasdaq: NICA); Package D (Insulin preparative purification yield modeling)</x:v>
      </x:c>
      <x:c r="J1769" s="5" t="str">
        <x:v>SOURCE QUOTE; unvalidated / superseded assessments</x:v>
      </x:c>
      <x:c r="L1769" s="31" t="str">
        <x:v>D06, Markdown line 249; http://nas-1.tail55d152.ts.net:4100/static/MEDICAL_NORDICS_FINANCIALS_DOSSIER.html</x:v>
      </x:c>
    </x:row>
    <x:row r="1770" ht="42" customHeight="1">
      <x:c r="A1770" s="5" t="str">
        <x:v>D06</x:v>
      </x:c>
      <x:c r="B1770" s="5" t="str">
        <x:v>D06-T01</x:v>
      </x:c>
      <x:c r="C1770" s="5" t="str">
        <x:v>5. Complete Company Financial Table (135 Facilities Analyzed)</x:v>
      </x:c>
      <x:c r="D1770" s="5" t="n">
        <x:v>250</x:v>
      </x:c>
      <x:c r="E1770" s="5" t="n">
        <x:v>1</x:v>
      </x:c>
      <x:c r="F1770" s="5" t="str">
        <x:v>#</x:v>
      </x:c>
      <x:c r="G1770" s="5" t="n">
        <x:v>1</x:v>
      </x:c>
      <x:c r="H1770" s="5" t="n">
        <x:v>1</x:v>
      </x:c>
      <x:c r="I1770" s="5" t="str">
        <x:v>69</x:v>
      </x:c>
      <x:c r="J1770" s="5" t="str">
        <x:v>SOURCE QUOTE; unvalidated / superseded assessments</x:v>
      </x:c>
      <x:c r="L1770" s="31" t="str">
        <x:v>D06, Markdown line 250; http://nas-1.tail55d152.ts.net:4100/static/MEDICAL_NORDICS_FINANCIALS_DOSSIER.html</x:v>
      </x:c>
    </x:row>
    <x:row r="1771" ht="42" customHeight="1">
      <x:c r="A1771" s="5" t="str">
        <x:v>D06</x:v>
      </x:c>
      <x:c r="B1771" s="5" t="str">
        <x:v>D06-T01</x:v>
      </x:c>
      <x:c r="C1771" s="5" t="str">
        <x:v>5. Complete Company Financial Table (135 Facilities Analyzed)</x:v>
      </x:c>
      <x:c r="D1771" s="5" t="n">
        <x:v>250</x:v>
      </x:c>
      <x:c r="E1771" s="5" t="n">
        <x:v>2</x:v>
      </x:c>
      <x:c r="F1771" s="5" t="str">
        <x:v>Company</x:v>
      </x:c>
      <x:c r="G1771" s="5" t="n">
        <x:v>1</x:v>
      </x:c>
      <x:c r="H1771" s="5" t="n">
        <x:v>1</x:v>
      </x:c>
      <x:c r="I1771" s="5" t="str">
        <x:v>AAX Biotech</x:v>
      </x:c>
      <x:c r="J1771" s="5" t="str">
        <x:v>SOURCE QUOTE; unvalidated / superseded assessments</x:v>
      </x:c>
      <x:c r="L1771" s="31" t="str">
        <x:v>D06, Markdown line 250; http://nas-1.tail55d152.ts.net:4100/static/MEDICAL_NORDICS_FINANCIALS_DOSSIER.html</x:v>
      </x:c>
    </x:row>
    <x:row r="1772" ht="42" customHeight="1">
      <x:c r="A1772" s="5" t="str">
        <x:v>D06</x:v>
      </x:c>
      <x:c r="B1772" s="5" t="str">
        <x:v>D06-T01</x:v>
      </x:c>
      <x:c r="C1772" s="5" t="str">
        <x:v>5. Complete Company Financial Table (135 Facilities Analyzed)</x:v>
      </x:c>
      <x:c r="D1772" s="5" t="n">
        <x:v>250</x:v>
      </x:c>
      <x:c r="E1772" s="5" t="n">
        <x:v>3</x:v>
      </x:c>
      <x:c r="F1772" s="5" t="str">
        <x:v>Location</x:v>
      </x:c>
      <x:c r="G1772" s="5" t="n">
        <x:v>1</x:v>
      </x:c>
      <x:c r="H1772" s="5" t="n">
        <x:v>1</x:v>
      </x:c>
      <x:c r="I1772" s="5" t="str">
        <x:v>Solna, Sweden</x:v>
      </x:c>
      <x:c r="J1772" s="5" t="str">
        <x:v>SOURCE QUOTE; unvalidated / superseded assessments</x:v>
      </x:c>
      <x:c r="L1772" s="31" t="str">
        <x:v>D06, Markdown line 250; http://nas-1.tail55d152.ts.net:4100/static/MEDICAL_NORDICS_FINANCIALS_DOSSIER.html</x:v>
      </x:c>
    </x:row>
    <x:row r="1773" ht="42" customHeight="1">
      <x:c r="A1773" s="5" t="str">
        <x:v>D06</x:v>
      </x:c>
      <x:c r="B1773" s="5" t="str">
        <x:v>D06-T01</x:v>
      </x:c>
      <x:c r="C1773" s="5" t="str">
        <x:v>5. Complete Company Financial Table (135 Facilities Analyzed)</x:v>
      </x:c>
      <x:c r="D1773" s="5" t="n">
        <x:v>250</x:v>
      </x:c>
      <x:c r="E1773" s="5" t="n">
        <x:v>4</x:v>
      </x:c>
      <x:c r="F1773" s="5" t="str">
        <x:v>Focus Area</x:v>
      </x:c>
      <x:c r="G1773" s="5" t="n">
        <x:v>1</x:v>
      </x:c>
      <x:c r="H1773" s="5" t="n">
        <x:v>1</x:v>
      </x:c>
      <x:c r="I1773" s="5" t="str">
        <x:v>Seqitope &amp; Opti-mAb Antibody Tech</x:v>
      </x:c>
      <x:c r="J1773" s="5" t="str">
        <x:v>SOURCE QUOTE; unvalidated / superseded assessments</x:v>
      </x:c>
      <x:c r="L1773" s="31" t="str">
        <x:v>D06, Markdown line 250; http://nas-1.tail55d152.ts.net:4100/static/MEDICAL_NORDICS_FINANCIALS_DOSSIER.html</x:v>
      </x:c>
    </x:row>
    <x:row r="1774" ht="42" customHeight="1">
      <x:c r="A1774" s="5" t="str">
        <x:v>D06</x:v>
      </x:c>
      <x:c r="B1774" s="5" t="str">
        <x:v>D06-T01</x:v>
      </x:c>
      <x:c r="C1774" s="5" t="str">
        <x:v>5. Complete Company Financial Table (135 Facilities Analyzed)</x:v>
      </x:c>
      <x:c r="D1774" s="5" t="n">
        <x:v>250</x:v>
      </x:c>
      <x:c r="E1774" s="5" t="n">
        <x:v>5</x:v>
      </x:c>
      <x:c r="F1774" s="5" t="str">
        <x:v>Revenue / Net Sales</x:v>
      </x:c>
      <x:c r="G1774" s="5" t="n">
        <x:v>1</x:v>
      </x:c>
      <x:c r="H1774" s="5" t="n">
        <x:v>1</x:v>
      </x:c>
      <x:c r="I1774" s="5" t="str">
        <x:v>SEK 0M (Pre-revenue)</x:v>
      </x:c>
      <x:c r="J1774" s="5" t="str">
        <x:v>SOURCE QUOTE; unvalidated / superseded assessments</x:v>
      </x:c>
      <x:c r="L1774" s="31" t="str">
        <x:v>D06, Markdown line 250; http://nas-1.tail55d152.ts.net:4100/static/MEDICAL_NORDICS_FINANCIALS_DOSSIER.html</x:v>
      </x:c>
    </x:row>
    <x:row r="1775" ht="42" customHeight="1">
      <x:c r="A1775" s="5" t="str">
        <x:v>D06</x:v>
      </x:c>
      <x:c r="B1775" s="5" t="str">
        <x:v>D06-T01</x:v>
      </x:c>
      <x:c r="C1775" s="5" t="str">
        <x:v>5. Complete Company Financial Table (135 Facilities Analyzed)</x:v>
      </x:c>
      <x:c r="D1775" s="5" t="n">
        <x:v>250</x:v>
      </x:c>
      <x:c r="E1775" s="5" t="n">
        <x:v>6</x:v>
      </x:c>
      <x:c r="F1775" s="5" t="str">
        <x:v>R&amp;D Spend</x:v>
      </x:c>
      <x:c r="G1775" s="5" t="n">
        <x:v>1</x:v>
      </x:c>
      <x:c r="H1775" s="5" t="n">
        <x:v>1</x:v>
      </x:c>
      <x:c r="I1775" s="5" t="str">
        <x:v>SEK 10.5M</x:v>
      </x:c>
      <x:c r="J1775" s="5" t="str">
        <x:v>SOURCE QUOTE; unvalidated / superseded assessments</x:v>
      </x:c>
      <x:c r="L1775" s="31" t="str">
        <x:v>D06, Markdown line 250; http://nas-1.tail55d152.ts.net:4100/static/MEDICAL_NORDICS_FINANCIALS_DOSSIER.html</x:v>
      </x:c>
    </x:row>
    <x:row r="1776" ht="42" customHeight="1">
      <x:c r="A1776" s="5" t="str">
        <x:v>D06</x:v>
      </x:c>
      <x:c r="B1776" s="5" t="str">
        <x:v>D06-T01</x:v>
      </x:c>
      <x:c r="C1776" s="5" t="str">
        <x:v>5. Complete Company Financial Table (135 Facilities Analyzed)</x:v>
      </x:c>
      <x:c r="D1776" s="5" t="n">
        <x:v>250</x:v>
      </x:c>
      <x:c r="E1776" s="5" t="n">
        <x:v>7</x:v>
      </x:c>
      <x:c r="F1776" s="5" t="str">
        <x:v>Currency</x:v>
      </x:c>
      <x:c r="G1776" s="5" t="n">
        <x:v>1</x:v>
      </x:c>
      <x:c r="H1776" s="5" t="n">
        <x:v>1</x:v>
      </x:c>
      <x:c r="I1776" s="5" t="str">
        <x:v>SEK</x:v>
      </x:c>
      <x:c r="J1776" s="5" t="str">
        <x:v>SOURCE QUOTE; unvalidated / superseded assessments</x:v>
      </x:c>
      <x:c r="L1776" s="31" t="str">
        <x:v>D06, Markdown line 250; http://nas-1.tail55d152.ts.net:4100/static/MEDICAL_NORDICS_FINANCIALS_DOSSIER.html</x:v>
      </x:c>
    </x:row>
    <x:row r="1777" ht="42" customHeight="1">
      <x:c r="A1777" s="5" t="str">
        <x:v>D06</x:v>
      </x:c>
      <x:c r="B1777" s="5" t="str">
        <x:v>D06-T01</x:v>
      </x:c>
      <x:c r="C1777" s="5" t="str">
        <x:v>5. Complete Company Financial Table (135 Facilities Analyzed)</x:v>
      </x:c>
      <x:c r="D1777" s="5" t="n">
        <x:v>250</x:v>
      </x:c>
      <x:c r="E1777" s="5" t="n">
        <x:v>8</x:v>
      </x:c>
      <x:c r="F1777" s="5" t="str">
        <x:v>Fiscal Year</x:v>
      </x:c>
      <x:c r="G1777" s="5" t="n">
        <x:v>1</x:v>
      </x:c>
      <x:c r="H1777" s="5" t="n">
        <x:v>1</x:v>
      </x:c>
      <x:c r="I1777" s="5" t="str">
        <x:v>FY2023/24</x:v>
      </x:c>
      <x:c r="J1777" s="5" t="str">
        <x:v>SOURCE QUOTE; unvalidated / superseded assessments</x:v>
      </x:c>
      <x:c r="L1777" s="31" t="str">
        <x:v>D06, Markdown line 250; http://nas-1.tail55d152.ts.net:4100/static/MEDICAL_NORDICS_FINANCIALS_DOSSIER.html</x:v>
      </x:c>
    </x:row>
    <x:row r="1778" ht="42" customHeight="1">
      <x:c r="A1778" s="5" t="str">
        <x:v>D06</x:v>
      </x:c>
      <x:c r="B1778" s="5" t="str">
        <x:v>D06-T01</x:v>
      </x:c>
      <x:c r="C1778" s="5" t="str">
        <x:v>5. Complete Company Financial Table (135 Facilities Analyzed)</x:v>
      </x:c>
      <x:c r="D1778" s="5" t="n">
        <x:v>250</x:v>
      </x:c>
      <x:c r="E1778" s="5" t="n">
        <x:v>9</x:v>
      </x:c>
      <x:c r="F1778" s="5" t="str">
        <x:v>Status / Ownership / Strategic Service Alignment</x:v>
      </x:c>
      <x:c r="G1778" s="5" t="n">
        <x:v>1</x:v>
      </x:c>
      <x:c r="H1778" s="5" t="n">
        <x:v>1</x:v>
      </x:c>
      <x:c r="I1778" s="5" t="str">
        <x:v>Karolinska spin-out; Package B (Daiichi Sankyo partnered data room management)</x:v>
      </x:c>
      <x:c r="J1778" s="5" t="str">
        <x:v>SOURCE QUOTE; unvalidated / superseded assessments</x:v>
      </x:c>
      <x:c r="L1778" s="31" t="str">
        <x:v>D06, Markdown line 250; http://nas-1.tail55d152.ts.net:4100/static/MEDICAL_NORDICS_FINANCIALS_DOSSIER.html</x:v>
      </x:c>
    </x:row>
    <x:row r="1779" ht="42" customHeight="1">
      <x:c r="A1779" s="5" t="str">
        <x:v>D06</x:v>
      </x:c>
      <x:c r="B1779" s="5" t="str">
        <x:v>D06-T01</x:v>
      </x:c>
      <x:c r="C1779" s="5" t="str">
        <x:v>5. Complete Company Financial Table (135 Facilities Analyzed)</x:v>
      </x:c>
      <x:c r="D1779" s="5" t="n">
        <x:v>251</x:v>
      </x:c>
      <x:c r="E1779" s="5" t="n">
        <x:v>1</x:v>
      </x:c>
      <x:c r="F1779" s="5" t="str">
        <x:v>#</x:v>
      </x:c>
      <x:c r="G1779" s="5" t="n">
        <x:v>1</x:v>
      </x:c>
      <x:c r="H1779" s="5" t="n">
        <x:v>1</x:v>
      </x:c>
      <x:c r="I1779" s="5" t="str">
        <x:v>70</x:v>
      </x:c>
      <x:c r="J1779" s="5" t="str">
        <x:v>SOURCE QUOTE; unvalidated / superseded assessments</x:v>
      </x:c>
      <x:c r="L1779" s="31" t="str">
        <x:v>D06, Markdown line 251; http://nas-1.tail55d152.ts.net:4100/static/MEDICAL_NORDICS_FINANCIALS_DOSSIER.html</x:v>
      </x:c>
    </x:row>
    <x:row r="1780" ht="42" customHeight="1">
      <x:c r="A1780" s="5" t="str">
        <x:v>D06</x:v>
      </x:c>
      <x:c r="B1780" s="5" t="str">
        <x:v>D06-T01</x:v>
      </x:c>
      <x:c r="C1780" s="5" t="str">
        <x:v>5. Complete Company Financial Table (135 Facilities Analyzed)</x:v>
      </x:c>
      <x:c r="D1780" s="5" t="n">
        <x:v>251</x:v>
      </x:c>
      <x:c r="E1780" s="5" t="n">
        <x:v>2</x:v>
      </x:c>
      <x:c r="F1780" s="5" t="str">
        <x:v>Company</x:v>
      </x:c>
      <x:c r="G1780" s="5" t="n">
        <x:v>1</x:v>
      </x:c>
      <x:c r="H1780" s="5" t="n">
        <x:v>1</x:v>
      </x:c>
      <x:c r="I1780" s="5" t="str">
        <x:v>Aplex Bio</x:v>
      </x:c>
      <x:c r="J1780" s="5" t="str">
        <x:v>SOURCE QUOTE; unvalidated / superseded assessments</x:v>
      </x:c>
      <x:c r="L1780" s="31" t="str">
        <x:v>D06, Markdown line 251; http://nas-1.tail55d152.ts.net:4100/static/MEDICAL_NORDICS_FINANCIALS_DOSSIER.html</x:v>
      </x:c>
    </x:row>
    <x:row r="1781" ht="42" customHeight="1">
      <x:c r="A1781" s="5" t="str">
        <x:v>D06</x:v>
      </x:c>
      <x:c r="B1781" s="5" t="str">
        <x:v>D06-T01</x:v>
      </x:c>
      <x:c r="C1781" s="5" t="str">
        <x:v>5. Complete Company Financial Table (135 Facilities Analyzed)</x:v>
      </x:c>
      <x:c r="D1781" s="5" t="n">
        <x:v>251</x:v>
      </x:c>
      <x:c r="E1781" s="5" t="n">
        <x:v>3</x:v>
      </x:c>
      <x:c r="F1781" s="5" t="str">
        <x:v>Location</x:v>
      </x:c>
      <x:c r="G1781" s="5" t="n">
        <x:v>1</x:v>
      </x:c>
      <x:c r="H1781" s="5" t="n">
        <x:v>1</x:v>
      </x:c>
      <x:c r="I1781" s="5" t="str">
        <x:v>Solna, Sweden</x:v>
      </x:c>
      <x:c r="J1781" s="5" t="str">
        <x:v>SOURCE QUOTE; unvalidated / superseded assessments</x:v>
      </x:c>
      <x:c r="L1781" s="31" t="str">
        <x:v>D06, Markdown line 251; http://nas-1.tail55d152.ts.net:4100/static/MEDICAL_NORDICS_FINANCIALS_DOSSIER.html</x:v>
      </x:c>
    </x:row>
    <x:row r="1782" ht="42" customHeight="1">
      <x:c r="A1782" s="5" t="str">
        <x:v>D06</x:v>
      </x:c>
      <x:c r="B1782" s="5" t="str">
        <x:v>D06-T01</x:v>
      </x:c>
      <x:c r="C1782" s="5" t="str">
        <x:v>5. Complete Company Financial Table (135 Facilities Analyzed)</x:v>
      </x:c>
      <x:c r="D1782" s="5" t="n">
        <x:v>251</x:v>
      </x:c>
      <x:c r="E1782" s="5" t="n">
        <x:v>4</x:v>
      </x:c>
      <x:c r="F1782" s="5" t="str">
        <x:v>Focus Area</x:v>
      </x:c>
      <x:c r="G1782" s="5" t="n">
        <x:v>1</x:v>
      </x:c>
      <x:c r="H1782" s="5" t="n">
        <x:v>1</x:v>
      </x:c>
      <x:c r="I1782" s="5" t="str">
        <x:v>Hyperplexed PCR Detection Platform</x:v>
      </x:c>
      <x:c r="J1782" s="5" t="str">
        <x:v>SOURCE QUOTE; unvalidated / superseded assessments</x:v>
      </x:c>
      <x:c r="L1782" s="31" t="str">
        <x:v>D06, Markdown line 251; http://nas-1.tail55d152.ts.net:4100/static/MEDICAL_NORDICS_FINANCIALS_DOSSIER.html</x:v>
      </x:c>
    </x:row>
    <x:row r="1783" ht="42" customHeight="1">
      <x:c r="A1783" s="5" t="str">
        <x:v>D06</x:v>
      </x:c>
      <x:c r="B1783" s="5" t="str">
        <x:v>D06-T01</x:v>
      </x:c>
      <x:c r="C1783" s="5" t="str">
        <x:v>5. Complete Company Financial Table (135 Facilities Analyzed)</x:v>
      </x:c>
      <x:c r="D1783" s="5" t="n">
        <x:v>251</x:v>
      </x:c>
      <x:c r="E1783" s="5" t="n">
        <x:v>5</x:v>
      </x:c>
      <x:c r="F1783" s="5" t="str">
        <x:v>Revenue / Net Sales</x:v>
      </x:c>
      <x:c r="G1783" s="5" t="n">
        <x:v>1</x:v>
      </x:c>
      <x:c r="H1783" s="5" t="n">
        <x:v>1</x:v>
      </x:c>
      <x:c r="I1783" s="5" t="str">
        <x:v>SEK 1.8M est.</x:v>
      </x:c>
      <x:c r="J1783" s="5" t="str">
        <x:v>SOURCE QUOTE; unvalidated / superseded assessments</x:v>
      </x:c>
      <x:c r="L1783" s="31" t="str">
        <x:v>D06, Markdown line 251; http://nas-1.tail55d152.ts.net:4100/static/MEDICAL_NORDICS_FINANCIALS_DOSSIER.html</x:v>
      </x:c>
    </x:row>
    <x:row r="1784" ht="42" customHeight="1">
      <x:c r="A1784" s="5" t="str">
        <x:v>D06</x:v>
      </x:c>
      <x:c r="B1784" s="5" t="str">
        <x:v>D06-T01</x:v>
      </x:c>
      <x:c r="C1784" s="5" t="str">
        <x:v>5. Complete Company Financial Table (135 Facilities Analyzed)</x:v>
      </x:c>
      <x:c r="D1784" s="5" t="n">
        <x:v>251</x:v>
      </x:c>
      <x:c r="E1784" s="5" t="n">
        <x:v>6</x:v>
      </x:c>
      <x:c r="F1784" s="5" t="str">
        <x:v>R&amp;D Spend</x:v>
      </x:c>
      <x:c r="G1784" s="5" t="n">
        <x:v>1</x:v>
      </x:c>
      <x:c r="H1784" s="5" t="n">
        <x:v>1</x:v>
      </x:c>
      <x:c r="I1784" s="5" t="str">
        <x:v>SEK 12.0M</x:v>
      </x:c>
      <x:c r="J1784" s="5" t="str">
        <x:v>SOURCE QUOTE; unvalidated / superseded assessments</x:v>
      </x:c>
      <x:c r="L1784" s="31" t="str">
        <x:v>D06, Markdown line 251; http://nas-1.tail55d152.ts.net:4100/static/MEDICAL_NORDICS_FINANCIALS_DOSSIER.html</x:v>
      </x:c>
    </x:row>
    <x:row r="1785" ht="42" customHeight="1">
      <x:c r="A1785" s="5" t="str">
        <x:v>D06</x:v>
      </x:c>
      <x:c r="B1785" s="5" t="str">
        <x:v>D06-T01</x:v>
      </x:c>
      <x:c r="C1785" s="5" t="str">
        <x:v>5. Complete Company Financial Table (135 Facilities Analyzed)</x:v>
      </x:c>
      <x:c r="D1785" s="5" t="n">
        <x:v>251</x:v>
      </x:c>
      <x:c r="E1785" s="5" t="n">
        <x:v>7</x:v>
      </x:c>
      <x:c r="F1785" s="5" t="str">
        <x:v>Currency</x:v>
      </x:c>
      <x:c r="G1785" s="5" t="n">
        <x:v>1</x:v>
      </x:c>
      <x:c r="H1785" s="5" t="n">
        <x:v>1</x:v>
      </x:c>
      <x:c r="I1785" s="5" t="str">
        <x:v>SEK</x:v>
      </x:c>
      <x:c r="J1785" s="5" t="str">
        <x:v>SOURCE QUOTE; unvalidated / superseded assessments</x:v>
      </x:c>
      <x:c r="L1785" s="31" t="str">
        <x:v>D06, Markdown line 251; http://nas-1.tail55d152.ts.net:4100/static/MEDICAL_NORDICS_FINANCIALS_DOSSIER.html</x:v>
      </x:c>
    </x:row>
    <x:row r="1786" ht="42" customHeight="1">
      <x:c r="A1786" s="5" t="str">
        <x:v>D06</x:v>
      </x:c>
      <x:c r="B1786" s="5" t="str">
        <x:v>D06-T01</x:v>
      </x:c>
      <x:c r="C1786" s="5" t="str">
        <x:v>5. Complete Company Financial Table (135 Facilities Analyzed)</x:v>
      </x:c>
      <x:c r="D1786" s="5" t="n">
        <x:v>251</x:v>
      </x:c>
      <x:c r="E1786" s="5" t="n">
        <x:v>8</x:v>
      </x:c>
      <x:c r="F1786" s="5" t="str">
        <x:v>Fiscal Year</x:v>
      </x:c>
      <x:c r="G1786" s="5" t="n">
        <x:v>1</x:v>
      </x:c>
      <x:c r="H1786" s="5" t="n">
        <x:v>1</x:v>
      </x:c>
      <x:c r="I1786" s="5" t="str">
        <x:v>FY2023/24</x:v>
      </x:c>
      <x:c r="J1786" s="5" t="str">
        <x:v>SOURCE QUOTE; unvalidated / superseded assessments</x:v>
      </x:c>
      <x:c r="L1786" s="31" t="str">
        <x:v>D06, Markdown line 251; http://nas-1.tail55d152.ts.net:4100/static/MEDICAL_NORDICS_FINANCIALS_DOSSIER.html</x:v>
      </x:c>
    </x:row>
    <x:row r="1787" ht="42" customHeight="1">
      <x:c r="A1787" s="5" t="str">
        <x:v>D06</x:v>
      </x:c>
      <x:c r="B1787" s="5" t="str">
        <x:v>D06-T01</x:v>
      </x:c>
      <x:c r="C1787" s="5" t="str">
        <x:v>5. Complete Company Financial Table (135 Facilities Analyzed)</x:v>
      </x:c>
      <x:c r="D1787" s="5" t="n">
        <x:v>251</x:v>
      </x:c>
      <x:c r="E1787" s="5" t="n">
        <x:v>9</x:v>
      </x:c>
      <x:c r="F1787" s="5" t="str">
        <x:v>Status / Ownership / Strategic Service Alignment</x:v>
      </x:c>
      <x:c r="G1787" s="5" t="n">
        <x:v>1</x:v>
      </x:c>
      <x:c r="H1787" s="5" t="n">
        <x:v>1</x:v>
      </x:c>
      <x:c r="I1787" s="5" t="str">
        <x:v>Private; Package A &amp; E (Point-of-care PCR workflow optimization &amp; software)</x:v>
      </x:c>
      <x:c r="J1787" s="5" t="str">
        <x:v>SOURCE QUOTE; unvalidated / superseded assessments</x:v>
      </x:c>
      <x:c r="L1787" s="31" t="str">
        <x:v>D06, Markdown line 251; http://nas-1.tail55d152.ts.net:4100/static/MEDICAL_NORDICS_FINANCIALS_DOSSIER.html</x:v>
      </x:c>
    </x:row>
    <x:row r="1788" ht="42" customHeight="1">
      <x:c r="A1788" s="5" t="str">
        <x:v>D06</x:v>
      </x:c>
      <x:c r="B1788" s="5" t="str">
        <x:v>D06-T01</x:v>
      </x:c>
      <x:c r="C1788" s="5" t="str">
        <x:v>5. Complete Company Financial Table (135 Facilities Analyzed)</x:v>
      </x:c>
      <x:c r="D1788" s="5" t="n">
        <x:v>252</x:v>
      </x:c>
      <x:c r="E1788" s="5" t="n">
        <x:v>1</x:v>
      </x:c>
      <x:c r="F1788" s="5" t="str">
        <x:v>#</x:v>
      </x:c>
      <x:c r="G1788" s="5" t="n">
        <x:v>1</x:v>
      </x:c>
      <x:c r="H1788" s="5" t="n">
        <x:v>1</x:v>
      </x:c>
      <x:c r="I1788" s="5" t="str">
        <x:v>71</x:v>
      </x:c>
      <x:c r="J1788" s="5" t="str">
        <x:v>SOURCE QUOTE; unvalidated / superseded assessments</x:v>
      </x:c>
      <x:c r="L1788" s="31" t="str">
        <x:v>D06, Markdown line 252; http://nas-1.tail55d152.ts.net:4100/static/MEDICAL_NORDICS_FINANCIALS_DOSSIER.html</x:v>
      </x:c>
    </x:row>
    <x:row r="1789" ht="42" customHeight="1">
      <x:c r="A1789" s="5" t="str">
        <x:v>D06</x:v>
      </x:c>
      <x:c r="B1789" s="5" t="str">
        <x:v>D06-T01</x:v>
      </x:c>
      <x:c r="C1789" s="5" t="str">
        <x:v>5. Complete Company Financial Table (135 Facilities Analyzed)</x:v>
      </x:c>
      <x:c r="D1789" s="5" t="n">
        <x:v>252</x:v>
      </x:c>
      <x:c r="E1789" s="5" t="n">
        <x:v>2</x:v>
      </x:c>
      <x:c r="F1789" s="5" t="str">
        <x:v>Company</x:v>
      </x:c>
      <x:c r="G1789" s="5" t="n">
        <x:v>1</x:v>
      </x:c>
      <x:c r="H1789" s="5" t="n">
        <x:v>1</x:v>
      </x:c>
      <x:c r="I1789" s="5" t="str">
        <x:v>Elypta</x:v>
      </x:c>
      <x:c r="J1789" s="5" t="str">
        <x:v>SOURCE QUOTE; unvalidated / superseded assessments</x:v>
      </x:c>
      <x:c r="L1789" s="31" t="str">
        <x:v>D06, Markdown line 252; http://nas-1.tail55d152.ts.net:4100/static/MEDICAL_NORDICS_FINANCIALS_DOSSIER.html</x:v>
      </x:c>
    </x:row>
    <x:row r="1790" ht="42" customHeight="1">
      <x:c r="A1790" s="5" t="str">
        <x:v>D06</x:v>
      </x:c>
      <x:c r="B1790" s="5" t="str">
        <x:v>D06-T01</x:v>
      </x:c>
      <x:c r="C1790" s="5" t="str">
        <x:v>5. Complete Company Financial Table (135 Facilities Analyzed)</x:v>
      </x:c>
      <x:c r="D1790" s="5" t="n">
        <x:v>252</x:v>
      </x:c>
      <x:c r="E1790" s="5" t="n">
        <x:v>3</x:v>
      </x:c>
      <x:c r="F1790" s="5" t="str">
        <x:v>Location</x:v>
      </x:c>
      <x:c r="G1790" s="5" t="n">
        <x:v>1</x:v>
      </x:c>
      <x:c r="H1790" s="5" t="n">
        <x:v>1</x:v>
      </x:c>
      <x:c r="I1790" s="5" t="str">
        <x:v>Solna, Sweden</x:v>
      </x:c>
      <x:c r="J1790" s="5" t="str">
        <x:v>SOURCE QUOTE; unvalidated / superseded assessments</x:v>
      </x:c>
      <x:c r="L1790" s="31" t="str">
        <x:v>D06, Markdown line 252; http://nas-1.tail55d152.ts.net:4100/static/MEDICAL_NORDICS_FINANCIALS_DOSSIER.html</x:v>
      </x:c>
    </x:row>
    <x:row r="1791" ht="42" customHeight="1">
      <x:c r="A1791" s="5" t="str">
        <x:v>D06</x:v>
      </x:c>
      <x:c r="B1791" s="5" t="str">
        <x:v>D06-T01</x:v>
      </x:c>
      <x:c r="C1791" s="5" t="str">
        <x:v>5. Complete Company Financial Table (135 Facilities Analyzed)</x:v>
      </x:c>
      <x:c r="D1791" s="5" t="n">
        <x:v>252</x:v>
      </x:c>
      <x:c r="E1791" s="5" t="n">
        <x:v>4</x:v>
      </x:c>
      <x:c r="F1791" s="5" t="str">
        <x:v>Focus Area</x:v>
      </x:c>
      <x:c r="G1791" s="5" t="n">
        <x:v>1</x:v>
      </x:c>
      <x:c r="H1791" s="5" t="n">
        <x:v>1</x:v>
      </x:c>
      <x:c r="I1791" s="5" t="str">
        <x:v>GAG Liquid Biopsy Platform</x:v>
      </x:c>
      <x:c r="J1791" s="5" t="str">
        <x:v>SOURCE QUOTE; unvalidated / superseded assessments</x:v>
      </x:c>
      <x:c r="L1791" s="31" t="str">
        <x:v>D06, Markdown line 252; http://nas-1.tail55d152.ts.net:4100/static/MEDICAL_NORDICS_FINANCIALS_DOSSIER.html</x:v>
      </x:c>
    </x:row>
    <x:row r="1792" ht="42" customHeight="1">
      <x:c r="A1792" s="5" t="str">
        <x:v>D06</x:v>
      </x:c>
      <x:c r="B1792" s="5" t="str">
        <x:v>D06-T01</x:v>
      </x:c>
      <x:c r="C1792" s="5" t="str">
        <x:v>5. Complete Company Financial Table (135 Facilities Analyzed)</x:v>
      </x:c>
      <x:c r="D1792" s="5" t="n">
        <x:v>252</x:v>
      </x:c>
      <x:c r="E1792" s="5" t="n">
        <x:v>5</x:v>
      </x:c>
      <x:c r="F1792" s="5" t="str">
        <x:v>Revenue / Net Sales</x:v>
      </x:c>
      <x:c r="G1792" s="5" t="n">
        <x:v>1</x:v>
      </x:c>
      <x:c r="H1792" s="5" t="n">
        <x:v>1</x:v>
      </x:c>
      <x:c r="I1792" s="5" t="str">
        <x:v>SEK 3.5M est.</x:v>
      </x:c>
      <x:c r="J1792" s="5" t="str">
        <x:v>SOURCE QUOTE; unvalidated / superseded assessments</x:v>
      </x:c>
      <x:c r="L1792" s="31" t="str">
        <x:v>D06, Markdown line 252; http://nas-1.tail55d152.ts.net:4100/static/MEDICAL_NORDICS_FINANCIALS_DOSSIER.html</x:v>
      </x:c>
    </x:row>
    <x:row r="1793" ht="42" customHeight="1">
      <x:c r="A1793" s="5" t="str">
        <x:v>D06</x:v>
      </x:c>
      <x:c r="B1793" s="5" t="str">
        <x:v>D06-T01</x:v>
      </x:c>
      <x:c r="C1793" s="5" t="str">
        <x:v>5. Complete Company Financial Table (135 Facilities Analyzed)</x:v>
      </x:c>
      <x:c r="D1793" s="5" t="n">
        <x:v>252</x:v>
      </x:c>
      <x:c r="E1793" s="5" t="n">
        <x:v>6</x:v>
      </x:c>
      <x:c r="F1793" s="5" t="str">
        <x:v>R&amp;D Spend</x:v>
      </x:c>
      <x:c r="G1793" s="5" t="n">
        <x:v>1</x:v>
      </x:c>
      <x:c r="H1793" s="5" t="n">
        <x:v>1</x:v>
      </x:c>
      <x:c r="I1793" s="5" t="str">
        <x:v>SEK 72.0M</x:v>
      </x:c>
      <x:c r="J1793" s="5" t="str">
        <x:v>SOURCE QUOTE; unvalidated / superseded assessments</x:v>
      </x:c>
      <x:c r="L1793" s="31" t="str">
        <x:v>D06, Markdown line 252; http://nas-1.tail55d152.ts.net:4100/static/MEDICAL_NORDICS_FINANCIALS_DOSSIER.html</x:v>
      </x:c>
    </x:row>
    <x:row r="1794" ht="42" customHeight="1">
      <x:c r="A1794" s="5" t="str">
        <x:v>D06</x:v>
      </x:c>
      <x:c r="B1794" s="5" t="str">
        <x:v>D06-T01</x:v>
      </x:c>
      <x:c r="C1794" s="5" t="str">
        <x:v>5. Complete Company Financial Table (135 Facilities Analyzed)</x:v>
      </x:c>
      <x:c r="D1794" s="5" t="n">
        <x:v>252</x:v>
      </x:c>
      <x:c r="E1794" s="5" t="n">
        <x:v>7</x:v>
      </x:c>
      <x:c r="F1794" s="5" t="str">
        <x:v>Currency</x:v>
      </x:c>
      <x:c r="G1794" s="5" t="n">
        <x:v>1</x:v>
      </x:c>
      <x:c r="H1794" s="5" t="n">
        <x:v>1</x:v>
      </x:c>
      <x:c r="I1794" s="5" t="str">
        <x:v>SEK</x:v>
      </x:c>
      <x:c r="J1794" s="5" t="str">
        <x:v>SOURCE QUOTE; unvalidated / superseded assessments</x:v>
      </x:c>
      <x:c r="L1794" s="31" t="str">
        <x:v>D06, Markdown line 252; http://nas-1.tail55d152.ts.net:4100/static/MEDICAL_NORDICS_FINANCIALS_DOSSIER.html</x:v>
      </x:c>
    </x:row>
    <x:row r="1795" ht="42" customHeight="1">
      <x:c r="A1795" s="5" t="str">
        <x:v>D06</x:v>
      </x:c>
      <x:c r="B1795" s="5" t="str">
        <x:v>D06-T01</x:v>
      </x:c>
      <x:c r="C1795" s="5" t="str">
        <x:v>5. Complete Company Financial Table (135 Facilities Analyzed)</x:v>
      </x:c>
      <x:c r="D1795" s="5" t="n">
        <x:v>252</x:v>
      </x:c>
      <x:c r="E1795" s="5" t="n">
        <x:v>8</x:v>
      </x:c>
      <x:c r="F1795" s="5" t="str">
        <x:v>Fiscal Year</x:v>
      </x:c>
      <x:c r="G1795" s="5" t="n">
        <x:v>1</x:v>
      </x:c>
      <x:c r="H1795" s="5" t="n">
        <x:v>1</x:v>
      </x:c>
      <x:c r="I1795" s="5" t="str">
        <x:v>FY2023/24</x:v>
      </x:c>
      <x:c r="J1795" s="5" t="str">
        <x:v>SOURCE QUOTE; unvalidated / superseded assessments</x:v>
      </x:c>
      <x:c r="L1795" s="31" t="str">
        <x:v>D06, Markdown line 252; http://nas-1.tail55d152.ts.net:4100/static/MEDICAL_NORDICS_FINANCIALS_DOSSIER.html</x:v>
      </x:c>
    </x:row>
    <x:row r="1796" ht="42" customHeight="1">
      <x:c r="A1796" s="5" t="str">
        <x:v>D06</x:v>
      </x:c>
      <x:c r="B1796" s="5" t="str">
        <x:v>D06-T01</x:v>
      </x:c>
      <x:c r="C1796" s="5" t="str">
        <x:v>5. Complete Company Financial Table (135 Facilities Analyzed)</x:v>
      </x:c>
      <x:c r="D1796" s="5" t="n">
        <x:v>252</x:v>
      </x:c>
      <x:c r="E1796" s="5" t="n">
        <x:v>9</x:v>
      </x:c>
      <x:c r="F1796" s="5" t="str">
        <x:v>Status / Ownership / Strategic Service Alignment</x:v>
      </x:c>
      <x:c r="G1796" s="5" t="n">
        <x:v>1</x:v>
      </x:c>
      <x:c r="H1796" s="5" t="n">
        <x:v>1</x:v>
      </x:c>
      <x:c r="I1796" s="5" t="str">
        <x:v>Private ($21M Series A); Package E (AI metabolism liquid biopsy Notified Body audit)</x:v>
      </x:c>
      <x:c r="J1796" s="5" t="str">
        <x:v>SOURCE QUOTE; unvalidated / superseded assessments</x:v>
      </x:c>
      <x:c r="L1796" s="31" t="str">
        <x:v>D06, Markdown line 252; http://nas-1.tail55d152.ts.net:4100/static/MEDICAL_NORDICS_FINANCIALS_DOSSIER.html</x:v>
      </x:c>
    </x:row>
    <x:row r="1797" ht="42" customHeight="1">
      <x:c r="A1797" s="5" t="str">
        <x:v>D06</x:v>
      </x:c>
      <x:c r="B1797" s="5" t="str">
        <x:v>D06-T01</x:v>
      </x:c>
      <x:c r="C1797" s="5" t="str">
        <x:v>5. Complete Company Financial Table (135 Facilities Analyzed)</x:v>
      </x:c>
      <x:c r="D1797" s="5" t="n">
        <x:v>253</x:v>
      </x:c>
      <x:c r="E1797" s="5" t="n">
        <x:v>1</x:v>
      </x:c>
      <x:c r="F1797" s="5" t="str">
        <x:v>#</x:v>
      </x:c>
      <x:c r="G1797" s="5" t="n">
        <x:v>1</x:v>
      </x:c>
      <x:c r="H1797" s="5" t="n">
        <x:v>1</x:v>
      </x:c>
      <x:c r="I1797" s="5" t="str">
        <x:v>72</x:v>
      </x:c>
      <x:c r="J1797" s="5" t="str">
        <x:v>SOURCE QUOTE; unvalidated / superseded assessments</x:v>
      </x:c>
      <x:c r="L1797" s="31" t="str">
        <x:v>D06, Markdown line 253; http://nas-1.tail55d152.ts.net:4100/static/MEDICAL_NORDICS_FINANCIALS_DOSSIER.html</x:v>
      </x:c>
    </x:row>
    <x:row r="1798" ht="42" customHeight="1">
      <x:c r="A1798" s="5" t="str">
        <x:v>D06</x:v>
      </x:c>
      <x:c r="B1798" s="5" t="str">
        <x:v>D06-T01</x:v>
      </x:c>
      <x:c r="C1798" s="5" t="str">
        <x:v>5. Complete Company Financial Table (135 Facilities Analyzed)</x:v>
      </x:c>
      <x:c r="D1798" s="5" t="n">
        <x:v>253</x:v>
      </x:c>
      <x:c r="E1798" s="5" t="n">
        <x:v>2</x:v>
      </x:c>
      <x:c r="F1798" s="5" t="str">
        <x:v>Company</x:v>
      </x:c>
      <x:c r="G1798" s="5" t="n">
        <x:v>1</x:v>
      </x:c>
      <x:c r="H1798" s="5" t="n">
        <x:v>1</x:v>
      </x:c>
      <x:c r="I1798" s="5" t="str">
        <x:v>FenoMark Diagnostics</x:v>
      </x:c>
      <x:c r="J1798" s="5" t="str">
        <x:v>SOURCE QUOTE; unvalidated / superseded assessments</x:v>
      </x:c>
      <x:c r="L1798" s="31" t="str">
        <x:v>D06, Markdown line 253; http://nas-1.tail55d152.ts.net:4100/static/MEDICAL_NORDICS_FINANCIALS_DOSSIER.html</x:v>
      </x:c>
    </x:row>
    <x:row r="1799" ht="42" customHeight="1">
      <x:c r="A1799" s="5" t="str">
        <x:v>D06</x:v>
      </x:c>
      <x:c r="B1799" s="5" t="str">
        <x:v>D06-T01</x:v>
      </x:c>
      <x:c r="C1799" s="5" t="str">
        <x:v>5. Complete Company Financial Table (135 Facilities Analyzed)</x:v>
      </x:c>
      <x:c r="D1799" s="5" t="n">
        <x:v>253</x:v>
      </x:c>
      <x:c r="E1799" s="5" t="n">
        <x:v>3</x:v>
      </x:c>
      <x:c r="F1799" s="5" t="str">
        <x:v>Location</x:v>
      </x:c>
      <x:c r="G1799" s="5" t="n">
        <x:v>1</x:v>
      </x:c>
      <x:c r="H1799" s="5" t="n">
        <x:v>1</x:v>
      </x:c>
      <x:c r="I1799" s="5" t="str">
        <x:v>Solna, Sweden</x:v>
      </x:c>
      <x:c r="J1799" s="5" t="str">
        <x:v>SOURCE QUOTE; unvalidated / superseded assessments</x:v>
      </x:c>
      <x:c r="L1799" s="31" t="str">
        <x:v>D06, Markdown line 253; http://nas-1.tail55d152.ts.net:4100/static/MEDICAL_NORDICS_FINANCIALS_DOSSIER.html</x:v>
      </x:c>
    </x:row>
    <x:row r="1800" ht="42" customHeight="1">
      <x:c r="A1800" s="5" t="str">
        <x:v>D06</x:v>
      </x:c>
      <x:c r="B1800" s="5" t="str">
        <x:v>D06-T01</x:v>
      </x:c>
      <x:c r="C1800" s="5" t="str">
        <x:v>5. Complete Company Financial Table (135 Facilities Analyzed)</x:v>
      </x:c>
      <x:c r="D1800" s="5" t="n">
        <x:v>253</x:v>
      </x:c>
      <x:c r="E1800" s="5" t="n">
        <x:v>4</x:v>
      </x:c>
      <x:c r="F1800" s="5" t="str">
        <x:v>Focus Area</x:v>
      </x:c>
      <x:c r="G1800" s="5" t="n">
        <x:v>1</x:v>
      </x:c>
      <x:c r="H1800" s="5" t="n">
        <x:v>1</x:v>
      </x:c>
      <x:c r="I1800" s="5" t="str">
        <x:v>Precision Oncology Biomarkers</x:v>
      </x:c>
      <x:c r="J1800" s="5" t="str">
        <x:v>SOURCE QUOTE; unvalidated / superseded assessments</x:v>
      </x:c>
      <x:c r="L1800" s="31" t="str">
        <x:v>D06, Markdown line 253; http://nas-1.tail55d152.ts.net:4100/static/MEDICAL_NORDICS_FINANCIALS_DOSSIER.html</x:v>
      </x:c>
    </x:row>
    <x:row r="1801" ht="42" customHeight="1">
      <x:c r="A1801" s="5" t="str">
        <x:v>D06</x:v>
      </x:c>
      <x:c r="B1801" s="5" t="str">
        <x:v>D06-T01</x:v>
      </x:c>
      <x:c r="C1801" s="5" t="str">
        <x:v>5. Complete Company Financial Table (135 Facilities Analyzed)</x:v>
      </x:c>
      <x:c r="D1801" s="5" t="n">
        <x:v>253</x:v>
      </x:c>
      <x:c r="E1801" s="5" t="n">
        <x:v>5</x:v>
      </x:c>
      <x:c r="F1801" s="5" t="str">
        <x:v>Revenue / Net Sales</x:v>
      </x:c>
      <x:c r="G1801" s="5" t="n">
        <x:v>1</x:v>
      </x:c>
      <x:c r="H1801" s="5" t="n">
        <x:v>1</x:v>
      </x:c>
      <x:c r="I1801" s="5" t="str">
        <x:v>SEK 0M (Early stage)</x:v>
      </x:c>
      <x:c r="J1801" s="5" t="str">
        <x:v>SOURCE QUOTE; unvalidated / superseded assessments</x:v>
      </x:c>
      <x:c r="L1801" s="31" t="str">
        <x:v>D06, Markdown line 253; http://nas-1.tail55d152.ts.net:4100/static/MEDICAL_NORDICS_FINANCIALS_DOSSIER.html</x:v>
      </x:c>
    </x:row>
    <x:row r="1802" ht="42" customHeight="1">
      <x:c r="A1802" s="5" t="str">
        <x:v>D06</x:v>
      </x:c>
      <x:c r="B1802" s="5" t="str">
        <x:v>D06-T01</x:v>
      </x:c>
      <x:c r="C1802" s="5" t="str">
        <x:v>5. Complete Company Financial Table (135 Facilities Analyzed)</x:v>
      </x:c>
      <x:c r="D1802" s="5" t="n">
        <x:v>253</x:v>
      </x:c>
      <x:c r="E1802" s="5" t="n">
        <x:v>6</x:v>
      </x:c>
      <x:c r="F1802" s="5" t="str">
        <x:v>R&amp;D Spend</x:v>
      </x:c>
      <x:c r="G1802" s="5" t="n">
        <x:v>1</x:v>
      </x:c>
      <x:c r="H1802" s="5" t="n">
        <x:v>1</x:v>
      </x:c>
      <x:c r="I1802" s="5" t="str">
        <x:v>SEK 2.8M</x:v>
      </x:c>
      <x:c r="J1802" s="5" t="str">
        <x:v>SOURCE QUOTE; unvalidated / superseded assessments</x:v>
      </x:c>
      <x:c r="L1802" s="31" t="str">
        <x:v>D06, Markdown line 253; http://nas-1.tail55d152.ts.net:4100/static/MEDICAL_NORDICS_FINANCIALS_DOSSIER.html</x:v>
      </x:c>
    </x:row>
    <x:row r="1803" ht="42" customHeight="1">
      <x:c r="A1803" s="5" t="str">
        <x:v>D06</x:v>
      </x:c>
      <x:c r="B1803" s="5" t="str">
        <x:v>D06-T01</x:v>
      </x:c>
      <x:c r="C1803" s="5" t="str">
        <x:v>5. Complete Company Financial Table (135 Facilities Analyzed)</x:v>
      </x:c>
      <x:c r="D1803" s="5" t="n">
        <x:v>253</x:v>
      </x:c>
      <x:c r="E1803" s="5" t="n">
        <x:v>7</x:v>
      </x:c>
      <x:c r="F1803" s="5" t="str">
        <x:v>Currency</x:v>
      </x:c>
      <x:c r="G1803" s="5" t="n">
        <x:v>1</x:v>
      </x:c>
      <x:c r="H1803" s="5" t="n">
        <x:v>1</x:v>
      </x:c>
      <x:c r="I1803" s="5" t="str">
        <x:v>SEK</x:v>
      </x:c>
      <x:c r="J1803" s="5" t="str">
        <x:v>SOURCE QUOTE; unvalidated / superseded assessments</x:v>
      </x:c>
      <x:c r="L1803" s="31" t="str">
        <x:v>D06, Markdown line 253; http://nas-1.tail55d152.ts.net:4100/static/MEDICAL_NORDICS_FINANCIALS_DOSSIER.html</x:v>
      </x:c>
    </x:row>
    <x:row r="1804" ht="42" customHeight="1">
      <x:c r="A1804" s="5" t="str">
        <x:v>D06</x:v>
      </x:c>
      <x:c r="B1804" s="5" t="str">
        <x:v>D06-T01</x:v>
      </x:c>
      <x:c r="C1804" s="5" t="str">
        <x:v>5. Complete Company Financial Table (135 Facilities Analyzed)</x:v>
      </x:c>
      <x:c r="D1804" s="5" t="n">
        <x:v>253</x:v>
      </x:c>
      <x:c r="E1804" s="5" t="n">
        <x:v>8</x:v>
      </x:c>
      <x:c r="F1804" s="5" t="str">
        <x:v>Fiscal Year</x:v>
      </x:c>
      <x:c r="G1804" s="5" t="n">
        <x:v>1</x:v>
      </x:c>
      <x:c r="H1804" s="5" t="n">
        <x:v>1</x:v>
      </x:c>
      <x:c r="I1804" s="5" t="str">
        <x:v>FY2023</x:v>
      </x:c>
      <x:c r="J1804" s="5" t="str">
        <x:v>SOURCE QUOTE; unvalidated / superseded assessments</x:v>
      </x:c>
      <x:c r="L1804" s="31" t="str">
        <x:v>D06, Markdown line 253; http://nas-1.tail55d152.ts.net:4100/static/MEDICAL_NORDICS_FINANCIALS_DOSSIER.html</x:v>
      </x:c>
    </x:row>
    <x:row r="1805" ht="42" customHeight="1">
      <x:c r="A1805" s="5" t="str">
        <x:v>D06</x:v>
      </x:c>
      <x:c r="B1805" s="5" t="str">
        <x:v>D06-T01</x:v>
      </x:c>
      <x:c r="C1805" s="5" t="str">
        <x:v>5. Complete Company Financial Table (135 Facilities Analyzed)</x:v>
      </x:c>
      <x:c r="D1805" s="5" t="n">
        <x:v>253</x:v>
      </x:c>
      <x:c r="E1805" s="5" t="n">
        <x:v>9</x:v>
      </x:c>
      <x:c r="F1805" s="5" t="str">
        <x:v>Status / Ownership / Strategic Service Alignment</x:v>
      </x:c>
      <x:c r="G1805" s="5" t="n">
        <x:v>1</x:v>
      </x:c>
      <x:c r="H1805" s="5" t="n">
        <x:v>1</x:v>
      </x:c>
      <x:c r="I1805" s="5" t="str">
        <x:v>Private proteomics; Package B &amp; E (Biomarker discovery database architecture)</x:v>
      </x:c>
      <x:c r="J1805" s="5" t="str">
        <x:v>SOURCE QUOTE; unvalidated / superseded assessments</x:v>
      </x:c>
      <x:c r="L1805" s="31" t="str">
        <x:v>D06, Markdown line 253; http://nas-1.tail55d152.ts.net:4100/static/MEDICAL_NORDICS_FINANCIALS_DOSSIER.html</x:v>
      </x:c>
    </x:row>
    <x:row r="1806" ht="42" customHeight="1">
      <x:c r="A1806" s="5" t="str">
        <x:v>D06</x:v>
      </x:c>
      <x:c r="B1806" s="5" t="str">
        <x:v>D06-T01</x:v>
      </x:c>
      <x:c r="C1806" s="5" t="str">
        <x:v>5. Complete Company Financial Table (135 Facilities Analyzed)</x:v>
      </x:c>
      <x:c r="D1806" s="5" t="n">
        <x:v>254</x:v>
      </x:c>
      <x:c r="E1806" s="5" t="n">
        <x:v>1</x:v>
      </x:c>
      <x:c r="F1806" s="5" t="str">
        <x:v>#</x:v>
      </x:c>
      <x:c r="G1806" s="5" t="n">
        <x:v>1</x:v>
      </x:c>
      <x:c r="H1806" s="5" t="n">
        <x:v>1</x:v>
      </x:c>
      <x:c r="I1806" s="5" t="str">
        <x:v>73</x:v>
      </x:c>
      <x:c r="J1806" s="5" t="str">
        <x:v>SOURCE QUOTE; unvalidated / superseded assessments</x:v>
      </x:c>
      <x:c r="L1806" s="31" t="str">
        <x:v>D06, Markdown line 254; http://nas-1.tail55d152.ts.net:4100/static/MEDICAL_NORDICS_FINANCIALS_DOSSIER.html</x:v>
      </x:c>
    </x:row>
    <x:row r="1807" ht="42" customHeight="1">
      <x:c r="A1807" s="5" t="str">
        <x:v>D06</x:v>
      </x:c>
      <x:c r="B1807" s="5" t="str">
        <x:v>D06-T01</x:v>
      </x:c>
      <x:c r="C1807" s="5" t="str">
        <x:v>5. Complete Company Financial Table (135 Facilities Analyzed)</x:v>
      </x:c>
      <x:c r="D1807" s="5" t="n">
        <x:v>254</x:v>
      </x:c>
      <x:c r="E1807" s="5" t="n">
        <x:v>2</x:v>
      </x:c>
      <x:c r="F1807" s="5" t="str">
        <x:v>Company</x:v>
      </x:c>
      <x:c r="G1807" s="5" t="n">
        <x:v>1</x:v>
      </x:c>
      <x:c r="H1807" s="5" t="n">
        <x:v>1</x:v>
      </x:c>
      <x:c r="I1807" s="5" t="str">
        <x:v>Getinge</x:v>
      </x:c>
      <x:c r="J1807" s="5" t="str">
        <x:v>SOURCE QUOTE; unvalidated / superseded assessments</x:v>
      </x:c>
      <x:c r="L1807" s="31" t="str">
        <x:v>D06, Markdown line 254; http://nas-1.tail55d152.ts.net:4100/static/MEDICAL_NORDICS_FINANCIALS_DOSSIER.html</x:v>
      </x:c>
    </x:row>
    <x:row r="1808" ht="42" customHeight="1">
      <x:c r="A1808" s="5" t="str">
        <x:v>D06</x:v>
      </x:c>
      <x:c r="B1808" s="5" t="str">
        <x:v>D06-T01</x:v>
      </x:c>
      <x:c r="C1808" s="5" t="str">
        <x:v>5. Complete Company Financial Table (135 Facilities Analyzed)</x:v>
      </x:c>
      <x:c r="D1808" s="5" t="n">
        <x:v>254</x:v>
      </x:c>
      <x:c r="E1808" s="5" t="n">
        <x:v>3</x:v>
      </x:c>
      <x:c r="F1808" s="5" t="str">
        <x:v>Location</x:v>
      </x:c>
      <x:c r="G1808" s="5" t="n">
        <x:v>1</x:v>
      </x:c>
      <x:c r="H1808" s="5" t="n">
        <x:v>1</x:v>
      </x:c>
      <x:c r="I1808" s="5" t="str">
        <x:v>Solna, Sweden</x:v>
      </x:c>
      <x:c r="J1808" s="5" t="str">
        <x:v>SOURCE QUOTE; unvalidated / superseded assessments</x:v>
      </x:c>
      <x:c r="L1808" s="31" t="str">
        <x:v>D06, Markdown line 254; http://nas-1.tail55d152.ts.net:4100/static/MEDICAL_NORDICS_FINANCIALS_DOSSIER.html</x:v>
      </x:c>
    </x:row>
    <x:row r="1809" ht="42" customHeight="1">
      <x:c r="A1809" s="5" t="str">
        <x:v>D06</x:v>
      </x:c>
      <x:c r="B1809" s="5" t="str">
        <x:v>D06-T01</x:v>
      </x:c>
      <x:c r="C1809" s="5" t="str">
        <x:v>5. Complete Company Financial Table (135 Facilities Analyzed)</x:v>
      </x:c>
      <x:c r="D1809" s="5" t="n">
        <x:v>254</x:v>
      </x:c>
      <x:c r="E1809" s="5" t="n">
        <x:v>4</x:v>
      </x:c>
      <x:c r="F1809" s="5" t="str">
        <x:v>Focus Area</x:v>
      </x:c>
      <x:c r="G1809" s="5" t="n">
        <x:v>1</x:v>
      </x:c>
      <x:c r="H1809" s="5" t="n">
        <x:v>1</x:v>
      </x:c>
      <x:c r="I1809" s="5" t="str">
        <x:v>Surgical Workplaces &amp; Sterilization</x:v>
      </x:c>
      <x:c r="J1809" s="5" t="str">
        <x:v>SOURCE QUOTE; unvalidated / superseded assessments</x:v>
      </x:c>
      <x:c r="L1809" s="31" t="str">
        <x:v>D06, Markdown line 254; http://nas-1.tail55d152.ts.net:4100/static/MEDICAL_NORDICS_FINANCIALS_DOSSIER.html</x:v>
      </x:c>
    </x:row>
    <x:row r="1810" ht="42" customHeight="1">
      <x:c r="A1810" s="5" t="str">
        <x:v>D06</x:v>
      </x:c>
      <x:c r="B1810" s="5" t="str">
        <x:v>D06-T01</x:v>
      </x:c>
      <x:c r="C1810" s="5" t="str">
        <x:v>5. Complete Company Financial Table (135 Facilities Analyzed)</x:v>
      </x:c>
      <x:c r="D1810" s="5" t="n">
        <x:v>254</x:v>
      </x:c>
      <x:c r="E1810" s="5" t="n">
        <x:v>5</x:v>
      </x:c>
      <x:c r="F1810" s="5" t="str">
        <x:v>Revenue / Net Sales</x:v>
      </x:c>
      <x:c r="G1810" s="5" t="n">
        <x:v>1</x:v>
      </x:c>
      <x:c r="H1810" s="5" t="n">
        <x:v>1</x:v>
      </x:c>
      <x:c r="I1810" s="5" t="str">
        <x:v>SEK 34,759.0M (SEK 34.76B)</x:v>
      </x:c>
      <x:c r="J1810" s="5" t="str">
        <x:v>SOURCE QUOTE; unvalidated / superseded assessments</x:v>
      </x:c>
      <x:c r="L1810" s="31" t="str">
        <x:v>D06, Markdown line 254; http://nas-1.tail55d152.ts.net:4100/static/MEDICAL_NORDICS_FINANCIALS_DOSSIER.html</x:v>
      </x:c>
    </x:row>
    <x:row r="1811" ht="42" customHeight="1">
      <x:c r="A1811" s="5" t="str">
        <x:v>D06</x:v>
      </x:c>
      <x:c r="B1811" s="5" t="str">
        <x:v>D06-T01</x:v>
      </x:c>
      <x:c r="C1811" s="5" t="str">
        <x:v>5. Complete Company Financial Table (135 Facilities Analyzed)</x:v>
      </x:c>
      <x:c r="D1811" s="5" t="n">
        <x:v>254</x:v>
      </x:c>
      <x:c r="E1811" s="5" t="n">
        <x:v>6</x:v>
      </x:c>
      <x:c r="F1811" s="5" t="str">
        <x:v>R&amp;D Spend</x:v>
      </x:c>
      <x:c r="G1811" s="5" t="n">
        <x:v>1</x:v>
      </x:c>
      <x:c r="H1811" s="5" t="n">
        <x:v>1</x:v>
      </x:c>
      <x:c r="I1811" s="5" t="str">
        <x:v>SEK 1,745.0M (~5.0% sales)</x:v>
      </x:c>
      <x:c r="J1811" s="5" t="str">
        <x:v>SOURCE QUOTE; unvalidated / superseded assessments</x:v>
      </x:c>
      <x:c r="L1811" s="31" t="str">
        <x:v>D06, Markdown line 254; http://nas-1.tail55d152.ts.net:4100/static/MEDICAL_NORDICS_FINANCIALS_DOSSIER.html</x:v>
      </x:c>
    </x:row>
    <x:row r="1812" ht="42" customHeight="1">
      <x:c r="A1812" s="5" t="str">
        <x:v>D06</x:v>
      </x:c>
      <x:c r="B1812" s="5" t="str">
        <x:v>D06-T01</x:v>
      </x:c>
      <x:c r="C1812" s="5" t="str">
        <x:v>5. Complete Company Financial Table (135 Facilities Analyzed)</x:v>
      </x:c>
      <x:c r="D1812" s="5" t="n">
        <x:v>254</x:v>
      </x:c>
      <x:c r="E1812" s="5" t="n">
        <x:v>7</x:v>
      </x:c>
      <x:c r="F1812" s="5" t="str">
        <x:v>Currency</x:v>
      </x:c>
      <x:c r="G1812" s="5" t="n">
        <x:v>1</x:v>
      </x:c>
      <x:c r="H1812" s="5" t="n">
        <x:v>1</x:v>
      </x:c>
      <x:c r="I1812" s="5" t="str">
        <x:v>SEK</x:v>
      </x:c>
      <x:c r="J1812" s="5" t="str">
        <x:v>SOURCE QUOTE; unvalidated / superseded assessments</x:v>
      </x:c>
      <x:c r="L1812" s="31" t="str">
        <x:v>D06, Markdown line 254; http://nas-1.tail55d152.ts.net:4100/static/MEDICAL_NORDICS_FINANCIALS_DOSSIER.html</x:v>
      </x:c>
    </x:row>
    <x:row r="1813" ht="42" customHeight="1">
      <x:c r="A1813" s="5" t="str">
        <x:v>D06</x:v>
      </x:c>
      <x:c r="B1813" s="5" t="str">
        <x:v>D06-T01</x:v>
      </x:c>
      <x:c r="C1813" s="5" t="str">
        <x:v>5. Complete Company Financial Table (135 Facilities Analyzed)</x:v>
      </x:c>
      <x:c r="D1813" s="5" t="n">
        <x:v>254</x:v>
      </x:c>
      <x:c r="E1813" s="5" t="n">
        <x:v>8</x:v>
      </x:c>
      <x:c r="F1813" s="5" t="str">
        <x:v>Fiscal Year</x:v>
      </x:c>
      <x:c r="G1813" s="5" t="n">
        <x:v>1</x:v>
      </x:c>
      <x:c r="H1813" s="5" t="n">
        <x:v>1</x:v>
      </x:c>
      <x:c r="I1813" s="5" t="str">
        <x:v>FY2024</x:v>
      </x:c>
      <x:c r="J1813" s="5" t="str">
        <x:v>SOURCE QUOTE; unvalidated / superseded assessments</x:v>
      </x:c>
      <x:c r="L1813" s="31" t="str">
        <x:v>D06, Markdown line 254; http://nas-1.tail55d152.ts.net:4100/static/MEDICAL_NORDICS_FINANCIALS_DOSSIER.html</x:v>
      </x:c>
    </x:row>
    <x:row r="1814" ht="42" customHeight="1">
      <x:c r="A1814" s="5" t="str">
        <x:v>D06</x:v>
      </x:c>
      <x:c r="B1814" s="5" t="str">
        <x:v>D06-T01</x:v>
      </x:c>
      <x:c r="C1814" s="5" t="str">
        <x:v>5. Complete Company Financial Table (135 Facilities Analyzed)</x:v>
      </x:c>
      <x:c r="D1814" s="5" t="n">
        <x:v>254</x:v>
      </x:c>
      <x:c r="E1814" s="5" t="n">
        <x:v>9</x:v>
      </x:c>
      <x:c r="F1814" s="5" t="str">
        <x:v>Status / Ownership / Strategic Service Alignment</x:v>
      </x:c>
      <x:c r="G1814" s="5" t="n">
        <x:v>1</x:v>
      </x:c>
      <x:c r="H1814" s="5" t="n">
        <x:v>1</x:v>
      </x:c>
      <x:c r="I1814" s="5" t="str">
        <x:v>Listed (Nasdaq: GETI B); Package A (Hospital surgical table &amp; sterilizer DaaS contracts)</x:v>
      </x:c>
      <x:c r="J1814" s="5" t="str">
        <x:v>SOURCE QUOTE; unvalidated / superseded assessments</x:v>
      </x:c>
      <x:c r="L1814" s="31" t="str">
        <x:v>D06, Markdown line 254; http://nas-1.tail55d152.ts.net:4100/static/MEDICAL_NORDICS_FINANCIALS_DOSSIER.html</x:v>
      </x:c>
    </x:row>
    <x:row r="1815" ht="42" customHeight="1">
      <x:c r="A1815" s="5" t="str">
        <x:v>D06</x:v>
      </x:c>
      <x:c r="B1815" s="5" t="str">
        <x:v>D06-T01</x:v>
      </x:c>
      <x:c r="C1815" s="5" t="str">
        <x:v>5. Complete Company Financial Table (135 Facilities Analyzed)</x:v>
      </x:c>
      <x:c r="D1815" s="5" t="n">
        <x:v>255</x:v>
      </x:c>
      <x:c r="E1815" s="5" t="n">
        <x:v>1</x:v>
      </x:c>
      <x:c r="F1815" s="5" t="str">
        <x:v>#</x:v>
      </x:c>
      <x:c r="G1815" s="5" t="n">
        <x:v>1</x:v>
      </x:c>
      <x:c r="H1815" s="5" t="n">
        <x:v>1</x:v>
      </x:c>
      <x:c r="I1815" s="5" t="str">
        <x:v>74</x:v>
      </x:c>
      <x:c r="J1815" s="5" t="str">
        <x:v>SOURCE QUOTE; unvalidated / superseded assessments</x:v>
      </x:c>
      <x:c r="L1815" s="31" t="str">
        <x:v>D06, Markdown line 255; http://nas-1.tail55d152.ts.net:4100/static/MEDICAL_NORDICS_FINANCIALS_DOSSIER.html</x:v>
      </x:c>
    </x:row>
    <x:row r="1816" ht="42" customHeight="1">
      <x:c r="A1816" s="5" t="str">
        <x:v>D06</x:v>
      </x:c>
      <x:c r="B1816" s="5" t="str">
        <x:v>D06-T01</x:v>
      </x:c>
      <x:c r="C1816" s="5" t="str">
        <x:v>5. Complete Company Financial Table (135 Facilities Analyzed)</x:v>
      </x:c>
      <x:c r="D1816" s="5" t="n">
        <x:v>255</x:v>
      </x:c>
      <x:c r="E1816" s="5" t="n">
        <x:v>2</x:v>
      </x:c>
      <x:c r="F1816" s="5" t="str">
        <x:v>Company</x:v>
      </x:c>
      <x:c r="G1816" s="5" t="n">
        <x:v>1</x:v>
      </x:c>
      <x:c r="H1816" s="5" t="n">
        <x:v>1</x:v>
      </x:c>
      <x:c r="I1816" s="5" t="str">
        <x:v>mEDICORENT</x:v>
      </x:c>
      <x:c r="J1816" s="5" t="str">
        <x:v>SOURCE QUOTE; unvalidated / superseded assessments</x:v>
      </x:c>
      <x:c r="L1816" s="31" t="str">
        <x:v>D06, Markdown line 255; http://nas-1.tail55d152.ts.net:4100/static/MEDICAL_NORDICS_FINANCIALS_DOSSIER.html</x:v>
      </x:c>
    </x:row>
    <x:row r="1817" ht="42" customHeight="1">
      <x:c r="A1817" s="5" t="str">
        <x:v>D06</x:v>
      </x:c>
      <x:c r="B1817" s="5" t="str">
        <x:v>D06-T01</x:v>
      </x:c>
      <x:c r="C1817" s="5" t="str">
        <x:v>5. Complete Company Financial Table (135 Facilities Analyzed)</x:v>
      </x:c>
      <x:c r="D1817" s="5" t="n">
        <x:v>255</x:v>
      </x:c>
      <x:c r="E1817" s="5" t="n">
        <x:v>3</x:v>
      </x:c>
      <x:c r="F1817" s="5" t="str">
        <x:v>Location</x:v>
      </x:c>
      <x:c r="G1817" s="5" t="n">
        <x:v>1</x:v>
      </x:c>
      <x:c r="H1817" s="5" t="n">
        <x:v>1</x:v>
      </x:c>
      <x:c r="I1817" s="5" t="str">
        <x:v>Solna, Sweden</x:v>
      </x:c>
      <x:c r="J1817" s="5" t="str">
        <x:v>SOURCE QUOTE; unvalidated / superseded assessments</x:v>
      </x:c>
      <x:c r="L1817" s="31" t="str">
        <x:v>D06, Markdown line 255; http://nas-1.tail55d152.ts.net:4100/static/MEDICAL_NORDICS_FINANCIALS_DOSSIER.html</x:v>
      </x:c>
    </x:row>
    <x:row r="1818" ht="42" customHeight="1">
      <x:c r="A1818" s="5" t="str">
        <x:v>D06</x:v>
      </x:c>
      <x:c r="B1818" s="5" t="str">
        <x:v>D06-T01</x:v>
      </x:c>
      <x:c r="C1818" s="5" t="str">
        <x:v>5. Complete Company Financial Table (135 Facilities Analyzed)</x:v>
      </x:c>
      <x:c r="D1818" s="5" t="n">
        <x:v>255</x:v>
      </x:c>
      <x:c r="E1818" s="5" t="n">
        <x:v>4</x:v>
      </x:c>
      <x:c r="F1818" s="5" t="str">
        <x:v>Focus Area</x:v>
      </x:c>
      <x:c r="G1818" s="5" t="n">
        <x:v>1</x:v>
      </x:c>
      <x:c r="H1818" s="5" t="n">
        <x:v>1</x:v>
      </x:c>
      <x:c r="I1818" s="5" t="str">
        <x:v>Clinical Outsourcing &amp; Monitoring</x:v>
      </x:c>
      <x:c r="J1818" s="5" t="str">
        <x:v>SOURCE QUOTE; unvalidated / superseded assessments</x:v>
      </x:c>
      <x:c r="L1818" s="31" t="str">
        <x:v>D06, Markdown line 255; http://nas-1.tail55d152.ts.net:4100/static/MEDICAL_NORDICS_FINANCIALS_DOSSIER.html</x:v>
      </x:c>
    </x:row>
    <x:row r="1819" ht="42" customHeight="1">
      <x:c r="A1819" s="5" t="str">
        <x:v>D06</x:v>
      </x:c>
      <x:c r="B1819" s="5" t="str">
        <x:v>D06-T01</x:v>
      </x:c>
      <x:c r="C1819" s="5" t="str">
        <x:v>5. Complete Company Financial Table (135 Facilities Analyzed)</x:v>
      </x:c>
      <x:c r="D1819" s="5" t="n">
        <x:v>255</x:v>
      </x:c>
      <x:c r="E1819" s="5" t="n">
        <x:v>5</x:v>
      </x:c>
      <x:c r="F1819" s="5" t="str">
        <x:v>Revenue / Net Sales</x:v>
      </x:c>
      <x:c r="G1819" s="5" t="n">
        <x:v>1</x:v>
      </x:c>
      <x:c r="H1819" s="5" t="n">
        <x:v>1</x:v>
      </x:c>
      <x:c r="I1819" s="5" t="str">
        <x:v>SEK 22.5M</x:v>
      </x:c>
      <x:c r="J1819" s="5" t="str">
        <x:v>SOURCE QUOTE; unvalidated / superseded assessments</x:v>
      </x:c>
      <x:c r="L1819" s="31" t="str">
        <x:v>D06, Markdown line 255; http://nas-1.tail55d152.ts.net:4100/static/MEDICAL_NORDICS_FINANCIALS_DOSSIER.html</x:v>
      </x:c>
    </x:row>
    <x:row r="1820" ht="42" customHeight="1">
      <x:c r="A1820" s="5" t="str">
        <x:v>D06</x:v>
      </x:c>
      <x:c r="B1820" s="5" t="str">
        <x:v>D06-T01</x:v>
      </x:c>
      <x:c r="C1820" s="5" t="str">
        <x:v>5. Complete Company Financial Table (135 Facilities Analyzed)</x:v>
      </x:c>
      <x:c r="D1820" s="5" t="n">
        <x:v>255</x:v>
      </x:c>
      <x:c r="E1820" s="5" t="n">
        <x:v>6</x:v>
      </x:c>
      <x:c r="F1820" s="5" t="str">
        <x:v>R&amp;D Spend</x:v>
      </x:c>
      <x:c r="G1820" s="5" t="n">
        <x:v>1</x:v>
      </x:c>
      <x:c r="H1820" s="5" t="n">
        <x:v>1</x:v>
      </x:c>
      <x:c r="I1820" s="5" t="str">
        <x:v>SEK 1.2M</x:v>
      </x:c>
      <x:c r="J1820" s="5" t="str">
        <x:v>SOURCE QUOTE; unvalidated / superseded assessments</x:v>
      </x:c>
      <x:c r="L1820" s="31" t="str">
        <x:v>D06, Markdown line 255; http://nas-1.tail55d152.ts.net:4100/static/MEDICAL_NORDICS_FINANCIALS_DOSSIER.html</x:v>
      </x:c>
    </x:row>
    <x:row r="1821" ht="42" customHeight="1">
      <x:c r="A1821" s="5" t="str">
        <x:v>D06</x:v>
      </x:c>
      <x:c r="B1821" s="5" t="str">
        <x:v>D06-T01</x:v>
      </x:c>
      <x:c r="C1821" s="5" t="str">
        <x:v>5. Complete Company Financial Table (135 Facilities Analyzed)</x:v>
      </x:c>
      <x:c r="D1821" s="5" t="n">
        <x:v>255</x:v>
      </x:c>
      <x:c r="E1821" s="5" t="n">
        <x:v>7</x:v>
      </x:c>
      <x:c r="F1821" s="5" t="str">
        <x:v>Currency</x:v>
      </x:c>
      <x:c r="G1821" s="5" t="n">
        <x:v>1</x:v>
      </x:c>
      <x:c r="H1821" s="5" t="n">
        <x:v>1</x:v>
      </x:c>
      <x:c r="I1821" s="5" t="str">
        <x:v>SEK</x:v>
      </x:c>
      <x:c r="J1821" s="5" t="str">
        <x:v>SOURCE QUOTE; unvalidated / superseded assessments</x:v>
      </x:c>
      <x:c r="L1821" s="31" t="str">
        <x:v>D06, Markdown line 255; http://nas-1.tail55d152.ts.net:4100/static/MEDICAL_NORDICS_FINANCIALS_DOSSIER.html</x:v>
      </x:c>
    </x:row>
    <x:row r="1822" ht="42" customHeight="1">
      <x:c r="A1822" s="5" t="str">
        <x:v>D06</x:v>
      </x:c>
      <x:c r="B1822" s="5" t="str">
        <x:v>D06-T01</x:v>
      </x:c>
      <x:c r="C1822" s="5" t="str">
        <x:v>5. Complete Company Financial Table (135 Facilities Analyzed)</x:v>
      </x:c>
      <x:c r="D1822" s="5" t="n">
        <x:v>255</x:v>
      </x:c>
      <x:c r="E1822" s="5" t="n">
        <x:v>8</x:v>
      </x:c>
      <x:c r="F1822" s="5" t="str">
        <x:v>Fiscal Year</x:v>
      </x:c>
      <x:c r="G1822" s="5" t="n">
        <x:v>1</x:v>
      </x:c>
      <x:c r="H1822" s="5" t="n">
        <x:v>1</x:v>
      </x:c>
      <x:c r="I1822" s="5" t="str">
        <x:v>FY2023</x:v>
      </x:c>
      <x:c r="J1822" s="5" t="str">
        <x:v>SOURCE QUOTE; unvalidated / superseded assessments</x:v>
      </x:c>
      <x:c r="L1822" s="31" t="str">
        <x:v>D06, Markdown line 255; http://nas-1.tail55d152.ts.net:4100/static/MEDICAL_NORDICS_FINANCIALS_DOSSIER.html</x:v>
      </x:c>
    </x:row>
    <x:row r="1823" ht="42" customHeight="1">
      <x:c r="A1823" s="5" t="str">
        <x:v>D06</x:v>
      </x:c>
      <x:c r="B1823" s="5" t="str">
        <x:v>D06-T01</x:v>
      </x:c>
      <x:c r="C1823" s="5" t="str">
        <x:v>5. Complete Company Financial Table (135 Facilities Analyzed)</x:v>
      </x:c>
      <x:c r="D1823" s="5" t="n">
        <x:v>255</x:v>
      </x:c>
      <x:c r="E1823" s="5" t="n">
        <x:v>9</x:v>
      </x:c>
      <x:c r="F1823" s="5" t="str">
        <x:v>Status / Ownership / Strategic Service Alignment</x:v>
      </x:c>
      <x:c r="G1823" s="5" t="n">
        <x:v>1</x:v>
      </x:c>
      <x:c r="H1823" s="5" t="n">
        <x:v>1</x:v>
      </x:c>
      <x:c r="I1823" s="5" t="str">
        <x:v>Private staffing; Package B (Clinical trial site monitor management portal)</x:v>
      </x:c>
      <x:c r="J1823" s="5" t="str">
        <x:v>SOURCE QUOTE; unvalidated / superseded assessments</x:v>
      </x:c>
      <x:c r="L1823" s="31" t="str">
        <x:v>D06, Markdown line 255; http://nas-1.tail55d152.ts.net:4100/static/MEDICAL_NORDICS_FINANCIALS_DOSSIER.html</x:v>
      </x:c>
    </x:row>
    <x:row r="1824" ht="42" customHeight="1">
      <x:c r="A1824" s="5" t="str">
        <x:v>D06</x:v>
      </x:c>
      <x:c r="B1824" s="5" t="str">
        <x:v>D06-T01</x:v>
      </x:c>
      <x:c r="C1824" s="5" t="str">
        <x:v>5. Complete Company Financial Table (135 Facilities Analyzed)</x:v>
      </x:c>
      <x:c r="D1824" s="5" t="n">
        <x:v>256</x:v>
      </x:c>
      <x:c r="E1824" s="5" t="n">
        <x:v>1</x:v>
      </x:c>
      <x:c r="F1824" s="5" t="str">
        <x:v>#</x:v>
      </x:c>
      <x:c r="G1824" s="5" t="n">
        <x:v>1</x:v>
      </x:c>
      <x:c r="H1824" s="5" t="n">
        <x:v>1</x:v>
      </x:c>
      <x:c r="I1824" s="5" t="str">
        <x:v>75</x:v>
      </x:c>
      <x:c r="J1824" s="5" t="str">
        <x:v>SOURCE QUOTE; unvalidated / superseded assessments</x:v>
      </x:c>
      <x:c r="L1824" s="31" t="str">
        <x:v>D06, Markdown line 256; http://nas-1.tail55d152.ts.net:4100/static/MEDICAL_NORDICS_FINANCIALS_DOSSIER.html</x:v>
      </x:c>
    </x:row>
    <x:row r="1825" ht="42" customHeight="1">
      <x:c r="A1825" s="5" t="str">
        <x:v>D06</x:v>
      </x:c>
      <x:c r="B1825" s="5" t="str">
        <x:v>D06-T01</x:v>
      </x:c>
      <x:c r="C1825" s="5" t="str">
        <x:v>5. Complete Company Financial Table (135 Facilities Analyzed)</x:v>
      </x:c>
      <x:c r="D1825" s="5" t="n">
        <x:v>256</x:v>
      </x:c>
      <x:c r="E1825" s="5" t="n">
        <x:v>2</x:v>
      </x:c>
      <x:c r="F1825" s="5" t="str">
        <x:v>Company</x:v>
      </x:c>
      <x:c r="G1825" s="5" t="n">
        <x:v>1</x:v>
      </x:c>
      <x:c r="H1825" s="5" t="n">
        <x:v>1</x:v>
      </x:c>
      <x:c r="I1825" s="5" t="str">
        <x:v>Meribel Pharma Group</x:v>
      </x:c>
      <x:c r="J1825" s="5" t="str">
        <x:v>SOURCE QUOTE; unvalidated / superseded assessments</x:v>
      </x:c>
      <x:c r="L1825" s="31" t="str">
        <x:v>D06, Markdown line 256; http://nas-1.tail55d152.ts.net:4100/static/MEDICAL_NORDICS_FINANCIALS_DOSSIER.html</x:v>
      </x:c>
    </x:row>
    <x:row r="1826" ht="42" customHeight="1">
      <x:c r="A1826" s="5" t="str">
        <x:v>D06</x:v>
      </x:c>
      <x:c r="B1826" s="5" t="str">
        <x:v>D06-T01</x:v>
      </x:c>
      <x:c r="C1826" s="5" t="str">
        <x:v>5. Complete Company Financial Table (135 Facilities Analyzed)</x:v>
      </x:c>
      <x:c r="D1826" s="5" t="n">
        <x:v>256</x:v>
      </x:c>
      <x:c r="E1826" s="5" t="n">
        <x:v>3</x:v>
      </x:c>
      <x:c r="F1826" s="5" t="str">
        <x:v>Location</x:v>
      </x:c>
      <x:c r="G1826" s="5" t="n">
        <x:v>1</x:v>
      </x:c>
      <x:c r="H1826" s="5" t="n">
        <x:v>1</x:v>
      </x:c>
      <x:c r="I1826" s="5" t="str">
        <x:v>Solna, Sweden</x:v>
      </x:c>
      <x:c r="J1826" s="5" t="str">
        <x:v>SOURCE QUOTE; unvalidated / superseded assessments</x:v>
      </x:c>
      <x:c r="L1826" s="31" t="str">
        <x:v>D06, Markdown line 256; http://nas-1.tail55d152.ts.net:4100/static/MEDICAL_NORDICS_FINANCIALS_DOSSIER.html</x:v>
      </x:c>
    </x:row>
    <x:row r="1827" ht="42" customHeight="1">
      <x:c r="A1827" s="5" t="str">
        <x:v>D06</x:v>
      </x:c>
      <x:c r="B1827" s="5" t="str">
        <x:v>D06-T01</x:v>
      </x:c>
      <x:c r="C1827" s="5" t="str">
        <x:v>5. Complete Company Financial Table (135 Facilities Analyzed)</x:v>
      </x:c>
      <x:c r="D1827" s="5" t="n">
        <x:v>256</x:v>
      </x:c>
      <x:c r="E1827" s="5" t="n">
        <x:v>4</x:v>
      </x:c>
      <x:c r="F1827" s="5" t="str">
        <x:v>Focus Area</x:v>
      </x:c>
      <x:c r="G1827" s="5" t="n">
        <x:v>1</x:v>
      </x:c>
      <x:c r="H1827" s="5" t="n">
        <x:v>1</x:v>
      </x:c>
      <x:c r="I1827" s="5" t="str">
        <x:v>Pharmaceutical Corporate Headquarters</x:v>
      </x:c>
      <x:c r="J1827" s="5" t="str">
        <x:v>SOURCE QUOTE; unvalidated / superseded assessments</x:v>
      </x:c>
      <x:c r="L1827" s="31" t="str">
        <x:v>D06, Markdown line 256; http://nas-1.tail55d152.ts.net:4100/static/MEDICAL_NORDICS_FINANCIALS_DOSSIER.html</x:v>
      </x:c>
    </x:row>
    <x:row r="1828" ht="42" customHeight="1">
      <x:c r="A1828" s="5" t="str">
        <x:v>D06</x:v>
      </x:c>
      <x:c r="B1828" s="5" t="str">
        <x:v>D06-T01</x:v>
      </x:c>
      <x:c r="C1828" s="5" t="str">
        <x:v>5. Complete Company Financial Table (135 Facilities Analyzed)</x:v>
      </x:c>
      <x:c r="D1828" s="5" t="n">
        <x:v>256</x:v>
      </x:c>
      <x:c r="E1828" s="5" t="n">
        <x:v>5</x:v>
      </x:c>
      <x:c r="F1828" s="5" t="str">
        <x:v>Revenue / Net Sales</x:v>
      </x:c>
      <x:c r="G1828" s="5" t="n">
        <x:v>1</x:v>
      </x:c>
      <x:c r="H1828" s="5" t="n">
        <x:v>1</x:v>
      </x:c>
      <x:c r="I1828" s="5" t="str">
        <x:v>SEK 55.0M est.</x:v>
      </x:c>
      <x:c r="J1828" s="5" t="str">
        <x:v>SOURCE QUOTE; unvalidated / superseded assessments</x:v>
      </x:c>
      <x:c r="L1828" s="31" t="str">
        <x:v>D06, Markdown line 256; http://nas-1.tail55d152.ts.net:4100/static/MEDICAL_NORDICS_FINANCIALS_DOSSIER.html</x:v>
      </x:c>
    </x:row>
    <x:row r="1829" ht="42" customHeight="1">
      <x:c r="A1829" s="5" t="str">
        <x:v>D06</x:v>
      </x:c>
      <x:c r="B1829" s="5" t="str">
        <x:v>D06-T01</x:v>
      </x:c>
      <x:c r="C1829" s="5" t="str">
        <x:v>5. Complete Company Financial Table (135 Facilities Analyzed)</x:v>
      </x:c>
      <x:c r="D1829" s="5" t="n">
        <x:v>256</x:v>
      </x:c>
      <x:c r="E1829" s="5" t="n">
        <x:v>6</x:v>
      </x:c>
      <x:c r="F1829" s="5" t="str">
        <x:v>R&amp;D Spend</x:v>
      </x:c>
      <x:c r="G1829" s="5" t="n">
        <x:v>1</x:v>
      </x:c>
      <x:c r="H1829" s="5" t="n">
        <x:v>1</x:v>
      </x:c>
      <x:c r="I1829" s="5" t="str">
        <x:v>SEK 5.5M</x:v>
      </x:c>
      <x:c r="J1829" s="5" t="str">
        <x:v>SOURCE QUOTE; unvalidated / superseded assessments</x:v>
      </x:c>
      <x:c r="L1829" s="31" t="str">
        <x:v>D06, Markdown line 256; http://nas-1.tail55d152.ts.net:4100/static/MEDICAL_NORDICS_FINANCIALS_DOSSIER.html</x:v>
      </x:c>
    </x:row>
    <x:row r="1830" ht="42" customHeight="1">
      <x:c r="A1830" s="5" t="str">
        <x:v>D06</x:v>
      </x:c>
      <x:c r="B1830" s="5" t="str">
        <x:v>D06-T01</x:v>
      </x:c>
      <x:c r="C1830" s="5" t="str">
        <x:v>5. Complete Company Financial Table (135 Facilities Analyzed)</x:v>
      </x:c>
      <x:c r="D1830" s="5" t="n">
        <x:v>256</x:v>
      </x:c>
      <x:c r="E1830" s="5" t="n">
        <x:v>7</x:v>
      </x:c>
      <x:c r="F1830" s="5" t="str">
        <x:v>Currency</x:v>
      </x:c>
      <x:c r="G1830" s="5" t="n">
        <x:v>1</x:v>
      </x:c>
      <x:c r="H1830" s="5" t="n">
        <x:v>1</x:v>
      </x:c>
      <x:c r="I1830" s="5" t="str">
        <x:v>SEK</x:v>
      </x:c>
      <x:c r="J1830" s="5" t="str">
        <x:v>SOURCE QUOTE; unvalidated / superseded assessments</x:v>
      </x:c>
      <x:c r="L1830" s="31" t="str">
        <x:v>D06, Markdown line 256; http://nas-1.tail55d152.ts.net:4100/static/MEDICAL_NORDICS_FINANCIALS_DOSSIER.html</x:v>
      </x:c>
    </x:row>
    <x:row r="1831" ht="42" customHeight="1">
      <x:c r="A1831" s="5" t="str">
        <x:v>D06</x:v>
      </x:c>
      <x:c r="B1831" s="5" t="str">
        <x:v>D06-T01</x:v>
      </x:c>
      <x:c r="C1831" s="5" t="str">
        <x:v>5. Complete Company Financial Table (135 Facilities Analyzed)</x:v>
      </x:c>
      <x:c r="D1831" s="5" t="n">
        <x:v>256</x:v>
      </x:c>
      <x:c r="E1831" s="5" t="n">
        <x:v>8</x:v>
      </x:c>
      <x:c r="F1831" s="5" t="str">
        <x:v>Fiscal Year</x:v>
      </x:c>
      <x:c r="G1831" s="5" t="n">
        <x:v>1</x:v>
      </x:c>
      <x:c r="H1831" s="5" t="n">
        <x:v>1</x:v>
      </x:c>
      <x:c r="I1831" s="5" t="str">
        <x:v>FY2023</x:v>
      </x:c>
      <x:c r="J1831" s="5" t="str">
        <x:v>SOURCE QUOTE; unvalidated / superseded assessments</x:v>
      </x:c>
      <x:c r="L1831" s="31" t="str">
        <x:v>D06, Markdown line 256; http://nas-1.tail55d152.ts.net:4100/static/MEDICAL_NORDICS_FINANCIALS_DOSSIER.html</x:v>
      </x:c>
    </x:row>
    <x:row r="1832" ht="42" customHeight="1">
      <x:c r="A1832" s="5" t="str">
        <x:v>D06</x:v>
      </x:c>
      <x:c r="B1832" s="5" t="str">
        <x:v>D06-T01</x:v>
      </x:c>
      <x:c r="C1832" s="5" t="str">
        <x:v>5. Complete Company Financial Table (135 Facilities Analyzed)</x:v>
      </x:c>
      <x:c r="D1832" s="5" t="n">
        <x:v>256</x:v>
      </x:c>
      <x:c r="E1832" s="5" t="n">
        <x:v>9</x:v>
      </x:c>
      <x:c r="F1832" s="5" t="str">
        <x:v>Status / Ownership / Strategic Service Alignment</x:v>
      </x:c>
      <x:c r="G1832" s="5" t="n">
        <x:v>1</x:v>
      </x:c>
      <x:c r="H1832" s="5" t="n">
        <x:v>1</x:v>
      </x:c>
      <x:c r="I1832" s="5" t="str">
        <x:v>Private CDMO HQ; Package C (Group-wide contract manufacturing ERP consolidation)</x:v>
      </x:c>
      <x:c r="J1832" s="5" t="str">
        <x:v>SOURCE QUOTE; unvalidated / superseded assessments</x:v>
      </x:c>
      <x:c r="L1832" s="31" t="str">
        <x:v>D06, Markdown line 256; http://nas-1.tail55d152.ts.net:4100/static/MEDICAL_NORDICS_FINANCIALS_DOSSIER.html</x:v>
      </x:c>
    </x:row>
    <x:row r="1833" ht="42" customHeight="1">
      <x:c r="A1833" s="5" t="str">
        <x:v>D06</x:v>
      </x:c>
      <x:c r="B1833" s="5" t="str">
        <x:v>D06-T01</x:v>
      </x:c>
      <x:c r="C1833" s="5" t="str">
        <x:v>5. Complete Company Financial Table (135 Facilities Analyzed)</x:v>
      </x:c>
      <x:c r="D1833" s="5" t="n">
        <x:v>257</x:v>
      </x:c>
      <x:c r="E1833" s="5" t="n">
        <x:v>1</x:v>
      </x:c>
      <x:c r="F1833" s="5" t="str">
        <x:v>#</x:v>
      </x:c>
      <x:c r="G1833" s="5" t="n">
        <x:v>1</x:v>
      </x:c>
      <x:c r="H1833" s="5" t="n">
        <x:v>1</x:v>
      </x:c>
      <x:c r="I1833" s="5" t="str">
        <x:v>76</x:v>
      </x:c>
      <x:c r="J1833" s="5" t="str">
        <x:v>SOURCE QUOTE; unvalidated / superseded assessments</x:v>
      </x:c>
      <x:c r="L1833" s="31" t="str">
        <x:v>D06, Markdown line 257; http://nas-1.tail55d152.ts.net:4100/static/MEDICAL_NORDICS_FINANCIALS_DOSSIER.html</x:v>
      </x:c>
    </x:row>
    <x:row r="1834" ht="42" customHeight="1">
      <x:c r="A1834" s="5" t="str">
        <x:v>D06</x:v>
      </x:c>
      <x:c r="B1834" s="5" t="str">
        <x:v>D06-T01</x:v>
      </x:c>
      <x:c r="C1834" s="5" t="str">
        <x:v>5. Complete Company Financial Table (135 Facilities Analyzed)</x:v>
      </x:c>
      <x:c r="D1834" s="5" t="n">
        <x:v>257</x:v>
      </x:c>
      <x:c r="E1834" s="5" t="n">
        <x:v>2</x:v>
      </x:c>
      <x:c r="F1834" s="5" t="str">
        <x:v>Company</x:v>
      </x:c>
      <x:c r="G1834" s="5" t="n">
        <x:v>1</x:v>
      </x:c>
      <x:c r="H1834" s="5" t="n">
        <x:v>1</x:v>
      </x:c>
      <x:c r="I1834" s="5" t="str">
        <x:v>Moleculent</x:v>
      </x:c>
      <x:c r="J1834" s="5" t="str">
        <x:v>SOURCE QUOTE; unvalidated / superseded assessments</x:v>
      </x:c>
      <x:c r="L1834" s="31" t="str">
        <x:v>D06, Markdown line 257; http://nas-1.tail55d152.ts.net:4100/static/MEDICAL_NORDICS_FINANCIALS_DOSSIER.html</x:v>
      </x:c>
    </x:row>
    <x:row r="1835" ht="42" customHeight="1">
      <x:c r="A1835" s="5" t="str">
        <x:v>D06</x:v>
      </x:c>
      <x:c r="B1835" s="5" t="str">
        <x:v>D06-T01</x:v>
      </x:c>
      <x:c r="C1835" s="5" t="str">
        <x:v>5. Complete Company Financial Table (135 Facilities Analyzed)</x:v>
      </x:c>
      <x:c r="D1835" s="5" t="n">
        <x:v>257</x:v>
      </x:c>
      <x:c r="E1835" s="5" t="n">
        <x:v>3</x:v>
      </x:c>
      <x:c r="F1835" s="5" t="str">
        <x:v>Location</x:v>
      </x:c>
      <x:c r="G1835" s="5" t="n">
        <x:v>1</x:v>
      </x:c>
      <x:c r="H1835" s="5" t="n">
        <x:v>1</x:v>
      </x:c>
      <x:c r="I1835" s="5" t="str">
        <x:v>Solna, Sweden</x:v>
      </x:c>
      <x:c r="J1835" s="5" t="str">
        <x:v>SOURCE QUOTE; unvalidated / superseded assessments</x:v>
      </x:c>
      <x:c r="L1835" s="31" t="str">
        <x:v>D06, Markdown line 257; http://nas-1.tail55d152.ts.net:4100/static/MEDICAL_NORDICS_FINANCIALS_DOSSIER.html</x:v>
      </x:c>
    </x:row>
    <x:row r="1836" ht="42" customHeight="1">
      <x:c r="A1836" s="5" t="str">
        <x:v>D06</x:v>
      </x:c>
      <x:c r="B1836" s="5" t="str">
        <x:v>D06-T01</x:v>
      </x:c>
      <x:c r="C1836" s="5" t="str">
        <x:v>5. Complete Company Financial Table (135 Facilities Analyzed)</x:v>
      </x:c>
      <x:c r="D1836" s="5" t="n">
        <x:v>257</x:v>
      </x:c>
      <x:c r="E1836" s="5" t="n">
        <x:v>4</x:v>
      </x:c>
      <x:c r="F1836" s="5" t="str">
        <x:v>Focus Area</x:v>
      </x:c>
      <x:c r="G1836" s="5" t="n">
        <x:v>1</x:v>
      </x:c>
      <x:c r="H1836" s="5" t="n">
        <x:v>1</x:v>
      </x:c>
      <x:c r="I1836" s="5" t="str">
        <x:v>Spatial Functional Cell Interactions</x:v>
      </x:c>
      <x:c r="J1836" s="5" t="str">
        <x:v>SOURCE QUOTE; unvalidated / superseded assessments</x:v>
      </x:c>
      <x:c r="L1836" s="31" t="str">
        <x:v>D06, Markdown line 257; http://nas-1.tail55d152.ts.net:4100/static/MEDICAL_NORDICS_FINANCIALS_DOSSIER.html</x:v>
      </x:c>
    </x:row>
    <x:row r="1837" ht="42" customHeight="1">
      <x:c r="A1837" s="5" t="str">
        <x:v>D06</x:v>
      </x:c>
      <x:c r="B1837" s="5" t="str">
        <x:v>D06-T01</x:v>
      </x:c>
      <x:c r="C1837" s="5" t="str">
        <x:v>5. Complete Company Financial Table (135 Facilities Analyzed)</x:v>
      </x:c>
      <x:c r="D1837" s="5" t="n">
        <x:v>257</x:v>
      </x:c>
      <x:c r="E1837" s="5" t="n">
        <x:v>5</x:v>
      </x:c>
      <x:c r="F1837" s="5" t="str">
        <x:v>Revenue / Net Sales</x:v>
      </x:c>
      <x:c r="G1837" s="5" t="n">
        <x:v>1</x:v>
      </x:c>
      <x:c r="H1837" s="5" t="n">
        <x:v>1</x:v>
      </x:c>
      <x:c r="I1837" s="5" t="str">
        <x:v>USD 0M (Pre-commercial)</x:v>
      </x:c>
      <x:c r="J1837" s="5" t="str">
        <x:v>SOURCE QUOTE; unvalidated / superseded assessments</x:v>
      </x:c>
      <x:c r="L1837" s="31" t="str">
        <x:v>D06, Markdown line 257; http://nas-1.tail55d152.ts.net:4100/static/MEDICAL_NORDICS_FINANCIALS_DOSSIER.html</x:v>
      </x:c>
    </x:row>
    <x:row r="1838" ht="42" customHeight="1">
      <x:c r="A1838" s="5" t="str">
        <x:v>D06</x:v>
      </x:c>
      <x:c r="B1838" s="5" t="str">
        <x:v>D06-T01</x:v>
      </x:c>
      <x:c r="C1838" s="5" t="str">
        <x:v>5. Complete Company Financial Table (135 Facilities Analyzed)</x:v>
      </x:c>
      <x:c r="D1838" s="5" t="n">
        <x:v>257</x:v>
      </x:c>
      <x:c r="E1838" s="5" t="n">
        <x:v>6</x:v>
      </x:c>
      <x:c r="F1838" s="5" t="str">
        <x:v>R&amp;D Spend</x:v>
      </x:c>
      <x:c r="G1838" s="5" t="n">
        <x:v>1</x:v>
      </x:c>
      <x:c r="H1838" s="5" t="n">
        <x:v>1</x:v>
      </x:c>
      <x:c r="I1838" s="5" t="str">
        <x:v>USD 5.5M (~SEK 58M)</x:v>
      </x:c>
      <x:c r="J1838" s="5" t="str">
        <x:v>SOURCE QUOTE; unvalidated / superseded assessments</x:v>
      </x:c>
      <x:c r="L1838" s="31" t="str">
        <x:v>D06, Markdown line 257; http://nas-1.tail55d152.ts.net:4100/static/MEDICAL_NORDICS_FINANCIALS_DOSSIER.html</x:v>
      </x:c>
    </x:row>
    <x:row r="1839" ht="42" customHeight="1">
      <x:c r="A1839" s="5" t="str">
        <x:v>D06</x:v>
      </x:c>
      <x:c r="B1839" s="5" t="str">
        <x:v>D06-T01</x:v>
      </x:c>
      <x:c r="C1839" s="5" t="str">
        <x:v>5. Complete Company Financial Table (135 Facilities Analyzed)</x:v>
      </x:c>
      <x:c r="D1839" s="5" t="n">
        <x:v>257</x:v>
      </x:c>
      <x:c r="E1839" s="5" t="n">
        <x:v>7</x:v>
      </x:c>
      <x:c r="F1839" s="5" t="str">
        <x:v>Currency</x:v>
      </x:c>
      <x:c r="G1839" s="5" t="n">
        <x:v>1</x:v>
      </x:c>
      <x:c r="H1839" s="5" t="n">
        <x:v>1</x:v>
      </x:c>
      <x:c r="I1839" s="5" t="str">
        <x:v>USD</x:v>
      </x:c>
      <x:c r="J1839" s="5" t="str">
        <x:v>SOURCE QUOTE; unvalidated / superseded assessments</x:v>
      </x:c>
      <x:c r="L1839" s="31" t="str">
        <x:v>D06, Markdown line 257; http://nas-1.tail55d152.ts.net:4100/static/MEDICAL_NORDICS_FINANCIALS_DOSSIER.html</x:v>
      </x:c>
    </x:row>
    <x:row r="1840" ht="42" customHeight="1">
      <x:c r="A1840" s="5" t="str">
        <x:v>D06</x:v>
      </x:c>
      <x:c r="B1840" s="5" t="str">
        <x:v>D06-T01</x:v>
      </x:c>
      <x:c r="C1840" s="5" t="str">
        <x:v>5. Complete Company Financial Table (135 Facilities Analyzed)</x:v>
      </x:c>
      <x:c r="D1840" s="5" t="n">
        <x:v>257</x:v>
      </x:c>
      <x:c r="E1840" s="5" t="n">
        <x:v>8</x:v>
      </x:c>
      <x:c r="F1840" s="5" t="str">
        <x:v>Fiscal Year</x:v>
      </x:c>
      <x:c r="G1840" s="5" t="n">
        <x:v>1</x:v>
      </x:c>
      <x:c r="H1840" s="5" t="n">
        <x:v>1</x:v>
      </x:c>
      <x:c r="I1840" s="5" t="str">
        <x:v>FY2024</x:v>
      </x:c>
      <x:c r="J1840" s="5" t="str">
        <x:v>SOURCE QUOTE; unvalidated / superseded assessments</x:v>
      </x:c>
      <x:c r="L1840" s="31" t="str">
        <x:v>D06, Markdown line 257; http://nas-1.tail55d152.ts.net:4100/static/MEDICAL_NORDICS_FINANCIALS_DOSSIER.html</x:v>
      </x:c>
    </x:row>
    <x:row r="1841" ht="42" customHeight="1">
      <x:c r="A1841" s="5" t="str">
        <x:v>D06</x:v>
      </x:c>
      <x:c r="B1841" s="5" t="str">
        <x:v>D06-T01</x:v>
      </x:c>
      <x:c r="C1841" s="5" t="str">
        <x:v>5. Complete Company Financial Table (135 Facilities Analyzed)</x:v>
      </x:c>
      <x:c r="D1841" s="5" t="n">
        <x:v>257</x:v>
      </x:c>
      <x:c r="E1841" s="5" t="n">
        <x:v>9</x:v>
      </x:c>
      <x:c r="F1841" s="5" t="str">
        <x:v>Status / Ownership / Strategic Service Alignment</x:v>
      </x:c>
      <x:c r="G1841" s="5" t="n">
        <x:v>1</x:v>
      </x:c>
      <x:c r="H1841" s="5" t="n">
        <x:v>1</x:v>
      </x:c>
      <x:c r="I1841" s="5" t="str">
        <x:v>Private ($46M funding); Package B &amp; E (Spatial biology high-throughput cloud processing)</x:v>
      </x:c>
      <x:c r="J1841" s="5" t="str">
        <x:v>SOURCE QUOTE; unvalidated / superseded assessments</x:v>
      </x:c>
      <x:c r="L1841" s="31" t="str">
        <x:v>D06, Markdown line 257; http://nas-1.tail55d152.ts.net:4100/static/MEDICAL_NORDICS_FINANCIALS_DOSSIER.html</x:v>
      </x:c>
    </x:row>
    <x:row r="1842" ht="42" customHeight="1">
      <x:c r="A1842" s="5" t="str">
        <x:v>D06</x:v>
      </x:c>
      <x:c r="B1842" s="5" t="str">
        <x:v>D06-T01</x:v>
      </x:c>
      <x:c r="C1842" s="5" t="str">
        <x:v>5. Complete Company Financial Table (135 Facilities Analyzed)</x:v>
      </x:c>
      <x:c r="D1842" s="5" t="n">
        <x:v>258</x:v>
      </x:c>
      <x:c r="E1842" s="5" t="n">
        <x:v>1</x:v>
      </x:c>
      <x:c r="F1842" s="5" t="str">
        <x:v>#</x:v>
      </x:c>
      <x:c r="G1842" s="5" t="n">
        <x:v>1</x:v>
      </x:c>
      <x:c r="H1842" s="5" t="n">
        <x:v>1</x:v>
      </x:c>
      <x:c r="I1842" s="5" t="str">
        <x:v>77</x:v>
      </x:c>
      <x:c r="J1842" s="5" t="str">
        <x:v>SOURCE QUOTE; unvalidated / superseded assessments</x:v>
      </x:c>
      <x:c r="L1842" s="31" t="str">
        <x:v>D06, Markdown line 258; http://nas-1.tail55d152.ts.net:4100/static/MEDICAL_NORDICS_FINANCIALS_DOSSIER.html</x:v>
      </x:c>
    </x:row>
    <x:row r="1843" ht="42" customHeight="1">
      <x:c r="A1843" s="5" t="str">
        <x:v>D06</x:v>
      </x:c>
      <x:c r="B1843" s="5" t="str">
        <x:v>D06-T01</x:v>
      </x:c>
      <x:c r="C1843" s="5" t="str">
        <x:v>5. Complete Company Financial Table (135 Facilities Analyzed)</x:v>
      </x:c>
      <x:c r="D1843" s="5" t="n">
        <x:v>258</x:v>
      </x:c>
      <x:c r="E1843" s="5" t="n">
        <x:v>2</x:v>
      </x:c>
      <x:c r="F1843" s="5" t="str">
        <x:v>Company</x:v>
      </x:c>
      <x:c r="G1843" s="5" t="n">
        <x:v>1</x:v>
      </x:c>
      <x:c r="H1843" s="5" t="n">
        <x:v>1</x:v>
      </x:c>
      <x:c r="I1843" s="5" t="str">
        <x:v>Pelago Bioscience</x:v>
      </x:c>
      <x:c r="J1843" s="5" t="str">
        <x:v>SOURCE QUOTE; unvalidated / superseded assessments</x:v>
      </x:c>
      <x:c r="L1843" s="31" t="str">
        <x:v>D06, Markdown line 258; http://nas-1.tail55d152.ts.net:4100/static/MEDICAL_NORDICS_FINANCIALS_DOSSIER.html</x:v>
      </x:c>
    </x:row>
    <x:row r="1844" ht="42" customHeight="1">
      <x:c r="A1844" s="5" t="str">
        <x:v>D06</x:v>
      </x:c>
      <x:c r="B1844" s="5" t="str">
        <x:v>D06-T01</x:v>
      </x:c>
      <x:c r="C1844" s="5" t="str">
        <x:v>5. Complete Company Financial Table (135 Facilities Analyzed)</x:v>
      </x:c>
      <x:c r="D1844" s="5" t="n">
        <x:v>258</x:v>
      </x:c>
      <x:c r="E1844" s="5" t="n">
        <x:v>3</x:v>
      </x:c>
      <x:c r="F1844" s="5" t="str">
        <x:v>Location</x:v>
      </x:c>
      <x:c r="G1844" s="5" t="n">
        <x:v>1</x:v>
      </x:c>
      <x:c r="H1844" s="5" t="n">
        <x:v>1</x:v>
      </x:c>
      <x:c r="I1844" s="5" t="str">
        <x:v>Solna, Sweden</x:v>
      </x:c>
      <x:c r="J1844" s="5" t="str">
        <x:v>SOURCE QUOTE; unvalidated / superseded assessments</x:v>
      </x:c>
      <x:c r="L1844" s="31" t="str">
        <x:v>D06, Markdown line 258; http://nas-1.tail55d152.ts.net:4100/static/MEDICAL_NORDICS_FINANCIALS_DOSSIER.html</x:v>
      </x:c>
    </x:row>
    <x:row r="1845" ht="42" customHeight="1">
      <x:c r="A1845" s="5" t="str">
        <x:v>D06</x:v>
      </x:c>
      <x:c r="B1845" s="5" t="str">
        <x:v>D06-T01</x:v>
      </x:c>
      <x:c r="C1845" s="5" t="str">
        <x:v>5. Complete Company Financial Table (135 Facilities Analyzed)</x:v>
      </x:c>
      <x:c r="D1845" s="5" t="n">
        <x:v>258</x:v>
      </x:c>
      <x:c r="E1845" s="5" t="n">
        <x:v>4</x:v>
      </x:c>
      <x:c r="F1845" s="5" t="str">
        <x:v>Focus Area</x:v>
      </x:c>
      <x:c r="G1845" s="5" t="n">
        <x:v>1</x:v>
      </x:c>
      <x:c r="H1845" s="5" t="n">
        <x:v>1</x:v>
      </x:c>
      <x:c r="I1845" s="5" t="str">
        <x:v>CETSA Target Engagement Services</x:v>
      </x:c>
      <x:c r="J1845" s="5" t="str">
        <x:v>SOURCE QUOTE; unvalidated / superseded assessments</x:v>
      </x:c>
      <x:c r="L1845" s="31" t="str">
        <x:v>D06, Markdown line 258; http://nas-1.tail55d152.ts.net:4100/static/MEDICAL_NORDICS_FINANCIALS_DOSSIER.html</x:v>
      </x:c>
    </x:row>
    <x:row r="1846" ht="42" customHeight="1">
      <x:c r="A1846" s="5" t="str">
        <x:v>D06</x:v>
      </x:c>
      <x:c r="B1846" s="5" t="str">
        <x:v>D06-T01</x:v>
      </x:c>
      <x:c r="C1846" s="5" t="str">
        <x:v>5. Complete Company Financial Table (135 Facilities Analyzed)</x:v>
      </x:c>
      <x:c r="D1846" s="5" t="n">
        <x:v>258</x:v>
      </x:c>
      <x:c r="E1846" s="5" t="n">
        <x:v>5</x:v>
      </x:c>
      <x:c r="F1846" s="5" t="str">
        <x:v>Revenue / Net Sales</x:v>
      </x:c>
      <x:c r="G1846" s="5" t="n">
        <x:v>1</x:v>
      </x:c>
      <x:c r="H1846" s="5" t="n">
        <x:v>1</x:v>
      </x:c>
      <x:c r="I1846" s="5" t="str">
        <x:v>SEK 75.0M est.</x:v>
      </x:c>
      <x:c r="J1846" s="5" t="str">
        <x:v>SOURCE QUOTE; unvalidated / superseded assessments</x:v>
      </x:c>
      <x:c r="L1846" s="31" t="str">
        <x:v>D06, Markdown line 258; http://nas-1.tail55d152.ts.net:4100/static/MEDICAL_NORDICS_FINANCIALS_DOSSIER.html</x:v>
      </x:c>
    </x:row>
    <x:row r="1847" ht="42" customHeight="1">
      <x:c r="A1847" s="5" t="str">
        <x:v>D06</x:v>
      </x:c>
      <x:c r="B1847" s="5" t="str">
        <x:v>D06-T01</x:v>
      </x:c>
      <x:c r="C1847" s="5" t="str">
        <x:v>5. Complete Company Financial Table (135 Facilities Analyzed)</x:v>
      </x:c>
      <x:c r="D1847" s="5" t="n">
        <x:v>258</x:v>
      </x:c>
      <x:c r="E1847" s="5" t="n">
        <x:v>6</x:v>
      </x:c>
      <x:c r="F1847" s="5" t="str">
        <x:v>R&amp;D Spend</x:v>
      </x:c>
      <x:c r="G1847" s="5" t="n">
        <x:v>1</x:v>
      </x:c>
      <x:c r="H1847" s="5" t="n">
        <x:v>1</x:v>
      </x:c>
      <x:c r="I1847" s="5" t="str">
        <x:v>SEK 16.0M</x:v>
      </x:c>
      <x:c r="J1847" s="5" t="str">
        <x:v>SOURCE QUOTE; unvalidated / superseded assessments</x:v>
      </x:c>
      <x:c r="L1847" s="31" t="str">
        <x:v>D06, Markdown line 258; http://nas-1.tail55d152.ts.net:4100/static/MEDICAL_NORDICS_FINANCIALS_DOSSIER.html</x:v>
      </x:c>
    </x:row>
    <x:row r="1848" ht="42" customHeight="1">
      <x:c r="A1848" s="5" t="str">
        <x:v>D06</x:v>
      </x:c>
      <x:c r="B1848" s="5" t="str">
        <x:v>D06-T01</x:v>
      </x:c>
      <x:c r="C1848" s="5" t="str">
        <x:v>5. Complete Company Financial Table (135 Facilities Analyzed)</x:v>
      </x:c>
      <x:c r="D1848" s="5" t="n">
        <x:v>258</x:v>
      </x:c>
      <x:c r="E1848" s="5" t="n">
        <x:v>7</x:v>
      </x:c>
      <x:c r="F1848" s="5" t="str">
        <x:v>Currency</x:v>
      </x:c>
      <x:c r="G1848" s="5" t="n">
        <x:v>1</x:v>
      </x:c>
      <x:c r="H1848" s="5" t="n">
        <x:v>1</x:v>
      </x:c>
      <x:c r="I1848" s="5" t="str">
        <x:v>SEK</x:v>
      </x:c>
      <x:c r="J1848" s="5" t="str">
        <x:v>SOURCE QUOTE; unvalidated / superseded assessments</x:v>
      </x:c>
      <x:c r="L1848" s="31" t="str">
        <x:v>D06, Markdown line 258; http://nas-1.tail55d152.ts.net:4100/static/MEDICAL_NORDICS_FINANCIALS_DOSSIER.html</x:v>
      </x:c>
    </x:row>
    <x:row r="1849" ht="42" customHeight="1">
      <x:c r="A1849" s="5" t="str">
        <x:v>D06</x:v>
      </x:c>
      <x:c r="B1849" s="5" t="str">
        <x:v>D06-T01</x:v>
      </x:c>
      <x:c r="C1849" s="5" t="str">
        <x:v>5. Complete Company Financial Table (135 Facilities Analyzed)</x:v>
      </x:c>
      <x:c r="D1849" s="5" t="n">
        <x:v>258</x:v>
      </x:c>
      <x:c r="E1849" s="5" t="n">
        <x:v>8</x:v>
      </x:c>
      <x:c r="F1849" s="5" t="str">
        <x:v>Fiscal Year</x:v>
      </x:c>
      <x:c r="G1849" s="5" t="n">
        <x:v>1</x:v>
      </x:c>
      <x:c r="H1849" s="5" t="n">
        <x:v>1</x:v>
      </x:c>
      <x:c r="I1849" s="5" t="str">
        <x:v>FY2023/24</x:v>
      </x:c>
      <x:c r="J1849" s="5" t="str">
        <x:v>SOURCE QUOTE; unvalidated / superseded assessments</x:v>
      </x:c>
      <x:c r="L1849" s="31" t="str">
        <x:v>D06, Markdown line 258; http://nas-1.tail55d152.ts.net:4100/static/MEDICAL_NORDICS_FINANCIALS_DOSSIER.html</x:v>
      </x:c>
    </x:row>
    <x:row r="1850" ht="42" customHeight="1">
      <x:c r="A1850" s="5" t="str">
        <x:v>D06</x:v>
      </x:c>
      <x:c r="B1850" s="5" t="str">
        <x:v>D06-T01</x:v>
      </x:c>
      <x:c r="C1850" s="5" t="str">
        <x:v>5. Complete Company Financial Table (135 Facilities Analyzed)</x:v>
      </x:c>
      <x:c r="D1850" s="5" t="n">
        <x:v>258</x:v>
      </x:c>
      <x:c r="E1850" s="5" t="n">
        <x:v>9</x:v>
      </x:c>
      <x:c r="F1850" s="5" t="str">
        <x:v>Status / Ownership / Strategic Service Alignment</x:v>
      </x:c>
      <x:c r="G1850" s="5" t="n">
        <x:v>1</x:v>
      </x:c>
      <x:c r="H1850" s="5" t="n">
        <x:v>1</x:v>
      </x:c>
      <x:c r="I1850" s="5" t="str">
        <x:v>Private CRO; Package B (Pharma client CETSA screening project delivery portal)</x:v>
      </x:c>
      <x:c r="J1850" s="5" t="str">
        <x:v>SOURCE QUOTE; unvalidated / superseded assessments</x:v>
      </x:c>
      <x:c r="L1850" s="31" t="str">
        <x:v>D06, Markdown line 258; http://nas-1.tail55d152.ts.net:4100/static/MEDICAL_NORDICS_FINANCIALS_DOSSIER.html</x:v>
      </x:c>
    </x:row>
    <x:row r="1851" ht="42" customHeight="1">
      <x:c r="A1851" s="5" t="str">
        <x:v>D06</x:v>
      </x:c>
      <x:c r="B1851" s="5" t="str">
        <x:v>D06-T01</x:v>
      </x:c>
      <x:c r="C1851" s="5" t="str">
        <x:v>5. Complete Company Financial Table (135 Facilities Analyzed)</x:v>
      </x:c>
      <x:c r="D1851" s="5" t="n">
        <x:v>259</x:v>
      </x:c>
      <x:c r="E1851" s="5" t="n">
        <x:v>1</x:v>
      </x:c>
      <x:c r="F1851" s="5" t="str">
        <x:v>#</x:v>
      </x:c>
      <x:c r="G1851" s="5" t="n">
        <x:v>1</x:v>
      </x:c>
      <x:c r="H1851" s="5" t="n">
        <x:v>1</x:v>
      </x:c>
      <x:c r="I1851" s="5" t="str">
        <x:v>78</x:v>
      </x:c>
      <x:c r="J1851" s="5" t="str">
        <x:v>SOURCE QUOTE; unvalidated / superseded assessments</x:v>
      </x:c>
      <x:c r="L1851" s="31" t="str">
        <x:v>D06, Markdown line 259; http://nas-1.tail55d152.ts.net:4100/static/MEDICAL_NORDICS_FINANCIALS_DOSSIER.html</x:v>
      </x:c>
    </x:row>
    <x:row r="1852" ht="42" customHeight="1">
      <x:c r="A1852" s="5" t="str">
        <x:v>D06</x:v>
      </x:c>
      <x:c r="B1852" s="5" t="str">
        <x:v>D06-T01</x:v>
      </x:c>
      <x:c r="C1852" s="5" t="str">
        <x:v>5. Complete Company Financial Table (135 Facilities Analyzed)</x:v>
      </x:c>
      <x:c r="D1852" s="5" t="n">
        <x:v>259</x:v>
      </x:c>
      <x:c r="E1852" s="5" t="n">
        <x:v>2</x:v>
      </x:c>
      <x:c r="F1852" s="5" t="str">
        <x:v>Company</x:v>
      </x:c>
      <x:c r="G1852" s="5" t="n">
        <x:v>1</x:v>
      </x:c>
      <x:c r="H1852" s="5" t="n">
        <x:v>1</x:v>
      </x:c>
      <x:c r="I1852" s="5" t="str">
        <x:v>Scandinavian Biopharma</x:v>
      </x:c>
      <x:c r="J1852" s="5" t="str">
        <x:v>SOURCE QUOTE; unvalidated / superseded assessments</x:v>
      </x:c>
      <x:c r="L1852" s="31" t="str">
        <x:v>D06, Markdown line 259; http://nas-1.tail55d152.ts.net:4100/static/MEDICAL_NORDICS_FINANCIALS_DOSSIER.html</x:v>
      </x:c>
    </x:row>
    <x:row r="1853" ht="42" customHeight="1">
      <x:c r="A1853" s="5" t="str">
        <x:v>D06</x:v>
      </x:c>
      <x:c r="B1853" s="5" t="str">
        <x:v>D06-T01</x:v>
      </x:c>
      <x:c r="C1853" s="5" t="str">
        <x:v>5. Complete Company Financial Table (135 Facilities Analyzed)</x:v>
      </x:c>
      <x:c r="D1853" s="5" t="n">
        <x:v>259</x:v>
      </x:c>
      <x:c r="E1853" s="5" t="n">
        <x:v>3</x:v>
      </x:c>
      <x:c r="F1853" s="5" t="str">
        <x:v>Location</x:v>
      </x:c>
      <x:c r="G1853" s="5" t="n">
        <x:v>1</x:v>
      </x:c>
      <x:c r="H1853" s="5" t="n">
        <x:v>1</x:v>
      </x:c>
      <x:c r="I1853" s="5" t="str">
        <x:v>Solna, Sweden</x:v>
      </x:c>
      <x:c r="J1853" s="5" t="str">
        <x:v>SOURCE QUOTE; unvalidated / superseded assessments</x:v>
      </x:c>
      <x:c r="L1853" s="31" t="str">
        <x:v>D06, Markdown line 259; http://nas-1.tail55d152.ts.net:4100/static/MEDICAL_NORDICS_FINANCIALS_DOSSIER.html</x:v>
      </x:c>
    </x:row>
    <x:row r="1854" ht="42" customHeight="1">
      <x:c r="A1854" s="5" t="str">
        <x:v>D06</x:v>
      </x:c>
      <x:c r="B1854" s="5" t="str">
        <x:v>D06-T01</x:v>
      </x:c>
      <x:c r="C1854" s="5" t="str">
        <x:v>5. Complete Company Financial Table (135 Facilities Analyzed)</x:v>
      </x:c>
      <x:c r="D1854" s="5" t="n">
        <x:v>259</x:v>
      </x:c>
      <x:c r="E1854" s="5" t="n">
        <x:v>4</x:v>
      </x:c>
      <x:c r="F1854" s="5" t="str">
        <x:v>Focus Area</x:v>
      </x:c>
      <x:c r="G1854" s="5" t="n">
        <x:v>1</x:v>
      </x:c>
      <x:c r="H1854" s="5" t="n">
        <x:v>1</x:v>
      </x:c>
      <x:c r="I1854" s="5" t="str">
        <x:v>ETVAX Oral Diarrheal Vaccine</x:v>
      </x:c>
      <x:c r="J1854" s="5" t="str">
        <x:v>SOURCE QUOTE; unvalidated / superseded assessments</x:v>
      </x:c>
      <x:c r="L1854" s="31" t="str">
        <x:v>D06, Markdown line 259; http://nas-1.tail55d152.ts.net:4100/static/MEDICAL_NORDICS_FINANCIALS_DOSSIER.html</x:v>
      </x:c>
    </x:row>
    <x:row r="1855" ht="42" customHeight="1">
      <x:c r="A1855" s="5" t="str">
        <x:v>D06</x:v>
      </x:c>
      <x:c r="B1855" s="5" t="str">
        <x:v>D06-T01</x:v>
      </x:c>
      <x:c r="C1855" s="5" t="str">
        <x:v>5. Complete Company Financial Table (135 Facilities Analyzed)</x:v>
      </x:c>
      <x:c r="D1855" s="5" t="n">
        <x:v>259</x:v>
      </x:c>
      <x:c r="E1855" s="5" t="n">
        <x:v>5</x:v>
      </x:c>
      <x:c r="F1855" s="5" t="str">
        <x:v>Revenue / Net Sales</x:v>
      </x:c>
      <x:c r="G1855" s="5" t="n">
        <x:v>1</x:v>
      </x:c>
      <x:c r="H1855" s="5" t="n">
        <x:v>1</x:v>
      </x:c>
      <x:c r="I1855" s="5" t="str">
        <x:v>SEK 154.0M</x:v>
      </x:c>
      <x:c r="J1855" s="5" t="str">
        <x:v>SOURCE QUOTE; unvalidated / superseded assessments</x:v>
      </x:c>
      <x:c r="L1855" s="31" t="str">
        <x:v>D06, Markdown line 259; http://nas-1.tail55d152.ts.net:4100/static/MEDICAL_NORDICS_FINANCIALS_DOSSIER.html</x:v>
      </x:c>
    </x:row>
    <x:row r="1856" ht="42" customHeight="1">
      <x:c r="A1856" s="5" t="str">
        <x:v>D06</x:v>
      </x:c>
      <x:c r="B1856" s="5" t="str">
        <x:v>D06-T01</x:v>
      </x:c>
      <x:c r="C1856" s="5" t="str">
        <x:v>5. Complete Company Financial Table (135 Facilities Analyzed)</x:v>
      </x:c>
      <x:c r="D1856" s="5" t="n">
        <x:v>259</x:v>
      </x:c>
      <x:c r="E1856" s="5" t="n">
        <x:v>6</x:v>
      </x:c>
      <x:c r="F1856" s="5" t="str">
        <x:v>R&amp;D Spend</x:v>
      </x:c>
      <x:c r="G1856" s="5" t="n">
        <x:v>1</x:v>
      </x:c>
      <x:c r="H1856" s="5" t="n">
        <x:v>1</x:v>
      </x:c>
      <x:c r="I1856" s="5" t="str">
        <x:v>SEK 75.0M</x:v>
      </x:c>
      <x:c r="J1856" s="5" t="str">
        <x:v>SOURCE QUOTE; unvalidated / superseded assessments</x:v>
      </x:c>
      <x:c r="L1856" s="31" t="str">
        <x:v>D06, Markdown line 259; http://nas-1.tail55d152.ts.net:4100/static/MEDICAL_NORDICS_FINANCIALS_DOSSIER.html</x:v>
      </x:c>
    </x:row>
    <x:row r="1857" ht="42" customHeight="1">
      <x:c r="A1857" s="5" t="str">
        <x:v>D06</x:v>
      </x:c>
      <x:c r="B1857" s="5" t="str">
        <x:v>D06-T01</x:v>
      </x:c>
      <x:c r="C1857" s="5" t="str">
        <x:v>5. Complete Company Financial Table (135 Facilities Analyzed)</x:v>
      </x:c>
      <x:c r="D1857" s="5" t="n">
        <x:v>259</x:v>
      </x:c>
      <x:c r="E1857" s="5" t="n">
        <x:v>7</x:v>
      </x:c>
      <x:c r="F1857" s="5" t="str">
        <x:v>Currency</x:v>
      </x:c>
      <x:c r="G1857" s="5" t="n">
        <x:v>1</x:v>
      </x:c>
      <x:c r="H1857" s="5" t="n">
        <x:v>1</x:v>
      </x:c>
      <x:c r="I1857" s="5" t="str">
        <x:v>SEK</x:v>
      </x:c>
      <x:c r="J1857" s="5" t="str">
        <x:v>SOURCE QUOTE; unvalidated / superseded assessments</x:v>
      </x:c>
      <x:c r="L1857" s="31" t="str">
        <x:v>D06, Markdown line 259; http://nas-1.tail55d152.ts.net:4100/static/MEDICAL_NORDICS_FINANCIALS_DOSSIER.html</x:v>
      </x:c>
    </x:row>
    <x:row r="1858" ht="42" customHeight="1">
      <x:c r="A1858" s="5" t="str">
        <x:v>D06</x:v>
      </x:c>
      <x:c r="B1858" s="5" t="str">
        <x:v>D06-T01</x:v>
      </x:c>
      <x:c r="C1858" s="5" t="str">
        <x:v>5. Complete Company Financial Table (135 Facilities Analyzed)</x:v>
      </x:c>
      <x:c r="D1858" s="5" t="n">
        <x:v>259</x:v>
      </x:c>
      <x:c r="E1858" s="5" t="n">
        <x:v>8</x:v>
      </x:c>
      <x:c r="F1858" s="5" t="str">
        <x:v>Fiscal Year</x:v>
      </x:c>
      <x:c r="G1858" s="5" t="n">
        <x:v>1</x:v>
      </x:c>
      <x:c r="H1858" s="5" t="n">
        <x:v>1</x:v>
      </x:c>
      <x:c r="I1858" s="5" t="str">
        <x:v>FY2023</x:v>
      </x:c>
      <x:c r="J1858" s="5" t="str">
        <x:v>SOURCE QUOTE; unvalidated / superseded assessments</x:v>
      </x:c>
      <x:c r="L1858" s="31" t="str">
        <x:v>D06, Markdown line 259; http://nas-1.tail55d152.ts.net:4100/static/MEDICAL_NORDICS_FINANCIALS_DOSSIER.html</x:v>
      </x:c>
    </x:row>
    <x:row r="1859" ht="42" customHeight="1">
      <x:c r="A1859" s="5" t="str">
        <x:v>D06</x:v>
      </x:c>
      <x:c r="B1859" s="5" t="str">
        <x:v>D06-T01</x:v>
      </x:c>
      <x:c r="C1859" s="5" t="str">
        <x:v>5. Complete Company Financial Table (135 Facilities Analyzed)</x:v>
      </x:c>
      <x:c r="D1859" s="5" t="n">
        <x:v>259</x:v>
      </x:c>
      <x:c r="E1859" s="5" t="n">
        <x:v>9</x:v>
      </x:c>
      <x:c r="F1859" s="5" t="str">
        <x:v>Status / Ownership / Strategic Service Alignment</x:v>
      </x:c>
      <x:c r="G1859" s="5" t="n">
        <x:v>1</x:v>
      </x:c>
      <x:c r="H1859" s="5" t="n">
        <x:v>1</x:v>
      </x:c>
      <x:c r="I1859" s="5" t="str">
        <x:v>Private biopharma; Package B &amp; D (Phase III global clinical supply chain tracking)</x:v>
      </x:c>
      <x:c r="J1859" s="5" t="str">
        <x:v>SOURCE QUOTE; unvalidated / superseded assessments</x:v>
      </x:c>
      <x:c r="L1859" s="31" t="str">
        <x:v>D06, Markdown line 259; http://nas-1.tail55d152.ts.net:4100/static/MEDICAL_NORDICS_FINANCIALS_DOSSIER.html</x:v>
      </x:c>
    </x:row>
    <x:row r="1860" ht="42" customHeight="1">
      <x:c r="A1860" s="5" t="str">
        <x:v>D06</x:v>
      </x:c>
      <x:c r="B1860" s="5" t="str">
        <x:v>D06-T01</x:v>
      </x:c>
      <x:c r="C1860" s="5" t="str">
        <x:v>5. Complete Company Financial Table (135 Facilities Analyzed)</x:v>
      </x:c>
      <x:c r="D1860" s="5" t="n">
        <x:v>260</x:v>
      </x:c>
      <x:c r="E1860" s="5" t="n">
        <x:v>1</x:v>
      </x:c>
      <x:c r="F1860" s="5" t="str">
        <x:v>#</x:v>
      </x:c>
      <x:c r="G1860" s="5" t="n">
        <x:v>1</x:v>
      </x:c>
      <x:c r="H1860" s="5" t="n">
        <x:v>1</x:v>
      </x:c>
      <x:c r="I1860" s="5" t="str">
        <x:v>79</x:v>
      </x:c>
      <x:c r="J1860" s="5" t="str">
        <x:v>SOURCE QUOTE; unvalidated / superseded assessments</x:v>
      </x:c>
      <x:c r="L1860" s="31" t="str">
        <x:v>D06, Markdown line 260; http://nas-1.tail55d152.ts.net:4100/static/MEDICAL_NORDICS_FINANCIALS_DOSSIER.html</x:v>
      </x:c>
    </x:row>
    <x:row r="1861" ht="42" customHeight="1">
      <x:c r="A1861" s="5" t="str">
        <x:v>D06</x:v>
      </x:c>
      <x:c r="B1861" s="5" t="str">
        <x:v>D06-T01</x:v>
      </x:c>
      <x:c r="C1861" s="5" t="str">
        <x:v>5. Complete Company Financial Table (135 Facilities Analyzed)</x:v>
      </x:c>
      <x:c r="D1861" s="5" t="n">
        <x:v>260</x:v>
      </x:c>
      <x:c r="E1861" s="5" t="n">
        <x:v>2</x:v>
      </x:c>
      <x:c r="F1861" s="5" t="str">
        <x:v>Company</x:v>
      </x:c>
      <x:c r="G1861" s="5" t="n">
        <x:v>1</x:v>
      </x:c>
      <x:c r="H1861" s="5" t="n">
        <x:v>1</x:v>
      </x:c>
      <x:c r="I1861" s="5" t="str">
        <x:v>StromaBio</x:v>
      </x:c>
      <x:c r="J1861" s="5" t="str">
        <x:v>SOURCE QUOTE; unvalidated / superseded assessments</x:v>
      </x:c>
      <x:c r="L1861" s="31" t="str">
        <x:v>D06, Markdown line 260; http://nas-1.tail55d152.ts.net:4100/static/MEDICAL_NORDICS_FINANCIALS_DOSSIER.html</x:v>
      </x:c>
    </x:row>
    <x:row r="1862" ht="42" customHeight="1">
      <x:c r="A1862" s="5" t="str">
        <x:v>D06</x:v>
      </x:c>
      <x:c r="B1862" s="5" t="str">
        <x:v>D06-T01</x:v>
      </x:c>
      <x:c r="C1862" s="5" t="str">
        <x:v>5. Complete Company Financial Table (135 Facilities Analyzed)</x:v>
      </x:c>
      <x:c r="D1862" s="5" t="n">
        <x:v>260</x:v>
      </x:c>
      <x:c r="E1862" s="5" t="n">
        <x:v>3</x:v>
      </x:c>
      <x:c r="F1862" s="5" t="str">
        <x:v>Location</x:v>
      </x:c>
      <x:c r="G1862" s="5" t="n">
        <x:v>1</x:v>
      </x:c>
      <x:c r="H1862" s="5" t="n">
        <x:v>1</x:v>
      </x:c>
      <x:c r="I1862" s="5" t="str">
        <x:v>Solna, Sweden</x:v>
      </x:c>
      <x:c r="J1862" s="5" t="str">
        <x:v>SOURCE QUOTE; unvalidated / superseded assessments</x:v>
      </x:c>
      <x:c r="L1862" s="31" t="str">
        <x:v>D06, Markdown line 260; http://nas-1.tail55d152.ts.net:4100/static/MEDICAL_NORDICS_FINANCIALS_DOSSIER.html</x:v>
      </x:c>
    </x:row>
    <x:row r="1863" ht="42" customHeight="1">
      <x:c r="A1863" s="5" t="str">
        <x:v>D06</x:v>
      </x:c>
      <x:c r="B1863" s="5" t="str">
        <x:v>D06-T01</x:v>
      </x:c>
      <x:c r="C1863" s="5" t="str">
        <x:v>5. Complete Company Financial Table (135 Facilities Analyzed)</x:v>
      </x:c>
      <x:c r="D1863" s="5" t="n">
        <x:v>260</x:v>
      </x:c>
      <x:c r="E1863" s="5" t="n">
        <x:v>4</x:v>
      </x:c>
      <x:c r="F1863" s="5" t="str">
        <x:v>Focus Area</x:v>
      </x:c>
      <x:c r="G1863" s="5" t="n">
        <x:v>1</x:v>
      </x:c>
      <x:c r="H1863" s="5" t="n">
        <x:v>1</x:v>
      </x:c>
      <x:c r="I1863" s="5" t="str">
        <x:v>Mesenchymal Stromal Cell Therapies</x:v>
      </x:c>
      <x:c r="J1863" s="5" t="str">
        <x:v>SOURCE QUOTE; unvalidated / superseded assessments</x:v>
      </x:c>
      <x:c r="L1863" s="31" t="str">
        <x:v>D06, Markdown line 260; http://nas-1.tail55d152.ts.net:4100/static/MEDICAL_NORDICS_FINANCIALS_DOSSIER.html</x:v>
      </x:c>
    </x:row>
    <x:row r="1864" ht="42" customHeight="1">
      <x:c r="A1864" s="5" t="str">
        <x:v>D06</x:v>
      </x:c>
      <x:c r="B1864" s="5" t="str">
        <x:v>D06-T01</x:v>
      </x:c>
      <x:c r="C1864" s="5" t="str">
        <x:v>5. Complete Company Financial Table (135 Facilities Analyzed)</x:v>
      </x:c>
      <x:c r="D1864" s="5" t="n">
        <x:v>260</x:v>
      </x:c>
      <x:c r="E1864" s="5" t="n">
        <x:v>5</x:v>
      </x:c>
      <x:c r="F1864" s="5" t="str">
        <x:v>Revenue / Net Sales</x:v>
      </x:c>
      <x:c r="G1864" s="5" t="n">
        <x:v>1</x:v>
      </x:c>
      <x:c r="H1864" s="5" t="n">
        <x:v>1</x:v>
      </x:c>
      <x:c r="I1864" s="5" t="str">
        <x:v>SEK 0M (Early stage)</x:v>
      </x:c>
      <x:c r="J1864" s="5" t="str">
        <x:v>SOURCE QUOTE; unvalidated / superseded assessments</x:v>
      </x:c>
      <x:c r="L1864" s="31" t="str">
        <x:v>D06, Markdown line 260; http://nas-1.tail55d152.ts.net:4100/static/MEDICAL_NORDICS_FINANCIALS_DOSSIER.html</x:v>
      </x:c>
    </x:row>
    <x:row r="1865" ht="42" customHeight="1">
      <x:c r="A1865" s="5" t="str">
        <x:v>D06</x:v>
      </x:c>
      <x:c r="B1865" s="5" t="str">
        <x:v>D06-T01</x:v>
      </x:c>
      <x:c r="C1865" s="5" t="str">
        <x:v>5. Complete Company Financial Table (135 Facilities Analyzed)</x:v>
      </x:c>
      <x:c r="D1865" s="5" t="n">
        <x:v>260</x:v>
      </x:c>
      <x:c r="E1865" s="5" t="n">
        <x:v>6</x:v>
      </x:c>
      <x:c r="F1865" s="5" t="str">
        <x:v>R&amp;D Spend</x:v>
      </x:c>
      <x:c r="G1865" s="5" t="n">
        <x:v>1</x:v>
      </x:c>
      <x:c r="H1865" s="5" t="n">
        <x:v>1</x:v>
      </x:c>
      <x:c r="I1865" s="5" t="str">
        <x:v>SEK 5.5M</x:v>
      </x:c>
      <x:c r="J1865" s="5" t="str">
        <x:v>SOURCE QUOTE; unvalidated / superseded assessments</x:v>
      </x:c>
      <x:c r="L1865" s="31" t="str">
        <x:v>D06, Markdown line 260; http://nas-1.tail55d152.ts.net:4100/static/MEDICAL_NORDICS_FINANCIALS_DOSSIER.html</x:v>
      </x:c>
    </x:row>
    <x:row r="1866" ht="42" customHeight="1">
      <x:c r="A1866" s="5" t="str">
        <x:v>D06</x:v>
      </x:c>
      <x:c r="B1866" s="5" t="str">
        <x:v>D06-T01</x:v>
      </x:c>
      <x:c r="C1866" s="5" t="str">
        <x:v>5. Complete Company Financial Table (135 Facilities Analyzed)</x:v>
      </x:c>
      <x:c r="D1866" s="5" t="n">
        <x:v>260</x:v>
      </x:c>
      <x:c r="E1866" s="5" t="n">
        <x:v>7</x:v>
      </x:c>
      <x:c r="F1866" s="5" t="str">
        <x:v>Currency</x:v>
      </x:c>
      <x:c r="G1866" s="5" t="n">
        <x:v>1</x:v>
      </x:c>
      <x:c r="H1866" s="5" t="n">
        <x:v>1</x:v>
      </x:c>
      <x:c r="I1866" s="5" t="str">
        <x:v>SEK</x:v>
      </x:c>
      <x:c r="J1866" s="5" t="str">
        <x:v>SOURCE QUOTE; unvalidated / superseded assessments</x:v>
      </x:c>
      <x:c r="L1866" s="31" t="str">
        <x:v>D06, Markdown line 260; http://nas-1.tail55d152.ts.net:4100/static/MEDICAL_NORDICS_FINANCIALS_DOSSIER.html</x:v>
      </x:c>
    </x:row>
    <x:row r="1867" ht="42" customHeight="1">
      <x:c r="A1867" s="5" t="str">
        <x:v>D06</x:v>
      </x:c>
      <x:c r="B1867" s="5" t="str">
        <x:v>D06-T01</x:v>
      </x:c>
      <x:c r="C1867" s="5" t="str">
        <x:v>5. Complete Company Financial Table (135 Facilities Analyzed)</x:v>
      </x:c>
      <x:c r="D1867" s="5" t="n">
        <x:v>260</x:v>
      </x:c>
      <x:c r="E1867" s="5" t="n">
        <x:v>8</x:v>
      </x:c>
      <x:c r="F1867" s="5" t="str">
        <x:v>Fiscal Year</x:v>
      </x:c>
      <x:c r="G1867" s="5" t="n">
        <x:v>1</x:v>
      </x:c>
      <x:c r="H1867" s="5" t="n">
        <x:v>1</x:v>
      </x:c>
      <x:c r="I1867" s="5" t="str">
        <x:v>FY2023/24</x:v>
      </x:c>
      <x:c r="J1867" s="5" t="str">
        <x:v>SOURCE QUOTE; unvalidated / superseded assessments</x:v>
      </x:c>
      <x:c r="L1867" s="31" t="str">
        <x:v>D06, Markdown line 260; http://nas-1.tail55d152.ts.net:4100/static/MEDICAL_NORDICS_FINANCIALS_DOSSIER.html</x:v>
      </x:c>
    </x:row>
    <x:row r="1868" ht="42" customHeight="1">
      <x:c r="A1868" s="5" t="str">
        <x:v>D06</x:v>
      </x:c>
      <x:c r="B1868" s="5" t="str">
        <x:v>D06-T01</x:v>
      </x:c>
      <x:c r="C1868" s="5" t="str">
        <x:v>5. Complete Company Financial Table (135 Facilities Analyzed)</x:v>
      </x:c>
      <x:c r="D1868" s="5" t="n">
        <x:v>260</x:v>
      </x:c>
      <x:c r="E1868" s="5" t="n">
        <x:v>9</x:v>
      </x:c>
      <x:c r="F1868" s="5" t="str">
        <x:v>Status / Ownership / Strategic Service Alignment</x:v>
      </x:c>
      <x:c r="G1868" s="5" t="n">
        <x:v>1</x:v>
      </x:c>
      <x:c r="H1868" s="5" t="n">
        <x:v>1</x:v>
      </x:c>
      <x:c r="I1868" s="5" t="str">
        <x:v>Karolinska spin-out; Package B (Stem cell manufacturing batch quality systems)</x:v>
      </x:c>
      <x:c r="J1868" s="5" t="str">
        <x:v>SOURCE QUOTE; unvalidated / superseded assessments</x:v>
      </x:c>
      <x:c r="L1868" s="31" t="str">
        <x:v>D06, Markdown line 260; http://nas-1.tail55d152.ts.net:4100/static/MEDICAL_NORDICS_FINANCIALS_DOSSIER.html</x:v>
      </x:c>
    </x:row>
    <x:row r="1869" ht="42" customHeight="1">
      <x:c r="A1869" s="5" t="str">
        <x:v>D06</x:v>
      </x:c>
      <x:c r="B1869" s="5" t="str">
        <x:v>D06-T01</x:v>
      </x:c>
      <x:c r="C1869" s="5" t="str">
        <x:v>5. Complete Company Financial Table (135 Facilities Analyzed)</x:v>
      </x:c>
      <x:c r="D1869" s="5" t="n">
        <x:v>261</x:v>
      </x:c>
      <x:c r="E1869" s="5" t="n">
        <x:v>1</x:v>
      </x:c>
      <x:c r="F1869" s="5" t="str">
        <x:v>#</x:v>
      </x:c>
      <x:c r="G1869" s="5" t="n">
        <x:v>1</x:v>
      </x:c>
      <x:c r="H1869" s="5" t="n">
        <x:v>1</x:v>
      </x:c>
      <x:c r="I1869" s="5" t="str">
        <x:v>80</x:v>
      </x:c>
      <x:c r="J1869" s="5" t="str">
        <x:v>SOURCE QUOTE; unvalidated / superseded assessments</x:v>
      </x:c>
      <x:c r="L1869" s="31" t="str">
        <x:v>D06, Markdown line 261; http://nas-1.tail55d152.ts.net:4100/static/MEDICAL_NORDICS_FINANCIALS_DOSSIER.html</x:v>
      </x:c>
    </x:row>
    <x:row r="1870" ht="42" customHeight="1">
      <x:c r="A1870" s="5" t="str">
        <x:v>D06</x:v>
      </x:c>
      <x:c r="B1870" s="5" t="str">
        <x:v>D06-T01</x:v>
      </x:c>
      <x:c r="C1870" s="5" t="str">
        <x:v>5. Complete Company Financial Table (135 Facilities Analyzed)</x:v>
      </x:c>
      <x:c r="D1870" s="5" t="n">
        <x:v>261</x:v>
      </x:c>
      <x:c r="E1870" s="5" t="n">
        <x:v>2</x:v>
      </x:c>
      <x:c r="F1870" s="5" t="str">
        <x:v>Company</x:v>
      </x:c>
      <x:c r="G1870" s="5" t="n">
        <x:v>1</x:v>
      </x:c>
      <x:c r="H1870" s="5" t="n">
        <x:v>1</x:v>
      </x:c>
      <x:c r="I1870" s="5" t="str">
        <x:v>Xbrane Biopharma</x:v>
      </x:c>
      <x:c r="J1870" s="5" t="str">
        <x:v>SOURCE QUOTE; unvalidated / superseded assessments</x:v>
      </x:c>
      <x:c r="L1870" s="31" t="str">
        <x:v>D06, Markdown line 261; http://nas-1.tail55d152.ts.net:4100/static/MEDICAL_NORDICS_FINANCIALS_DOSSIER.html</x:v>
      </x:c>
    </x:row>
    <x:row r="1871" ht="42" customHeight="1">
      <x:c r="A1871" s="5" t="str">
        <x:v>D06</x:v>
      </x:c>
      <x:c r="B1871" s="5" t="str">
        <x:v>D06-T01</x:v>
      </x:c>
      <x:c r="C1871" s="5" t="str">
        <x:v>5. Complete Company Financial Table (135 Facilities Analyzed)</x:v>
      </x:c>
      <x:c r="D1871" s="5" t="n">
        <x:v>261</x:v>
      </x:c>
      <x:c r="E1871" s="5" t="n">
        <x:v>3</x:v>
      </x:c>
      <x:c r="F1871" s="5" t="str">
        <x:v>Location</x:v>
      </x:c>
      <x:c r="G1871" s="5" t="n">
        <x:v>1</x:v>
      </x:c>
      <x:c r="H1871" s="5" t="n">
        <x:v>1</x:v>
      </x:c>
      <x:c r="I1871" s="5" t="str">
        <x:v>Solna, Sweden</x:v>
      </x:c>
      <x:c r="J1871" s="5" t="str">
        <x:v>SOURCE QUOTE; unvalidated / superseded assessments</x:v>
      </x:c>
      <x:c r="L1871" s="31" t="str">
        <x:v>D06, Markdown line 261; http://nas-1.tail55d152.ts.net:4100/static/MEDICAL_NORDICS_FINANCIALS_DOSSIER.html</x:v>
      </x:c>
    </x:row>
    <x:row r="1872" ht="42" customHeight="1">
      <x:c r="A1872" s="5" t="str">
        <x:v>D06</x:v>
      </x:c>
      <x:c r="B1872" s="5" t="str">
        <x:v>D06-T01</x:v>
      </x:c>
      <x:c r="C1872" s="5" t="str">
        <x:v>5. Complete Company Financial Table (135 Facilities Analyzed)</x:v>
      </x:c>
      <x:c r="D1872" s="5" t="n">
        <x:v>261</x:v>
      </x:c>
      <x:c r="E1872" s="5" t="n">
        <x:v>4</x:v>
      </x:c>
      <x:c r="F1872" s="5" t="str">
        <x:v>Focus Area</x:v>
      </x:c>
      <x:c r="G1872" s="5" t="n">
        <x:v>1</x:v>
      </x:c>
      <x:c r="H1872" s="5" t="n">
        <x:v>1</x:v>
      </x:c>
      <x:c r="I1872" s="5" t="str">
        <x:v>Ximluci Biosimilar Ranibizumab</x:v>
      </x:c>
      <x:c r="J1872" s="5" t="str">
        <x:v>SOURCE QUOTE; unvalidated / superseded assessments</x:v>
      </x:c>
      <x:c r="L1872" s="31" t="str">
        <x:v>D06, Markdown line 261; http://nas-1.tail55d152.ts.net:4100/static/MEDICAL_NORDICS_FINANCIALS_DOSSIER.html</x:v>
      </x:c>
    </x:row>
    <x:row r="1873" ht="42" customHeight="1">
      <x:c r="A1873" s="5" t="str">
        <x:v>D06</x:v>
      </x:c>
      <x:c r="B1873" s="5" t="str">
        <x:v>D06-T01</x:v>
      </x:c>
      <x:c r="C1873" s="5" t="str">
        <x:v>5. Complete Company Financial Table (135 Facilities Analyzed)</x:v>
      </x:c>
      <x:c r="D1873" s="5" t="n">
        <x:v>261</x:v>
      </x:c>
      <x:c r="E1873" s="5" t="n">
        <x:v>5</x:v>
      </x:c>
      <x:c r="F1873" s="5" t="str">
        <x:v>Revenue / Net Sales</x:v>
      </x:c>
      <x:c r="G1873" s="5" t="n">
        <x:v>1</x:v>
      </x:c>
      <x:c r="H1873" s="5" t="n">
        <x:v>1</x:v>
      </x:c>
      <x:c r="I1873" s="5" t="str">
        <x:v>SEK 238.7M (SEK 210M FY24)</x:v>
      </x:c>
      <x:c r="J1873" s="5" t="str">
        <x:v>SOURCE QUOTE; unvalidated / superseded assessments</x:v>
      </x:c>
      <x:c r="L1873" s="31" t="str">
        <x:v>D06, Markdown line 261; http://nas-1.tail55d152.ts.net:4100/static/MEDICAL_NORDICS_FINANCIALS_DOSSIER.html</x:v>
      </x:c>
    </x:row>
    <x:row r="1874" ht="42" customHeight="1">
      <x:c r="A1874" s="5" t="str">
        <x:v>D06</x:v>
      </x:c>
      <x:c r="B1874" s="5" t="str">
        <x:v>D06-T01</x:v>
      </x:c>
      <x:c r="C1874" s="5" t="str">
        <x:v>5. Complete Company Financial Table (135 Facilities Analyzed)</x:v>
      </x:c>
      <x:c r="D1874" s="5" t="n">
        <x:v>261</x:v>
      </x:c>
      <x:c r="E1874" s="5" t="n">
        <x:v>6</x:v>
      </x:c>
      <x:c r="F1874" s="5" t="str">
        <x:v>R&amp;D Spend</x:v>
      </x:c>
      <x:c r="G1874" s="5" t="n">
        <x:v>1</x:v>
      </x:c>
      <x:c r="H1874" s="5" t="n">
        <x:v>1</x:v>
      </x:c>
      <x:c r="I1874" s="5" t="str">
        <x:v>SEK 305.8M</x:v>
      </x:c>
      <x:c r="J1874" s="5" t="str">
        <x:v>SOURCE QUOTE; unvalidated / superseded assessments</x:v>
      </x:c>
      <x:c r="L1874" s="31" t="str">
        <x:v>D06, Markdown line 261; http://nas-1.tail55d152.ts.net:4100/static/MEDICAL_NORDICS_FINANCIALS_DOSSIER.html</x:v>
      </x:c>
    </x:row>
    <x:row r="1875" ht="42" customHeight="1">
      <x:c r="A1875" s="5" t="str">
        <x:v>D06</x:v>
      </x:c>
      <x:c r="B1875" s="5" t="str">
        <x:v>D06-T01</x:v>
      </x:c>
      <x:c r="C1875" s="5" t="str">
        <x:v>5. Complete Company Financial Table (135 Facilities Analyzed)</x:v>
      </x:c>
      <x:c r="D1875" s="5" t="n">
        <x:v>261</x:v>
      </x:c>
      <x:c r="E1875" s="5" t="n">
        <x:v>7</x:v>
      </x:c>
      <x:c r="F1875" s="5" t="str">
        <x:v>Currency</x:v>
      </x:c>
      <x:c r="G1875" s="5" t="n">
        <x:v>1</x:v>
      </x:c>
      <x:c r="H1875" s="5" t="n">
        <x:v>1</x:v>
      </x:c>
      <x:c r="I1875" s="5" t="str">
        <x:v>SEK</x:v>
      </x:c>
      <x:c r="J1875" s="5" t="str">
        <x:v>SOURCE QUOTE; unvalidated / superseded assessments</x:v>
      </x:c>
      <x:c r="L1875" s="31" t="str">
        <x:v>D06, Markdown line 261; http://nas-1.tail55d152.ts.net:4100/static/MEDICAL_NORDICS_FINANCIALS_DOSSIER.html</x:v>
      </x:c>
    </x:row>
    <x:row r="1876" ht="42" customHeight="1">
      <x:c r="A1876" s="5" t="str">
        <x:v>D06</x:v>
      </x:c>
      <x:c r="B1876" s="5" t="str">
        <x:v>D06-T01</x:v>
      </x:c>
      <x:c r="C1876" s="5" t="str">
        <x:v>5. Complete Company Financial Table (135 Facilities Analyzed)</x:v>
      </x:c>
      <x:c r="D1876" s="5" t="n">
        <x:v>261</x:v>
      </x:c>
      <x:c r="E1876" s="5" t="n">
        <x:v>8</x:v>
      </x:c>
      <x:c r="F1876" s="5" t="str">
        <x:v>Fiscal Year</x:v>
      </x:c>
      <x:c r="G1876" s="5" t="n">
        <x:v>1</x:v>
      </x:c>
      <x:c r="H1876" s="5" t="n">
        <x:v>1</x:v>
      </x:c>
      <x:c r="I1876" s="5" t="str">
        <x:v>FY2023</x:v>
      </x:c>
      <x:c r="J1876" s="5" t="str">
        <x:v>SOURCE QUOTE; unvalidated / superseded assessments</x:v>
      </x:c>
      <x:c r="L1876" s="31" t="str">
        <x:v>D06, Markdown line 261; http://nas-1.tail55d152.ts.net:4100/static/MEDICAL_NORDICS_FINANCIALS_DOSSIER.html</x:v>
      </x:c>
    </x:row>
    <x:row r="1877" ht="42" customHeight="1">
      <x:c r="A1877" s="5" t="str">
        <x:v>D06</x:v>
      </x:c>
      <x:c r="B1877" s="5" t="str">
        <x:v>D06-T01</x:v>
      </x:c>
      <x:c r="C1877" s="5" t="str">
        <x:v>5. Complete Company Financial Table (135 Facilities Analyzed)</x:v>
      </x:c>
      <x:c r="D1877" s="5" t="n">
        <x:v>261</x:v>
      </x:c>
      <x:c r="E1877" s="5" t="n">
        <x:v>9</x:v>
      </x:c>
      <x:c r="F1877" s="5" t="str">
        <x:v>Status / Ownership / Strategic Service Alignment</x:v>
      </x:c>
      <x:c r="G1877" s="5" t="n">
        <x:v>1</x:v>
      </x:c>
      <x:c r="H1877" s="5" t="n">
        <x:v>1</x:v>
      </x:c>
      <x:c r="I1877" s="5" t="str">
        <x:v>Listed (Nasdaq: XBRANE); Package B &amp; D (High-titer fermentation batch yield defense)</x:v>
      </x:c>
      <x:c r="J1877" s="5" t="str">
        <x:v>SOURCE QUOTE; unvalidated / superseded assessments</x:v>
      </x:c>
      <x:c r="L1877" s="31" t="str">
        <x:v>D06, Markdown line 261; http://nas-1.tail55d152.ts.net:4100/static/MEDICAL_NORDICS_FINANCIALS_DOSSIER.html</x:v>
      </x:c>
    </x:row>
    <x:row r="1878" ht="42" customHeight="1">
      <x:c r="A1878" s="5" t="str">
        <x:v>D06</x:v>
      </x:c>
      <x:c r="B1878" s="5" t="str">
        <x:v>D06-T01</x:v>
      </x:c>
      <x:c r="C1878" s="5" t="str">
        <x:v>5. Complete Company Financial Table (135 Facilities Analyzed)</x:v>
      </x:c>
      <x:c r="D1878" s="5" t="n">
        <x:v>262</x:v>
      </x:c>
      <x:c r="E1878" s="5" t="n">
        <x:v>1</x:v>
      </x:c>
      <x:c r="F1878" s="5" t="str">
        <x:v>#</x:v>
      </x:c>
      <x:c r="G1878" s="5" t="n">
        <x:v>1</x:v>
      </x:c>
      <x:c r="H1878" s="5" t="n">
        <x:v>1</x:v>
      </x:c>
      <x:c r="I1878" s="5" t="str">
        <x:v>81</x:v>
      </x:c>
      <x:c r="J1878" s="5" t="str">
        <x:v>SOURCE QUOTE; unvalidated / superseded assessments</x:v>
      </x:c>
      <x:c r="L1878" s="31" t="str">
        <x:v>D06, Markdown line 262; http://nas-1.tail55d152.ts.net:4100/static/MEDICAL_NORDICS_FINANCIALS_DOSSIER.html</x:v>
      </x:c>
    </x:row>
    <x:row r="1879" ht="42" customHeight="1">
      <x:c r="A1879" s="5" t="str">
        <x:v>D06</x:v>
      </x:c>
      <x:c r="B1879" s="5" t="str">
        <x:v>D06-T01</x:v>
      </x:c>
      <x:c r="C1879" s="5" t="str">
        <x:v>5. Complete Company Financial Table (135 Facilities Analyzed)</x:v>
      </x:c>
      <x:c r="D1879" s="5" t="n">
        <x:v>262</x:v>
      </x:c>
      <x:c r="E1879" s="5" t="n">
        <x:v>2</x:v>
      </x:c>
      <x:c r="F1879" s="5" t="str">
        <x:v>Company</x:v>
      </x:c>
      <x:c r="G1879" s="5" t="n">
        <x:v>1</x:v>
      </x:c>
      <x:c r="H1879" s="5" t="n">
        <x:v>1</x:v>
      </x:c>
      <x:c r="I1879" s="5" t="str">
        <x:v>Arex Advisor</x:v>
      </x:c>
      <x:c r="J1879" s="5" t="str">
        <x:v>SOURCE QUOTE; unvalidated / superseded assessments</x:v>
      </x:c>
      <x:c r="L1879" s="31" t="str">
        <x:v>D06, Markdown line 262; http://nas-1.tail55d152.ts.net:4100/static/MEDICAL_NORDICS_FINANCIALS_DOSSIER.html</x:v>
      </x:c>
    </x:row>
    <x:row r="1880" ht="42" customHeight="1">
      <x:c r="A1880" s="5" t="str">
        <x:v>D06</x:v>
      </x:c>
      <x:c r="B1880" s="5" t="str">
        <x:v>D06-T01</x:v>
      </x:c>
      <x:c r="C1880" s="5" t="str">
        <x:v>5. Complete Company Financial Table (135 Facilities Analyzed)</x:v>
      </x:c>
      <x:c r="D1880" s="5" t="n">
        <x:v>262</x:v>
      </x:c>
      <x:c r="E1880" s="5" t="n">
        <x:v>3</x:v>
      </x:c>
      <x:c r="F1880" s="5" t="str">
        <x:v>Location</x:v>
      </x:c>
      <x:c r="G1880" s="5" t="n">
        <x:v>1</x:v>
      </x:c>
      <x:c r="H1880" s="5" t="n">
        <x:v>1</x:v>
      </x:c>
      <x:c r="I1880" s="5" t="str">
        <x:v>Stockholm, Sweden</x:v>
      </x:c>
      <x:c r="J1880" s="5" t="str">
        <x:v>SOURCE QUOTE; unvalidated / superseded assessments</x:v>
      </x:c>
      <x:c r="L1880" s="31" t="str">
        <x:v>D06, Markdown line 262; http://nas-1.tail55d152.ts.net:4100/static/MEDICAL_NORDICS_FINANCIALS_DOSSIER.html</x:v>
      </x:c>
    </x:row>
    <x:row r="1881" ht="42" customHeight="1">
      <x:c r="A1881" s="5" t="str">
        <x:v>D06</x:v>
      </x:c>
      <x:c r="B1881" s="5" t="str">
        <x:v>D06-T01</x:v>
      </x:c>
      <x:c r="C1881" s="5" t="str">
        <x:v>5. Complete Company Financial Table (135 Facilities Analyzed)</x:v>
      </x:c>
      <x:c r="D1881" s="5" t="n">
        <x:v>262</x:v>
      </x:c>
      <x:c r="E1881" s="5" t="n">
        <x:v>4</x:v>
      </x:c>
      <x:c r="F1881" s="5" t="str">
        <x:v>Focus Area</x:v>
      </x:c>
      <x:c r="G1881" s="5" t="n">
        <x:v>1</x:v>
      </x:c>
      <x:c r="H1881" s="5" t="n">
        <x:v>1</x:v>
      </x:c>
      <x:c r="I1881" s="5" t="str">
        <x:v>Regulatory &amp; Market Access Consulting</x:v>
      </x:c>
      <x:c r="J1881" s="5" t="str">
        <x:v>SOURCE QUOTE; unvalidated / superseded assessments</x:v>
      </x:c>
      <x:c r="L1881" s="31" t="str">
        <x:v>D06, Markdown line 262; http://nas-1.tail55d152.ts.net:4100/static/MEDICAL_NORDICS_FINANCIALS_DOSSIER.html</x:v>
      </x:c>
    </x:row>
    <x:row r="1882" ht="42" customHeight="1">
      <x:c r="A1882" s="5" t="str">
        <x:v>D06</x:v>
      </x:c>
      <x:c r="B1882" s="5" t="str">
        <x:v>D06-T01</x:v>
      </x:c>
      <x:c r="C1882" s="5" t="str">
        <x:v>5. Complete Company Financial Table (135 Facilities Analyzed)</x:v>
      </x:c>
      <x:c r="D1882" s="5" t="n">
        <x:v>262</x:v>
      </x:c>
      <x:c r="E1882" s="5" t="n">
        <x:v>5</x:v>
      </x:c>
      <x:c r="F1882" s="5" t="str">
        <x:v>Revenue / Net Sales</x:v>
      </x:c>
      <x:c r="G1882" s="5" t="n">
        <x:v>1</x:v>
      </x:c>
      <x:c r="H1882" s="5" t="n">
        <x:v>1</x:v>
      </x:c>
      <x:c r="I1882" s="5" t="str">
        <x:v>SEK 38.6M</x:v>
      </x:c>
      <x:c r="J1882" s="5" t="str">
        <x:v>SOURCE QUOTE; unvalidated / superseded assessments</x:v>
      </x:c>
      <x:c r="L1882" s="31" t="str">
        <x:v>D06, Markdown line 262; http://nas-1.tail55d152.ts.net:4100/static/MEDICAL_NORDICS_FINANCIALS_DOSSIER.html</x:v>
      </x:c>
    </x:row>
    <x:row r="1883" ht="42" customHeight="1">
      <x:c r="A1883" s="5" t="str">
        <x:v>D06</x:v>
      </x:c>
      <x:c r="B1883" s="5" t="str">
        <x:v>D06-T01</x:v>
      </x:c>
      <x:c r="C1883" s="5" t="str">
        <x:v>5. Complete Company Financial Table (135 Facilities Analyzed)</x:v>
      </x:c>
      <x:c r="D1883" s="5" t="n">
        <x:v>262</x:v>
      </x:c>
      <x:c r="E1883" s="5" t="n">
        <x:v>6</x:v>
      </x:c>
      <x:c r="F1883" s="5" t="str">
        <x:v>R&amp;D Spend</x:v>
      </x:c>
      <x:c r="G1883" s="5" t="n">
        <x:v>1</x:v>
      </x:c>
      <x:c r="H1883" s="5" t="n">
        <x:v>1</x:v>
      </x:c>
      <x:c r="I1883" s="5" t="str">
        <x:v>SEK 1.5M est.</x:v>
      </x:c>
      <x:c r="J1883" s="5" t="str">
        <x:v>SOURCE QUOTE; unvalidated / superseded assessments</x:v>
      </x:c>
      <x:c r="L1883" s="31" t="str">
        <x:v>D06, Markdown line 262; http://nas-1.tail55d152.ts.net:4100/static/MEDICAL_NORDICS_FINANCIALS_DOSSIER.html</x:v>
      </x:c>
    </x:row>
    <x:row r="1884" ht="42" customHeight="1">
      <x:c r="A1884" s="5" t="str">
        <x:v>D06</x:v>
      </x:c>
      <x:c r="B1884" s="5" t="str">
        <x:v>D06-T01</x:v>
      </x:c>
      <x:c r="C1884" s="5" t="str">
        <x:v>5. Complete Company Financial Table (135 Facilities Analyzed)</x:v>
      </x:c>
      <x:c r="D1884" s="5" t="n">
        <x:v>262</x:v>
      </x:c>
      <x:c r="E1884" s="5" t="n">
        <x:v>7</x:v>
      </x:c>
      <x:c r="F1884" s="5" t="str">
        <x:v>Currency</x:v>
      </x:c>
      <x:c r="G1884" s="5" t="n">
        <x:v>1</x:v>
      </x:c>
      <x:c r="H1884" s="5" t="n">
        <x:v>1</x:v>
      </x:c>
      <x:c r="I1884" s="5" t="str">
        <x:v>SEK</x:v>
      </x:c>
      <x:c r="J1884" s="5" t="str">
        <x:v>SOURCE QUOTE; unvalidated / superseded assessments</x:v>
      </x:c>
      <x:c r="L1884" s="31" t="str">
        <x:v>D06, Markdown line 262; http://nas-1.tail55d152.ts.net:4100/static/MEDICAL_NORDICS_FINANCIALS_DOSSIER.html</x:v>
      </x:c>
    </x:row>
    <x:row r="1885" ht="42" customHeight="1">
      <x:c r="A1885" s="5" t="str">
        <x:v>D06</x:v>
      </x:c>
      <x:c r="B1885" s="5" t="str">
        <x:v>D06-T01</x:v>
      </x:c>
      <x:c r="C1885" s="5" t="str">
        <x:v>5. Complete Company Financial Table (135 Facilities Analyzed)</x:v>
      </x:c>
      <x:c r="D1885" s="5" t="n">
        <x:v>262</x:v>
      </x:c>
      <x:c r="E1885" s="5" t="n">
        <x:v>8</x:v>
      </x:c>
      <x:c r="F1885" s="5" t="str">
        <x:v>Fiscal Year</x:v>
      </x:c>
      <x:c r="G1885" s="5" t="n">
        <x:v>1</x:v>
      </x:c>
      <x:c r="H1885" s="5" t="n">
        <x:v>1</x:v>
      </x:c>
      <x:c r="I1885" s="5" t="str">
        <x:v>FY2023</x:v>
      </x:c>
      <x:c r="J1885" s="5" t="str">
        <x:v>SOURCE QUOTE; unvalidated / superseded assessments</x:v>
      </x:c>
      <x:c r="L1885" s="31" t="str">
        <x:v>D06, Markdown line 262; http://nas-1.tail55d152.ts.net:4100/static/MEDICAL_NORDICS_FINANCIALS_DOSSIER.html</x:v>
      </x:c>
    </x:row>
    <x:row r="1886" ht="42" customHeight="1">
      <x:c r="A1886" s="5" t="str">
        <x:v>D06</x:v>
      </x:c>
      <x:c r="B1886" s="5" t="str">
        <x:v>D06-T01</x:v>
      </x:c>
      <x:c r="C1886" s="5" t="str">
        <x:v>5. Complete Company Financial Table (135 Facilities Analyzed)</x:v>
      </x:c>
      <x:c r="D1886" s="5" t="n">
        <x:v>262</x:v>
      </x:c>
      <x:c r="E1886" s="5" t="n">
        <x:v>9</x:v>
      </x:c>
      <x:c r="F1886" s="5" t="str">
        <x:v>Status / Ownership / Strategic Service Alignment</x:v>
      </x:c>
      <x:c r="G1886" s="5" t="n">
        <x:v>1</x:v>
      </x:c>
      <x:c r="H1886" s="5" t="n">
        <x:v>1</x:v>
      </x:c>
      <x:c r="I1886" s="5" t="str">
        <x:v>Private advisory; Co-Opetition (Subcontracting 2S HCare360 for continuous QA)</x:v>
      </x:c>
      <x:c r="J1886" s="5" t="str">
        <x:v>SOURCE QUOTE; unvalidated / superseded assessments</x:v>
      </x:c>
      <x:c r="L1886" s="31" t="str">
        <x:v>D06, Markdown line 262; http://nas-1.tail55d152.ts.net:4100/static/MEDICAL_NORDICS_FINANCIALS_DOSSIER.html</x:v>
      </x:c>
    </x:row>
    <x:row r="1887" ht="42" customHeight="1">
      <x:c r="A1887" s="5" t="str">
        <x:v>D06</x:v>
      </x:c>
      <x:c r="B1887" s="5" t="str">
        <x:v>D06-T01</x:v>
      </x:c>
      <x:c r="C1887" s="5" t="str">
        <x:v>5. Complete Company Financial Table (135 Facilities Analyzed)</x:v>
      </x:c>
      <x:c r="D1887" s="5" t="n">
        <x:v>263</x:v>
      </x:c>
      <x:c r="E1887" s="5" t="n">
        <x:v>1</x:v>
      </x:c>
      <x:c r="F1887" s="5" t="str">
        <x:v>#</x:v>
      </x:c>
      <x:c r="G1887" s="5" t="n">
        <x:v>1</x:v>
      </x:c>
      <x:c r="H1887" s="5" t="n">
        <x:v>1</x:v>
      </x:c>
      <x:c r="I1887" s="5" t="str">
        <x:v>82</x:v>
      </x:c>
      <x:c r="J1887" s="5" t="str">
        <x:v>SOURCE QUOTE; unvalidated / superseded assessments</x:v>
      </x:c>
      <x:c r="L1887" s="31" t="str">
        <x:v>D06, Markdown line 263; http://nas-1.tail55d152.ts.net:4100/static/MEDICAL_NORDICS_FINANCIALS_DOSSIER.html</x:v>
      </x:c>
    </x:row>
    <x:row r="1888" ht="42" customHeight="1">
      <x:c r="A1888" s="5" t="str">
        <x:v>D06</x:v>
      </x:c>
      <x:c r="B1888" s="5" t="str">
        <x:v>D06-T01</x:v>
      </x:c>
      <x:c r="C1888" s="5" t="str">
        <x:v>5. Complete Company Financial Table (135 Facilities Analyzed)</x:v>
      </x:c>
      <x:c r="D1888" s="5" t="n">
        <x:v>263</x:v>
      </x:c>
      <x:c r="E1888" s="5" t="n">
        <x:v>2</x:v>
      </x:c>
      <x:c r="F1888" s="5" t="str">
        <x:v>Company</x:v>
      </x:c>
      <x:c r="G1888" s="5" t="n">
        <x:v>1</x:v>
      </x:c>
      <x:c r="H1888" s="5" t="n">
        <x:v>1</x:v>
      </x:c>
      <x:c r="I1888" s="5" t="str">
        <x:v>Avia Pharma</x:v>
      </x:c>
      <x:c r="J1888" s="5" t="str">
        <x:v>SOURCE QUOTE; unvalidated / superseded assessments</x:v>
      </x:c>
      <x:c r="L1888" s="31" t="str">
        <x:v>D06, Markdown line 263; http://nas-1.tail55d152.ts.net:4100/static/MEDICAL_NORDICS_FINANCIALS_DOSSIER.html</x:v>
      </x:c>
    </x:row>
    <x:row r="1889" ht="42" customHeight="1">
      <x:c r="A1889" s="5" t="str">
        <x:v>D06</x:v>
      </x:c>
      <x:c r="B1889" s="5" t="str">
        <x:v>D06-T01</x:v>
      </x:c>
      <x:c r="C1889" s="5" t="str">
        <x:v>5. Complete Company Financial Table (135 Facilities Analyzed)</x:v>
      </x:c>
      <x:c r="D1889" s="5" t="n">
        <x:v>263</x:v>
      </x:c>
      <x:c r="E1889" s="5" t="n">
        <x:v>3</x:v>
      </x:c>
      <x:c r="F1889" s="5" t="str">
        <x:v>Location</x:v>
      </x:c>
      <x:c r="G1889" s="5" t="n">
        <x:v>1</x:v>
      </x:c>
      <x:c r="H1889" s="5" t="n">
        <x:v>1</x:v>
      </x:c>
      <x:c r="I1889" s="5" t="str">
        <x:v>Stockholm, Sweden</x:v>
      </x:c>
      <x:c r="J1889" s="5" t="str">
        <x:v>SOURCE QUOTE; unvalidated / superseded assessments</x:v>
      </x:c>
      <x:c r="L1889" s="31" t="str">
        <x:v>D06, Markdown line 263; http://nas-1.tail55d152.ts.net:4100/static/MEDICAL_NORDICS_FINANCIALS_DOSSIER.html</x:v>
      </x:c>
    </x:row>
    <x:row r="1890" ht="42" customHeight="1">
      <x:c r="A1890" s="5" t="str">
        <x:v>D06</x:v>
      </x:c>
      <x:c r="B1890" s="5" t="str">
        <x:v>D06-T01</x:v>
      </x:c>
      <x:c r="C1890" s="5" t="str">
        <x:v>5. Complete Company Financial Table (135 Facilities Analyzed)</x:v>
      </x:c>
      <x:c r="D1890" s="5" t="n">
        <x:v>263</x:v>
      </x:c>
      <x:c r="E1890" s="5" t="n">
        <x:v>4</x:v>
      </x:c>
      <x:c r="F1890" s="5" t="str">
        <x:v>Focus Area</x:v>
      </x:c>
      <x:c r="G1890" s="5" t="n">
        <x:v>1</x:v>
      </x:c>
      <x:c r="H1890" s="5" t="n">
        <x:v>1</x:v>
      </x:c>
      <x:c r="I1890" s="5" t="str">
        <x:v>Specialty Pharma In-Licensing</x:v>
      </x:c>
      <x:c r="J1890" s="5" t="str">
        <x:v>SOURCE QUOTE; unvalidated / superseded assessments</x:v>
      </x:c>
      <x:c r="L1890" s="31" t="str">
        <x:v>D06, Markdown line 263; http://nas-1.tail55d152.ts.net:4100/static/MEDICAL_NORDICS_FINANCIALS_DOSSIER.html</x:v>
      </x:c>
    </x:row>
    <x:row r="1891" ht="42" customHeight="1">
      <x:c r="A1891" s="5" t="str">
        <x:v>D06</x:v>
      </x:c>
      <x:c r="B1891" s="5" t="str">
        <x:v>D06-T01</x:v>
      </x:c>
      <x:c r="C1891" s="5" t="str">
        <x:v>5. Complete Company Financial Table (135 Facilities Analyzed)</x:v>
      </x:c>
      <x:c r="D1891" s="5" t="n">
        <x:v>263</x:v>
      </x:c>
      <x:c r="E1891" s="5" t="n">
        <x:v>5</x:v>
      </x:c>
      <x:c r="F1891" s="5" t="str">
        <x:v>Revenue / Net Sales</x:v>
      </x:c>
      <x:c r="G1891" s="5" t="n">
        <x:v>1</x:v>
      </x:c>
      <x:c r="H1891" s="5" t="n">
        <x:v>1</x:v>
      </x:c>
      <x:c r="I1891" s="5" t="str">
        <x:v>&gt;SEK 600.0M</x:v>
      </x:c>
      <x:c r="J1891" s="5" t="str">
        <x:v>SOURCE QUOTE; unvalidated / superseded assessments</x:v>
      </x:c>
      <x:c r="L1891" s="31" t="str">
        <x:v>D06, Markdown line 263; http://nas-1.tail55d152.ts.net:4100/static/MEDICAL_NORDICS_FINANCIALS_DOSSIER.html</x:v>
      </x:c>
    </x:row>
    <x:row r="1892" ht="42" customHeight="1">
      <x:c r="A1892" s="5" t="str">
        <x:v>D06</x:v>
      </x:c>
      <x:c r="B1892" s="5" t="str">
        <x:v>D06-T01</x:v>
      </x:c>
      <x:c r="C1892" s="5" t="str">
        <x:v>5. Complete Company Financial Table (135 Facilities Analyzed)</x:v>
      </x:c>
      <x:c r="D1892" s="5" t="n">
        <x:v>263</x:v>
      </x:c>
      <x:c r="E1892" s="5" t="n">
        <x:v>6</x:v>
      </x:c>
      <x:c r="F1892" s="5" t="str">
        <x:v>R&amp;D Spend</x:v>
      </x:c>
      <x:c r="G1892" s="5" t="n">
        <x:v>1</x:v>
      </x:c>
      <x:c r="H1892" s="5" t="n">
        <x:v>1</x:v>
      </x:c>
      <x:c r="I1892" s="5" t="str">
        <x:v>SEK 30.0M est.</x:v>
      </x:c>
      <x:c r="J1892" s="5" t="str">
        <x:v>SOURCE QUOTE; unvalidated / superseded assessments</x:v>
      </x:c>
      <x:c r="L1892" s="31" t="str">
        <x:v>D06, Markdown line 263; http://nas-1.tail55d152.ts.net:4100/static/MEDICAL_NORDICS_FINANCIALS_DOSSIER.html</x:v>
      </x:c>
    </x:row>
    <x:row r="1893" ht="42" customHeight="1">
      <x:c r="A1893" s="5" t="str">
        <x:v>D06</x:v>
      </x:c>
      <x:c r="B1893" s="5" t="str">
        <x:v>D06-T01</x:v>
      </x:c>
      <x:c r="C1893" s="5" t="str">
        <x:v>5. Complete Company Financial Table (135 Facilities Analyzed)</x:v>
      </x:c>
      <x:c r="D1893" s="5" t="n">
        <x:v>263</x:v>
      </x:c>
      <x:c r="E1893" s="5" t="n">
        <x:v>7</x:v>
      </x:c>
      <x:c r="F1893" s="5" t="str">
        <x:v>Currency</x:v>
      </x:c>
      <x:c r="G1893" s="5" t="n">
        <x:v>1</x:v>
      </x:c>
      <x:c r="H1893" s="5" t="n">
        <x:v>1</x:v>
      </x:c>
      <x:c r="I1893" s="5" t="str">
        <x:v>SEK</x:v>
      </x:c>
      <x:c r="J1893" s="5" t="str">
        <x:v>SOURCE QUOTE; unvalidated / superseded assessments</x:v>
      </x:c>
      <x:c r="L1893" s="31" t="str">
        <x:v>D06, Markdown line 263; http://nas-1.tail55d152.ts.net:4100/static/MEDICAL_NORDICS_FINANCIALS_DOSSIER.html</x:v>
      </x:c>
    </x:row>
    <x:row r="1894" ht="42" customHeight="1">
      <x:c r="A1894" s="5" t="str">
        <x:v>D06</x:v>
      </x:c>
      <x:c r="B1894" s="5" t="str">
        <x:v>D06-T01</x:v>
      </x:c>
      <x:c r="C1894" s="5" t="str">
        <x:v>5. Complete Company Financial Table (135 Facilities Analyzed)</x:v>
      </x:c>
      <x:c r="D1894" s="5" t="n">
        <x:v>263</x:v>
      </x:c>
      <x:c r="E1894" s="5" t="n">
        <x:v>8</x:v>
      </x:c>
      <x:c r="F1894" s="5" t="str">
        <x:v>Fiscal Year</x:v>
      </x:c>
      <x:c r="G1894" s="5" t="n">
        <x:v>1</x:v>
      </x:c>
      <x:c r="H1894" s="5" t="n">
        <x:v>1</x:v>
      </x:c>
      <x:c r="I1894" s="5" t="str">
        <x:v>FY2023/24</x:v>
      </x:c>
      <x:c r="J1894" s="5" t="str">
        <x:v>SOURCE QUOTE; unvalidated / superseded assessments</x:v>
      </x:c>
      <x:c r="L1894" s="31" t="str">
        <x:v>D06, Markdown line 263; http://nas-1.tail55d152.ts.net:4100/static/MEDICAL_NORDICS_FINANCIALS_DOSSIER.html</x:v>
      </x:c>
    </x:row>
    <x:row r="1895" ht="42" customHeight="1">
      <x:c r="A1895" s="5" t="str">
        <x:v>D06</x:v>
      </x:c>
      <x:c r="B1895" s="5" t="str">
        <x:v>D06-T01</x:v>
      </x:c>
      <x:c r="C1895" s="5" t="str">
        <x:v>5. Complete Company Financial Table (135 Facilities Analyzed)</x:v>
      </x:c>
      <x:c r="D1895" s="5" t="n">
        <x:v>263</x:v>
      </x:c>
      <x:c r="E1895" s="5" t="n">
        <x:v>9</x:v>
      </x:c>
      <x:c r="F1895" s="5" t="str">
        <x:v>Status / Ownership / Strategic Service Alignment</x:v>
      </x:c>
      <x:c r="G1895" s="5" t="n">
        <x:v>1</x:v>
      </x:c>
      <x:c r="H1895" s="5" t="n">
        <x:v>1</x:v>
      </x:c>
      <x:c r="I1895" s="5" t="str">
        <x:v>Impilo backed; Package C (Multi-country OTC/Rx tender &amp; stockist sales tracking)</x:v>
      </x:c>
      <x:c r="J1895" s="5" t="str">
        <x:v>SOURCE QUOTE; unvalidated / superseded assessments</x:v>
      </x:c>
      <x:c r="L1895" s="31" t="str">
        <x:v>D06, Markdown line 263; http://nas-1.tail55d152.ts.net:4100/static/MEDICAL_NORDICS_FINANCIALS_DOSSIER.html</x:v>
      </x:c>
    </x:row>
    <x:row r="1896" ht="42" customHeight="1">
      <x:c r="A1896" s="5" t="str">
        <x:v>D06</x:v>
      </x:c>
      <x:c r="B1896" s="5" t="str">
        <x:v>D06-T01</x:v>
      </x:c>
      <x:c r="C1896" s="5" t="str">
        <x:v>5. Complete Company Financial Table (135 Facilities Analyzed)</x:v>
      </x:c>
      <x:c r="D1896" s="5" t="n">
        <x:v>264</x:v>
      </x:c>
      <x:c r="E1896" s="5" t="n">
        <x:v>1</x:v>
      </x:c>
      <x:c r="F1896" s="5" t="str">
        <x:v>#</x:v>
      </x:c>
      <x:c r="G1896" s="5" t="n">
        <x:v>1</x:v>
      </x:c>
      <x:c r="H1896" s="5" t="n">
        <x:v>1</x:v>
      </x:c>
      <x:c r="I1896" s="5" t="str">
        <x:v>83</x:v>
      </x:c>
      <x:c r="J1896" s="5" t="str">
        <x:v>SOURCE QUOTE; unvalidated / superseded assessments</x:v>
      </x:c>
      <x:c r="L1896" s="31" t="str">
        <x:v>D06, Markdown line 264; http://nas-1.tail55d152.ts.net:4100/static/MEDICAL_NORDICS_FINANCIALS_DOSSIER.html</x:v>
      </x:c>
    </x:row>
    <x:row r="1897" ht="42" customHeight="1">
      <x:c r="A1897" s="5" t="str">
        <x:v>D06</x:v>
      </x:c>
      <x:c r="B1897" s="5" t="str">
        <x:v>D06-T01</x:v>
      </x:c>
      <x:c r="C1897" s="5" t="str">
        <x:v>5. Complete Company Financial Table (135 Facilities Analyzed)</x:v>
      </x:c>
      <x:c r="D1897" s="5" t="n">
        <x:v>264</x:v>
      </x:c>
      <x:c r="E1897" s="5" t="n">
        <x:v>2</x:v>
      </x:c>
      <x:c r="F1897" s="5" t="str">
        <x:v>Company</x:v>
      </x:c>
      <x:c r="G1897" s="5" t="n">
        <x:v>1</x:v>
      </x:c>
      <x:c r="H1897" s="5" t="n">
        <x:v>1</x:v>
      </x:c>
      <x:c r="I1897" s="5" t="str">
        <x:v>BioArctic</x:v>
      </x:c>
      <x:c r="J1897" s="5" t="str">
        <x:v>SOURCE QUOTE; unvalidated / superseded assessments</x:v>
      </x:c>
      <x:c r="L1897" s="31" t="str">
        <x:v>D06, Markdown line 264; http://nas-1.tail55d152.ts.net:4100/static/MEDICAL_NORDICS_FINANCIALS_DOSSIER.html</x:v>
      </x:c>
    </x:row>
    <x:row r="1898" ht="42" customHeight="1">
      <x:c r="A1898" s="5" t="str">
        <x:v>D06</x:v>
      </x:c>
      <x:c r="B1898" s="5" t="str">
        <x:v>D06-T01</x:v>
      </x:c>
      <x:c r="C1898" s="5" t="str">
        <x:v>5. Complete Company Financial Table (135 Facilities Analyzed)</x:v>
      </x:c>
      <x:c r="D1898" s="5" t="n">
        <x:v>264</x:v>
      </x:c>
      <x:c r="E1898" s="5" t="n">
        <x:v>3</x:v>
      </x:c>
      <x:c r="F1898" s="5" t="str">
        <x:v>Location</x:v>
      </x:c>
      <x:c r="G1898" s="5" t="n">
        <x:v>1</x:v>
      </x:c>
      <x:c r="H1898" s="5" t="n">
        <x:v>1</x:v>
      </x:c>
      <x:c r="I1898" s="5" t="str">
        <x:v>Stockholm, Sweden</x:v>
      </x:c>
      <x:c r="J1898" s="5" t="str">
        <x:v>SOURCE QUOTE; unvalidated / superseded assessments</x:v>
      </x:c>
      <x:c r="L1898" s="31" t="str">
        <x:v>D06, Markdown line 264; http://nas-1.tail55d152.ts.net:4100/static/MEDICAL_NORDICS_FINANCIALS_DOSSIER.html</x:v>
      </x:c>
    </x:row>
    <x:row r="1899" ht="42" customHeight="1">
      <x:c r="A1899" s="5" t="str">
        <x:v>D06</x:v>
      </x:c>
      <x:c r="B1899" s="5" t="str">
        <x:v>D06-T01</x:v>
      </x:c>
      <x:c r="C1899" s="5" t="str">
        <x:v>5. Complete Company Financial Table (135 Facilities Analyzed)</x:v>
      </x:c>
      <x:c r="D1899" s="5" t="n">
        <x:v>264</x:v>
      </x:c>
      <x:c r="E1899" s="5" t="n">
        <x:v>4</x:v>
      </x:c>
      <x:c r="F1899" s="5" t="str">
        <x:v>Focus Area</x:v>
      </x:c>
      <x:c r="G1899" s="5" t="n">
        <x:v>1</x:v>
      </x:c>
      <x:c r="H1899" s="5" t="n">
        <x:v>1</x:v>
      </x:c>
      <x:c r="I1899" s="5" t="str">
        <x:v>Leqembi Originator for Alzheimer's</x:v>
      </x:c>
      <x:c r="J1899" s="5" t="str">
        <x:v>SOURCE QUOTE; unvalidated / superseded assessments</x:v>
      </x:c>
      <x:c r="L1899" s="31" t="str">
        <x:v>D06, Markdown line 264; http://nas-1.tail55d152.ts.net:4100/static/MEDICAL_NORDICS_FINANCIALS_DOSSIER.html</x:v>
      </x:c>
    </x:row>
    <x:row r="1900" ht="42" customHeight="1">
      <x:c r="A1900" s="5" t="str">
        <x:v>D06</x:v>
      </x:c>
      <x:c r="B1900" s="5" t="str">
        <x:v>D06-T01</x:v>
      </x:c>
      <x:c r="C1900" s="5" t="str">
        <x:v>5. Complete Company Financial Table (135 Facilities Analyzed)</x:v>
      </x:c>
      <x:c r="D1900" s="5" t="n">
        <x:v>264</x:v>
      </x:c>
      <x:c r="E1900" s="5" t="n">
        <x:v>5</x:v>
      </x:c>
      <x:c r="F1900" s="5" t="str">
        <x:v>Revenue / Net Sales</x:v>
      </x:c>
      <x:c r="G1900" s="5" t="n">
        <x:v>1</x:v>
      </x:c>
      <x:c r="H1900" s="5" t="n">
        <x:v>1</x:v>
      </x:c>
      <x:c r="I1900" s="5" t="str">
        <x:v>SEK 228.3M (excl. royalties)</x:v>
      </x:c>
      <x:c r="J1900" s="5" t="str">
        <x:v>SOURCE QUOTE; unvalidated / superseded assessments</x:v>
      </x:c>
      <x:c r="L1900" s="31" t="str">
        <x:v>D06, Markdown line 264; http://nas-1.tail55d152.ts.net:4100/static/MEDICAL_NORDICS_FINANCIALS_DOSSIER.html</x:v>
      </x:c>
    </x:row>
    <x:row r="1901" ht="42" customHeight="1">
      <x:c r="A1901" s="5" t="str">
        <x:v>D06</x:v>
      </x:c>
      <x:c r="B1901" s="5" t="str">
        <x:v>D06-T01</x:v>
      </x:c>
      <x:c r="C1901" s="5" t="str">
        <x:v>5. Complete Company Financial Table (135 Facilities Analyzed)</x:v>
      </x:c>
      <x:c r="D1901" s="5" t="n">
        <x:v>264</x:v>
      </x:c>
      <x:c r="E1901" s="5" t="n">
        <x:v>6</x:v>
      </x:c>
      <x:c r="F1901" s="5" t="str">
        <x:v>R&amp;D Spend</x:v>
      </x:c>
      <x:c r="G1901" s="5" t="n">
        <x:v>1</x:v>
      </x:c>
      <x:c r="H1901" s="5" t="n">
        <x:v>1</x:v>
      </x:c>
      <x:c r="I1901" s="5" t="str">
        <x:v>SEK 284.1M</x:v>
      </x:c>
      <x:c r="J1901" s="5" t="str">
        <x:v>SOURCE QUOTE; unvalidated / superseded assessments</x:v>
      </x:c>
      <x:c r="L1901" s="31" t="str">
        <x:v>D06, Markdown line 264; http://nas-1.tail55d152.ts.net:4100/static/MEDICAL_NORDICS_FINANCIALS_DOSSIER.html</x:v>
      </x:c>
    </x:row>
    <x:row r="1902" ht="42" customHeight="1">
      <x:c r="A1902" s="5" t="str">
        <x:v>D06</x:v>
      </x:c>
      <x:c r="B1902" s="5" t="str">
        <x:v>D06-T01</x:v>
      </x:c>
      <x:c r="C1902" s="5" t="str">
        <x:v>5. Complete Company Financial Table (135 Facilities Analyzed)</x:v>
      </x:c>
      <x:c r="D1902" s="5" t="n">
        <x:v>264</x:v>
      </x:c>
      <x:c r="E1902" s="5" t="n">
        <x:v>7</x:v>
      </x:c>
      <x:c r="F1902" s="5" t="str">
        <x:v>Currency</x:v>
      </x:c>
      <x:c r="G1902" s="5" t="n">
        <x:v>1</x:v>
      </x:c>
      <x:c r="H1902" s="5" t="n">
        <x:v>1</x:v>
      </x:c>
      <x:c r="I1902" s="5" t="str">
        <x:v>SEK</x:v>
      </x:c>
      <x:c r="J1902" s="5" t="str">
        <x:v>SOURCE QUOTE; unvalidated / superseded assessments</x:v>
      </x:c>
      <x:c r="L1902" s="31" t="str">
        <x:v>D06, Markdown line 264; http://nas-1.tail55d152.ts.net:4100/static/MEDICAL_NORDICS_FINANCIALS_DOSSIER.html</x:v>
      </x:c>
    </x:row>
    <x:row r="1903" ht="42" customHeight="1">
      <x:c r="A1903" s="5" t="str">
        <x:v>D06</x:v>
      </x:c>
      <x:c r="B1903" s="5" t="str">
        <x:v>D06-T01</x:v>
      </x:c>
      <x:c r="C1903" s="5" t="str">
        <x:v>5. Complete Company Financial Table (135 Facilities Analyzed)</x:v>
      </x:c>
      <x:c r="D1903" s="5" t="n">
        <x:v>264</x:v>
      </x:c>
      <x:c r="E1903" s="5" t="n">
        <x:v>8</x:v>
      </x:c>
      <x:c r="F1903" s="5" t="str">
        <x:v>Fiscal Year</x:v>
      </x:c>
      <x:c r="G1903" s="5" t="n">
        <x:v>1</x:v>
      </x:c>
      <x:c r="H1903" s="5" t="n">
        <x:v>1</x:v>
      </x:c>
      <x:c r="I1903" s="5" t="str">
        <x:v>FY2023/24</x:v>
      </x:c>
      <x:c r="J1903" s="5" t="str">
        <x:v>SOURCE QUOTE; unvalidated / superseded assessments</x:v>
      </x:c>
      <x:c r="L1903" s="31" t="str">
        <x:v>D06, Markdown line 264; http://nas-1.tail55d152.ts.net:4100/static/MEDICAL_NORDICS_FINANCIALS_DOSSIER.html</x:v>
      </x:c>
    </x:row>
    <x:row r="1904" ht="42" customHeight="1">
      <x:c r="A1904" s="5" t="str">
        <x:v>D06</x:v>
      </x:c>
      <x:c r="B1904" s="5" t="str">
        <x:v>D06-T01</x:v>
      </x:c>
      <x:c r="C1904" s="5" t="str">
        <x:v>5. Complete Company Financial Table (135 Facilities Analyzed)</x:v>
      </x:c>
      <x:c r="D1904" s="5" t="n">
        <x:v>264</x:v>
      </x:c>
      <x:c r="E1904" s="5" t="n">
        <x:v>9</x:v>
      </x:c>
      <x:c r="F1904" s="5" t="str">
        <x:v>Status / Ownership / Strategic Service Alignment</x:v>
      </x:c>
      <x:c r="G1904" s="5" t="n">
        <x:v>1</x:v>
      </x:c>
      <x:c r="H1904" s="5" t="n">
        <x:v>1</x:v>
      </x:c>
      <x:c r="I1904" s="5" t="str">
        <x:v>Listed (Nasdaq: BIOA B); Package B &amp; C (Eisai global royalty &amp; Nordic RWE tracking)</x:v>
      </x:c>
      <x:c r="J1904" s="5" t="str">
        <x:v>SOURCE QUOTE; unvalidated / superseded assessments</x:v>
      </x:c>
      <x:c r="L1904" s="31" t="str">
        <x:v>D06, Markdown line 264; http://nas-1.tail55d152.ts.net:4100/static/MEDICAL_NORDICS_FINANCIALS_DOSSIER.html</x:v>
      </x:c>
    </x:row>
    <x:row r="1905" ht="42" customHeight="1">
      <x:c r="A1905" s="5" t="str">
        <x:v>D06</x:v>
      </x:c>
      <x:c r="B1905" s="5" t="str">
        <x:v>D06-T01</x:v>
      </x:c>
      <x:c r="C1905" s="5" t="str">
        <x:v>5. Complete Company Financial Table (135 Facilities Analyzed)</x:v>
      </x:c>
      <x:c r="D1905" s="5" t="n">
        <x:v>265</x:v>
      </x:c>
      <x:c r="E1905" s="5" t="n">
        <x:v>1</x:v>
      </x:c>
      <x:c r="F1905" s="5" t="str">
        <x:v>#</x:v>
      </x:c>
      <x:c r="G1905" s="5" t="n">
        <x:v>1</x:v>
      </x:c>
      <x:c r="H1905" s="5" t="n">
        <x:v>1</x:v>
      </x:c>
      <x:c r="I1905" s="5" t="str">
        <x:v>84</x:v>
      </x:c>
      <x:c r="J1905" s="5" t="str">
        <x:v>SOURCE QUOTE; unvalidated / superseded assessments</x:v>
      </x:c>
      <x:c r="L1905" s="31" t="str">
        <x:v>D06, Markdown line 265; http://nas-1.tail55d152.ts.net:4100/static/MEDICAL_NORDICS_FINANCIALS_DOSSIER.html</x:v>
      </x:c>
    </x:row>
    <x:row r="1906" ht="42" customHeight="1">
      <x:c r="A1906" s="5" t="str">
        <x:v>D06</x:v>
      </x:c>
      <x:c r="B1906" s="5" t="str">
        <x:v>D06-T01</x:v>
      </x:c>
      <x:c r="C1906" s="5" t="str">
        <x:v>5. Complete Company Financial Table (135 Facilities Analyzed)</x:v>
      </x:c>
      <x:c r="D1906" s="5" t="n">
        <x:v>265</x:v>
      </x:c>
      <x:c r="E1906" s="5" t="n">
        <x:v>2</x:v>
      </x:c>
      <x:c r="F1906" s="5" t="str">
        <x:v>Company</x:v>
      </x:c>
      <x:c r="G1906" s="5" t="n">
        <x:v>1</x:v>
      </x:c>
      <x:c r="H1906" s="5" t="n">
        <x:v>1</x:v>
      </x:c>
      <x:c r="I1906" s="5" t="str">
        <x:v>BioGaia</x:v>
      </x:c>
      <x:c r="J1906" s="5" t="str">
        <x:v>SOURCE QUOTE; unvalidated / superseded assessments</x:v>
      </x:c>
      <x:c r="L1906" s="31" t="str">
        <x:v>D06, Markdown line 265; http://nas-1.tail55d152.ts.net:4100/static/MEDICAL_NORDICS_FINANCIALS_DOSSIER.html</x:v>
      </x:c>
    </x:row>
    <x:row r="1907" ht="42" customHeight="1">
      <x:c r="A1907" s="5" t="str">
        <x:v>D06</x:v>
      </x:c>
      <x:c r="B1907" s="5" t="str">
        <x:v>D06-T01</x:v>
      </x:c>
      <x:c r="C1907" s="5" t="str">
        <x:v>5. Complete Company Financial Table (135 Facilities Analyzed)</x:v>
      </x:c>
      <x:c r="D1907" s="5" t="n">
        <x:v>265</x:v>
      </x:c>
      <x:c r="E1907" s="5" t="n">
        <x:v>3</x:v>
      </x:c>
      <x:c r="F1907" s="5" t="str">
        <x:v>Location</x:v>
      </x:c>
      <x:c r="G1907" s="5" t="n">
        <x:v>1</x:v>
      </x:c>
      <x:c r="H1907" s="5" t="n">
        <x:v>1</x:v>
      </x:c>
      <x:c r="I1907" s="5" t="str">
        <x:v>Stockholm, Sweden</x:v>
      </x:c>
      <x:c r="J1907" s="5" t="str">
        <x:v>SOURCE QUOTE; unvalidated / superseded assessments</x:v>
      </x:c>
      <x:c r="L1907" s="31" t="str">
        <x:v>D06, Markdown line 265; http://nas-1.tail55d152.ts.net:4100/static/MEDICAL_NORDICS_FINANCIALS_DOSSIER.html</x:v>
      </x:c>
    </x:row>
    <x:row r="1908" ht="42" customHeight="1">
      <x:c r="A1908" s="5" t="str">
        <x:v>D06</x:v>
      </x:c>
      <x:c r="B1908" s="5" t="str">
        <x:v>D06-T01</x:v>
      </x:c>
      <x:c r="C1908" s="5" t="str">
        <x:v>5. Complete Company Financial Table (135 Facilities Analyzed)</x:v>
      </x:c>
      <x:c r="D1908" s="5" t="n">
        <x:v>265</x:v>
      </x:c>
      <x:c r="E1908" s="5" t="n">
        <x:v>4</x:v>
      </x:c>
      <x:c r="F1908" s="5" t="str">
        <x:v>Focus Area</x:v>
      </x:c>
      <x:c r="G1908" s="5" t="n">
        <x:v>1</x:v>
      </x:c>
      <x:c r="H1908" s="5" t="n">
        <x:v>1</x:v>
      </x:c>
      <x:c r="I1908" s="5" t="str">
        <x:v>Probiotic Drops &amp; Clinically Tested Strains</x:v>
      </x:c>
      <x:c r="J1908" s="5" t="str">
        <x:v>SOURCE QUOTE; unvalidated / superseded assessments</x:v>
      </x:c>
      <x:c r="L1908" s="31" t="str">
        <x:v>D06, Markdown line 265; http://nas-1.tail55d152.ts.net:4100/static/MEDICAL_NORDICS_FINANCIALS_DOSSIER.html</x:v>
      </x:c>
    </x:row>
    <x:row r="1909" ht="42" customHeight="1">
      <x:c r="A1909" s="5" t="str">
        <x:v>D06</x:v>
      </x:c>
      <x:c r="B1909" s="5" t="str">
        <x:v>D06-T01</x:v>
      </x:c>
      <x:c r="C1909" s="5" t="str">
        <x:v>5. Complete Company Financial Table (135 Facilities Analyzed)</x:v>
      </x:c>
      <x:c r="D1909" s="5" t="n">
        <x:v>265</x:v>
      </x:c>
      <x:c r="E1909" s="5" t="n">
        <x:v>5</x:v>
      </x:c>
      <x:c r="F1909" s="5" t="str">
        <x:v>Revenue / Net Sales</x:v>
      </x:c>
      <x:c r="G1909" s="5" t="n">
        <x:v>1</x:v>
      </x:c>
      <x:c r="H1909" s="5" t="n">
        <x:v>1</x:v>
      </x:c>
      <x:c r="I1909" s="5" t="str">
        <x:v>SEK 1,304.0M</x:v>
      </x:c>
      <x:c r="J1909" s="5" t="str">
        <x:v>SOURCE QUOTE; unvalidated / superseded assessments</x:v>
      </x:c>
      <x:c r="L1909" s="31" t="str">
        <x:v>D06, Markdown line 265; http://nas-1.tail55d152.ts.net:4100/static/MEDICAL_NORDICS_FINANCIALS_DOSSIER.html</x:v>
      </x:c>
    </x:row>
    <x:row r="1910" ht="42" customHeight="1">
      <x:c r="A1910" s="5" t="str">
        <x:v>D06</x:v>
      </x:c>
      <x:c r="B1910" s="5" t="str">
        <x:v>D06-T01</x:v>
      </x:c>
      <x:c r="C1910" s="5" t="str">
        <x:v>5. Complete Company Financial Table (135 Facilities Analyzed)</x:v>
      </x:c>
      <x:c r="D1910" s="5" t="n">
        <x:v>265</x:v>
      </x:c>
      <x:c r="E1910" s="5" t="n">
        <x:v>6</x:v>
      </x:c>
      <x:c r="F1910" s="5" t="str">
        <x:v>R&amp;D Spend</x:v>
      </x:c>
      <x:c r="G1910" s="5" t="n">
        <x:v>1</x:v>
      </x:c>
      <x:c r="H1910" s="5" t="n">
        <x:v>1</x:v>
      </x:c>
      <x:c r="I1910" s="5" t="str">
        <x:v>SEK 128.5M (~10% sales)</x:v>
      </x:c>
      <x:c r="J1910" s="5" t="str">
        <x:v>SOURCE QUOTE; unvalidated / superseded assessments</x:v>
      </x:c>
      <x:c r="L1910" s="31" t="str">
        <x:v>D06, Markdown line 265; http://nas-1.tail55d152.ts.net:4100/static/MEDICAL_NORDICS_FINANCIALS_DOSSIER.html</x:v>
      </x:c>
    </x:row>
    <x:row r="1911" ht="42" customHeight="1">
      <x:c r="A1911" s="5" t="str">
        <x:v>D06</x:v>
      </x:c>
      <x:c r="B1911" s="5" t="str">
        <x:v>D06-T01</x:v>
      </x:c>
      <x:c r="C1911" s="5" t="str">
        <x:v>5. Complete Company Financial Table (135 Facilities Analyzed)</x:v>
      </x:c>
      <x:c r="D1911" s="5" t="n">
        <x:v>265</x:v>
      </x:c>
      <x:c r="E1911" s="5" t="n">
        <x:v>7</x:v>
      </x:c>
      <x:c r="F1911" s="5" t="str">
        <x:v>Currency</x:v>
      </x:c>
      <x:c r="G1911" s="5" t="n">
        <x:v>1</x:v>
      </x:c>
      <x:c r="H1911" s="5" t="n">
        <x:v>1</x:v>
      </x:c>
      <x:c r="I1911" s="5" t="str">
        <x:v>SEK</x:v>
      </x:c>
      <x:c r="J1911" s="5" t="str">
        <x:v>SOURCE QUOTE; unvalidated / superseded assessments</x:v>
      </x:c>
      <x:c r="L1911" s="31" t="str">
        <x:v>D06, Markdown line 265; http://nas-1.tail55d152.ts.net:4100/static/MEDICAL_NORDICS_FINANCIALS_DOSSIER.html</x:v>
      </x:c>
    </x:row>
    <x:row r="1912" ht="42" customHeight="1">
      <x:c r="A1912" s="5" t="str">
        <x:v>D06</x:v>
      </x:c>
      <x:c r="B1912" s="5" t="str">
        <x:v>D06-T01</x:v>
      </x:c>
      <x:c r="C1912" s="5" t="str">
        <x:v>5. Complete Company Financial Table (135 Facilities Analyzed)</x:v>
      </x:c>
      <x:c r="D1912" s="5" t="n">
        <x:v>265</x:v>
      </x:c>
      <x:c r="E1912" s="5" t="n">
        <x:v>8</x:v>
      </x:c>
      <x:c r="F1912" s="5" t="str">
        <x:v>Fiscal Year</x:v>
      </x:c>
      <x:c r="G1912" s="5" t="n">
        <x:v>1</x:v>
      </x:c>
      <x:c r="H1912" s="5" t="n">
        <x:v>1</x:v>
      </x:c>
      <x:c r="I1912" s="5" t="str">
        <x:v>FY2023/24</x:v>
      </x:c>
      <x:c r="J1912" s="5" t="str">
        <x:v>SOURCE QUOTE; unvalidated / superseded assessments</x:v>
      </x:c>
      <x:c r="L1912" s="31" t="str">
        <x:v>D06, Markdown line 265; http://nas-1.tail55d152.ts.net:4100/static/MEDICAL_NORDICS_FINANCIALS_DOSSIER.html</x:v>
      </x:c>
    </x:row>
    <x:row r="1913" ht="42" customHeight="1">
      <x:c r="A1913" s="5" t="str">
        <x:v>D06</x:v>
      </x:c>
      <x:c r="B1913" s="5" t="str">
        <x:v>D06-T01</x:v>
      </x:c>
      <x:c r="C1913" s="5" t="str">
        <x:v>5. Complete Company Financial Table (135 Facilities Analyzed)</x:v>
      </x:c>
      <x:c r="D1913" s="5" t="n">
        <x:v>265</x:v>
      </x:c>
      <x:c r="E1913" s="5" t="n">
        <x:v>9</x:v>
      </x:c>
      <x:c r="F1913" s="5" t="str">
        <x:v>Status / Ownership / Strategic Service Alignment</x:v>
      </x:c>
      <x:c r="G1913" s="5" t="n">
        <x:v>1</x:v>
      </x:c>
      <x:c r="H1913" s="5" t="n">
        <x:v>1</x:v>
      </x:c>
      <x:c r="I1913" s="5" t="str">
        <x:v>Listed (Nasdaq: BIOG B); Package C (Global distributor sales visibility &amp; inventory S&amp;OP)</x:v>
      </x:c>
      <x:c r="J1913" s="5" t="str">
        <x:v>SOURCE QUOTE; unvalidated / superseded assessments</x:v>
      </x:c>
      <x:c r="L1913" s="31" t="str">
        <x:v>D06, Markdown line 265; http://nas-1.tail55d152.ts.net:4100/static/MEDICAL_NORDICS_FINANCIALS_DOSSIER.html</x:v>
      </x:c>
    </x:row>
    <x:row r="1914" ht="42" customHeight="1">
      <x:c r="A1914" s="5" t="str">
        <x:v>D06</x:v>
      </x:c>
      <x:c r="B1914" s="5" t="str">
        <x:v>D06-T01</x:v>
      </x:c>
      <x:c r="C1914" s="5" t="str">
        <x:v>5. Complete Company Financial Table (135 Facilities Analyzed)</x:v>
      </x:c>
      <x:c r="D1914" s="5" t="n">
        <x:v>266</x:v>
      </x:c>
      <x:c r="E1914" s="5" t="n">
        <x:v>1</x:v>
      </x:c>
      <x:c r="F1914" s="5" t="str">
        <x:v>#</x:v>
      </x:c>
      <x:c r="G1914" s="5" t="n">
        <x:v>1</x:v>
      </x:c>
      <x:c r="H1914" s="5" t="n">
        <x:v>1</x:v>
      </x:c>
      <x:c r="I1914" s="5" t="str">
        <x:v>85</x:v>
      </x:c>
      <x:c r="J1914" s="5" t="str">
        <x:v>SOURCE QUOTE; unvalidated / superseded assessments</x:v>
      </x:c>
      <x:c r="L1914" s="31" t="str">
        <x:v>D06, Markdown line 266; http://nas-1.tail55d152.ts.net:4100/static/MEDICAL_NORDICS_FINANCIALS_DOSSIER.html</x:v>
      </x:c>
    </x:row>
    <x:row r="1915" ht="42" customHeight="1">
      <x:c r="A1915" s="5" t="str">
        <x:v>D06</x:v>
      </x:c>
      <x:c r="B1915" s="5" t="str">
        <x:v>D06-T01</x:v>
      </x:c>
      <x:c r="C1915" s="5" t="str">
        <x:v>5. Complete Company Financial Table (135 Facilities Analyzed)</x:v>
      </x:c>
      <x:c r="D1915" s="5" t="n">
        <x:v>266</x:v>
      </x:c>
      <x:c r="E1915" s="5" t="n">
        <x:v>2</x:v>
      </x:c>
      <x:c r="F1915" s="5" t="str">
        <x:v>Company</x:v>
      </x:c>
      <x:c r="G1915" s="5" t="n">
        <x:v>1</x:v>
      </x:c>
      <x:c r="H1915" s="5" t="n">
        <x:v>1</x:v>
      </x:c>
      <x:c r="I1915" s="5" t="str">
        <x:v>Bluefish Pharmaceuticals</x:v>
      </x:c>
      <x:c r="J1915" s="5" t="str">
        <x:v>SOURCE QUOTE; unvalidated / superseded assessments</x:v>
      </x:c>
      <x:c r="L1915" s="31" t="str">
        <x:v>D06, Markdown line 266; http://nas-1.tail55d152.ts.net:4100/static/MEDICAL_NORDICS_FINANCIALS_DOSSIER.html</x:v>
      </x:c>
    </x:row>
    <x:row r="1916" ht="42" customHeight="1">
      <x:c r="A1916" s="5" t="str">
        <x:v>D06</x:v>
      </x:c>
      <x:c r="B1916" s="5" t="str">
        <x:v>D06-T01</x:v>
      </x:c>
      <x:c r="C1916" s="5" t="str">
        <x:v>5. Complete Company Financial Table (135 Facilities Analyzed)</x:v>
      </x:c>
      <x:c r="D1916" s="5" t="n">
        <x:v>266</x:v>
      </x:c>
      <x:c r="E1916" s="5" t="n">
        <x:v>3</x:v>
      </x:c>
      <x:c r="F1916" s="5" t="str">
        <x:v>Location</x:v>
      </x:c>
      <x:c r="G1916" s="5" t="n">
        <x:v>1</x:v>
      </x:c>
      <x:c r="H1916" s="5" t="n">
        <x:v>1</x:v>
      </x:c>
      <x:c r="I1916" s="5" t="str">
        <x:v>Stockholm, Sweden</x:v>
      </x:c>
      <x:c r="J1916" s="5" t="str">
        <x:v>SOURCE QUOTE; unvalidated / superseded assessments</x:v>
      </x:c>
      <x:c r="L1916" s="31" t="str">
        <x:v>D06, Markdown line 266; http://nas-1.tail55d152.ts.net:4100/static/MEDICAL_NORDICS_FINANCIALS_DOSSIER.html</x:v>
      </x:c>
    </x:row>
    <x:row r="1917" ht="42" customHeight="1">
      <x:c r="A1917" s="5" t="str">
        <x:v>D06</x:v>
      </x:c>
      <x:c r="B1917" s="5" t="str">
        <x:v>D06-T01</x:v>
      </x:c>
      <x:c r="C1917" s="5" t="str">
        <x:v>5. Complete Company Financial Table (135 Facilities Analyzed)</x:v>
      </x:c>
      <x:c r="D1917" s="5" t="n">
        <x:v>266</x:v>
      </x:c>
      <x:c r="E1917" s="5" t="n">
        <x:v>4</x:v>
      </x:c>
      <x:c r="F1917" s="5" t="str">
        <x:v>Focus Area</x:v>
      </x:c>
      <x:c r="G1917" s="5" t="n">
        <x:v>1</x:v>
      </x:c>
      <x:c r="H1917" s="5" t="n">
        <x:v>1</x:v>
      </x:c>
      <x:c r="I1917" s="5" t="str">
        <x:v>Pan-European Generic Pharmaceuticals</x:v>
      </x:c>
      <x:c r="J1917" s="5" t="str">
        <x:v>SOURCE QUOTE; unvalidated / superseded assessments</x:v>
      </x:c>
      <x:c r="L1917" s="31" t="str">
        <x:v>D06, Markdown line 266; http://nas-1.tail55d152.ts.net:4100/static/MEDICAL_NORDICS_FINANCIALS_DOSSIER.html</x:v>
      </x:c>
    </x:row>
    <x:row r="1918" ht="42" customHeight="1">
      <x:c r="A1918" s="5" t="str">
        <x:v>D06</x:v>
      </x:c>
      <x:c r="B1918" s="5" t="str">
        <x:v>D06-T01</x:v>
      </x:c>
      <x:c r="C1918" s="5" t="str">
        <x:v>5. Complete Company Financial Table (135 Facilities Analyzed)</x:v>
      </x:c>
      <x:c r="D1918" s="5" t="n">
        <x:v>266</x:v>
      </x:c>
      <x:c r="E1918" s="5" t="n">
        <x:v>5</x:v>
      </x:c>
      <x:c r="F1918" s="5" t="str">
        <x:v>Revenue / Net Sales</x:v>
      </x:c>
      <x:c r="G1918" s="5" t="n">
        <x:v>1</x:v>
      </x:c>
      <x:c r="H1918" s="5" t="n">
        <x:v>1</x:v>
      </x:c>
      <x:c r="I1918" s="5" t="str">
        <x:v>SEK 484.8M</x:v>
      </x:c>
      <x:c r="J1918" s="5" t="str">
        <x:v>SOURCE QUOTE; unvalidated / superseded assessments</x:v>
      </x:c>
      <x:c r="L1918" s="31" t="str">
        <x:v>D06, Markdown line 266; http://nas-1.tail55d152.ts.net:4100/static/MEDICAL_NORDICS_FINANCIALS_DOSSIER.html</x:v>
      </x:c>
    </x:row>
    <x:row r="1919" ht="42" customHeight="1">
      <x:c r="A1919" s="5" t="str">
        <x:v>D06</x:v>
      </x:c>
      <x:c r="B1919" s="5" t="str">
        <x:v>D06-T01</x:v>
      </x:c>
      <x:c r="C1919" s="5" t="str">
        <x:v>5. Complete Company Financial Table (135 Facilities Analyzed)</x:v>
      </x:c>
      <x:c r="D1919" s="5" t="n">
        <x:v>266</x:v>
      </x:c>
      <x:c r="E1919" s="5" t="n">
        <x:v>6</x:v>
      </x:c>
      <x:c r="F1919" s="5" t="str">
        <x:v>R&amp;D Spend</x:v>
      </x:c>
      <x:c r="G1919" s="5" t="n">
        <x:v>1</x:v>
      </x:c>
      <x:c r="H1919" s="5" t="n">
        <x:v>1</x:v>
      </x:c>
      <x:c r="I1919" s="5" t="str">
        <x:v>SEK 38.5M</x:v>
      </x:c>
      <x:c r="J1919" s="5" t="str">
        <x:v>SOURCE QUOTE; unvalidated / superseded assessments</x:v>
      </x:c>
      <x:c r="L1919" s="31" t="str">
        <x:v>D06, Markdown line 266; http://nas-1.tail55d152.ts.net:4100/static/MEDICAL_NORDICS_FINANCIALS_DOSSIER.html</x:v>
      </x:c>
    </x:row>
    <x:row r="1920" ht="42" customHeight="1">
      <x:c r="A1920" s="5" t="str">
        <x:v>D06</x:v>
      </x:c>
      <x:c r="B1920" s="5" t="str">
        <x:v>D06-T01</x:v>
      </x:c>
      <x:c r="C1920" s="5" t="str">
        <x:v>5. Complete Company Financial Table (135 Facilities Analyzed)</x:v>
      </x:c>
      <x:c r="D1920" s="5" t="n">
        <x:v>266</x:v>
      </x:c>
      <x:c r="E1920" s="5" t="n">
        <x:v>7</x:v>
      </x:c>
      <x:c r="F1920" s="5" t="str">
        <x:v>Currency</x:v>
      </x:c>
      <x:c r="G1920" s="5" t="n">
        <x:v>1</x:v>
      </x:c>
      <x:c r="H1920" s="5" t="n">
        <x:v>1</x:v>
      </x:c>
      <x:c r="I1920" s="5" t="str">
        <x:v>SEK</x:v>
      </x:c>
      <x:c r="J1920" s="5" t="str">
        <x:v>SOURCE QUOTE; unvalidated / superseded assessments</x:v>
      </x:c>
      <x:c r="L1920" s="31" t="str">
        <x:v>D06, Markdown line 266; http://nas-1.tail55d152.ts.net:4100/static/MEDICAL_NORDICS_FINANCIALS_DOSSIER.html</x:v>
      </x:c>
    </x:row>
    <x:row r="1921" ht="42" customHeight="1">
      <x:c r="A1921" s="5" t="str">
        <x:v>D06</x:v>
      </x:c>
      <x:c r="B1921" s="5" t="str">
        <x:v>D06-T01</x:v>
      </x:c>
      <x:c r="C1921" s="5" t="str">
        <x:v>5. Complete Company Financial Table (135 Facilities Analyzed)</x:v>
      </x:c>
      <x:c r="D1921" s="5" t="n">
        <x:v>266</x:v>
      </x:c>
      <x:c r="E1921" s="5" t="n">
        <x:v>8</x:v>
      </x:c>
      <x:c r="F1921" s="5" t="str">
        <x:v>Fiscal Year</x:v>
      </x:c>
      <x:c r="G1921" s="5" t="n">
        <x:v>1</x:v>
      </x:c>
      <x:c r="H1921" s="5" t="n">
        <x:v>1</x:v>
      </x:c>
      <x:c r="I1921" s="5" t="str">
        <x:v>FY2023/24</x:v>
      </x:c>
      <x:c r="J1921" s="5" t="str">
        <x:v>SOURCE QUOTE; unvalidated / superseded assessments</x:v>
      </x:c>
      <x:c r="L1921" s="31" t="str">
        <x:v>D06, Markdown line 266; http://nas-1.tail55d152.ts.net:4100/static/MEDICAL_NORDICS_FINANCIALS_DOSSIER.html</x:v>
      </x:c>
    </x:row>
    <x:row r="1922" ht="42" customHeight="1">
      <x:c r="A1922" s="5" t="str">
        <x:v>D06</x:v>
      </x:c>
      <x:c r="B1922" s="5" t="str">
        <x:v>D06-T01</x:v>
      </x:c>
      <x:c r="C1922" s="5" t="str">
        <x:v>5. Complete Company Financial Table (135 Facilities Analyzed)</x:v>
      </x:c>
      <x:c r="D1922" s="5" t="n">
        <x:v>266</x:v>
      </x:c>
      <x:c r="E1922" s="5" t="n">
        <x:v>9</x:v>
      </x:c>
      <x:c r="F1922" s="5" t="str">
        <x:v>Status / Ownership / Strategic Service Alignment</x:v>
      </x:c>
      <x:c r="G1922" s="5" t="n">
        <x:v>1</x:v>
      </x:c>
      <x:c r="H1922" s="5" t="n">
        <x:v>1</x:v>
      </x:c>
      <x:c r="I1922" s="5" t="str">
        <x:v>Färna Invest owned; Package C (Primary/stockist ERP sales reconciliation portal)</x:v>
      </x:c>
      <x:c r="J1922" s="5" t="str">
        <x:v>SOURCE QUOTE; unvalidated / superseded assessments</x:v>
      </x:c>
      <x:c r="L1922" s="31" t="str">
        <x:v>D06, Markdown line 266; http://nas-1.tail55d152.ts.net:4100/static/MEDICAL_NORDICS_FINANCIALS_DOSSIER.html</x:v>
      </x:c>
    </x:row>
    <x:row r="1923" ht="42" customHeight="1">
      <x:c r="A1923" s="5" t="str">
        <x:v>D06</x:v>
      </x:c>
      <x:c r="B1923" s="5" t="str">
        <x:v>D06-T01</x:v>
      </x:c>
      <x:c r="C1923" s="5" t="str">
        <x:v>5. Complete Company Financial Table (135 Facilities Analyzed)</x:v>
      </x:c>
      <x:c r="D1923" s="5" t="n">
        <x:v>267</x:v>
      </x:c>
      <x:c r="E1923" s="5" t="n">
        <x:v>1</x:v>
      </x:c>
      <x:c r="F1923" s="5" t="str">
        <x:v>#</x:v>
      </x:c>
      <x:c r="G1923" s="5" t="n">
        <x:v>1</x:v>
      </x:c>
      <x:c r="H1923" s="5" t="n">
        <x:v>1</x:v>
      </x:c>
      <x:c r="I1923" s="5" t="str">
        <x:v>86</x:v>
      </x:c>
      <x:c r="J1923" s="5" t="str">
        <x:v>SOURCE QUOTE; unvalidated / superseded assessments</x:v>
      </x:c>
      <x:c r="L1923" s="31" t="str">
        <x:v>D06, Markdown line 267; http://nas-1.tail55d152.ts.net:4100/static/MEDICAL_NORDICS_FINANCIALS_DOSSIER.html</x:v>
      </x:c>
    </x:row>
    <x:row r="1924" ht="42" customHeight="1">
      <x:c r="A1924" s="5" t="str">
        <x:v>D06</x:v>
      </x:c>
      <x:c r="B1924" s="5" t="str">
        <x:v>D06-T01</x:v>
      </x:c>
      <x:c r="C1924" s="5" t="str">
        <x:v>5. Complete Company Financial Table (135 Facilities Analyzed)</x:v>
      </x:c>
      <x:c r="D1924" s="5" t="n">
        <x:v>267</x:v>
      </x:c>
      <x:c r="E1924" s="5" t="n">
        <x:v>2</x:v>
      </x:c>
      <x:c r="F1924" s="5" t="str">
        <x:v>Company</x:v>
      </x:c>
      <x:c r="G1924" s="5" t="n">
        <x:v>1</x:v>
      </x:c>
      <x:c r="H1924" s="5" t="n">
        <x:v>1</x:v>
      </x:c>
      <x:c r="I1924" s="5" t="str">
        <x:v>Calliditas Therapeutics</x:v>
      </x:c>
      <x:c r="J1924" s="5" t="str">
        <x:v>SOURCE QUOTE; unvalidated / superseded assessments</x:v>
      </x:c>
      <x:c r="L1924" s="31" t="str">
        <x:v>D06, Markdown line 267; http://nas-1.tail55d152.ts.net:4100/static/MEDICAL_NORDICS_FINANCIALS_DOSSIER.html</x:v>
      </x:c>
    </x:row>
    <x:row r="1925" ht="42" customHeight="1">
      <x:c r="A1925" s="5" t="str">
        <x:v>D06</x:v>
      </x:c>
      <x:c r="B1925" s="5" t="str">
        <x:v>D06-T01</x:v>
      </x:c>
      <x:c r="C1925" s="5" t="str">
        <x:v>5. Complete Company Financial Table (135 Facilities Analyzed)</x:v>
      </x:c>
      <x:c r="D1925" s="5" t="n">
        <x:v>267</x:v>
      </x:c>
      <x:c r="E1925" s="5" t="n">
        <x:v>3</x:v>
      </x:c>
      <x:c r="F1925" s="5" t="str">
        <x:v>Location</x:v>
      </x:c>
      <x:c r="G1925" s="5" t="n">
        <x:v>1</x:v>
      </x:c>
      <x:c r="H1925" s="5" t="n">
        <x:v>1</x:v>
      </x:c>
      <x:c r="I1925" s="5" t="str">
        <x:v>Stockholm, Sweden</x:v>
      </x:c>
      <x:c r="J1925" s="5" t="str">
        <x:v>SOURCE QUOTE; unvalidated / superseded assessments</x:v>
      </x:c>
      <x:c r="L1925" s="31" t="str">
        <x:v>D06, Markdown line 267; http://nas-1.tail55d152.ts.net:4100/static/MEDICAL_NORDICS_FINANCIALS_DOSSIER.html</x:v>
      </x:c>
    </x:row>
    <x:row r="1926" ht="42" customHeight="1">
      <x:c r="A1926" s="5" t="str">
        <x:v>D06</x:v>
      </x:c>
      <x:c r="B1926" s="5" t="str">
        <x:v>D06-T01</x:v>
      </x:c>
      <x:c r="C1926" s="5" t="str">
        <x:v>5. Complete Company Financial Table (135 Facilities Analyzed)</x:v>
      </x:c>
      <x:c r="D1926" s="5" t="n">
        <x:v>267</x:v>
      </x:c>
      <x:c r="E1926" s="5" t="n">
        <x:v>4</x:v>
      </x:c>
      <x:c r="F1926" s="5" t="str">
        <x:v>Focus Area</x:v>
      </x:c>
      <x:c r="G1926" s="5" t="n">
        <x:v>1</x:v>
      </x:c>
      <x:c r="H1926" s="5" t="n">
        <x:v>1</x:v>
      </x:c>
      <x:c r="I1926" s="5" t="str">
        <x:v>Tarpeyo / Kinpeygo for IgA Nephropathy</x:v>
      </x:c>
      <x:c r="J1926" s="5" t="str">
        <x:v>SOURCE QUOTE; unvalidated / superseded assessments</x:v>
      </x:c>
      <x:c r="L1926" s="31" t="str">
        <x:v>D06, Markdown line 267; http://nas-1.tail55d152.ts.net:4100/static/MEDICAL_NORDICS_FINANCIALS_DOSSIER.html</x:v>
      </x:c>
    </x:row>
    <x:row r="1927" ht="42" customHeight="1">
      <x:c r="A1927" s="5" t="str">
        <x:v>D06</x:v>
      </x:c>
      <x:c r="B1927" s="5" t="str">
        <x:v>D06-T01</x:v>
      </x:c>
      <x:c r="C1927" s="5" t="str">
        <x:v>5. Complete Company Financial Table (135 Facilities Analyzed)</x:v>
      </x:c>
      <x:c r="D1927" s="5" t="n">
        <x:v>267</x:v>
      </x:c>
      <x:c r="E1927" s="5" t="n">
        <x:v>5</x:v>
      </x:c>
      <x:c r="F1927" s="5" t="str">
        <x:v>Revenue / Net Sales</x:v>
      </x:c>
      <x:c r="G1927" s="5" t="n">
        <x:v>1</x:v>
      </x:c>
      <x:c r="H1927" s="5" t="n">
        <x:v>1</x:v>
      </x:c>
      <x:c r="I1927" s="5" t="str">
        <x:v>SEK 1,180.3M</x:v>
      </x:c>
      <x:c r="J1927" s="5" t="str">
        <x:v>SOURCE QUOTE; unvalidated / superseded assessments</x:v>
      </x:c>
      <x:c r="L1927" s="31" t="str">
        <x:v>D06, Markdown line 267; http://nas-1.tail55d152.ts.net:4100/static/MEDICAL_NORDICS_FINANCIALS_DOSSIER.html</x:v>
      </x:c>
    </x:row>
    <x:row r="1928" ht="42" customHeight="1">
      <x:c r="A1928" s="5" t="str">
        <x:v>D06</x:v>
      </x:c>
      <x:c r="B1928" s="5" t="str">
        <x:v>D06-T01</x:v>
      </x:c>
      <x:c r="C1928" s="5" t="str">
        <x:v>5. Complete Company Financial Table (135 Facilities Analyzed)</x:v>
      </x:c>
      <x:c r="D1928" s="5" t="n">
        <x:v>267</x:v>
      </x:c>
      <x:c r="E1928" s="5" t="n">
        <x:v>6</x:v>
      </x:c>
      <x:c r="F1928" s="5" t="str">
        <x:v>R&amp;D Spend</x:v>
      </x:c>
      <x:c r="G1928" s="5" t="n">
        <x:v>1</x:v>
      </x:c>
      <x:c r="H1928" s="5" t="n">
        <x:v>1</x:v>
      </x:c>
      <x:c r="I1928" s="5" t="str">
        <x:v>SEK 647.9M</x:v>
      </x:c>
      <x:c r="J1928" s="5" t="str">
        <x:v>SOURCE QUOTE; unvalidated / superseded assessments</x:v>
      </x:c>
      <x:c r="L1928" s="31" t="str">
        <x:v>D06, Markdown line 267; http://nas-1.tail55d152.ts.net:4100/static/MEDICAL_NORDICS_FINANCIALS_DOSSIER.html</x:v>
      </x:c>
    </x:row>
    <x:row r="1929" ht="42" customHeight="1">
      <x:c r="A1929" s="5" t="str">
        <x:v>D06</x:v>
      </x:c>
      <x:c r="B1929" s="5" t="str">
        <x:v>D06-T01</x:v>
      </x:c>
      <x:c r="C1929" s="5" t="str">
        <x:v>5. Complete Company Financial Table (135 Facilities Analyzed)</x:v>
      </x:c>
      <x:c r="D1929" s="5" t="n">
        <x:v>267</x:v>
      </x:c>
      <x:c r="E1929" s="5" t="n">
        <x:v>7</x:v>
      </x:c>
      <x:c r="F1929" s="5" t="str">
        <x:v>Currency</x:v>
      </x:c>
      <x:c r="G1929" s="5" t="n">
        <x:v>1</x:v>
      </x:c>
      <x:c r="H1929" s="5" t="n">
        <x:v>1</x:v>
      </x:c>
      <x:c r="I1929" s="5" t="str">
        <x:v>SEK</x:v>
      </x:c>
      <x:c r="J1929" s="5" t="str">
        <x:v>SOURCE QUOTE; unvalidated / superseded assessments</x:v>
      </x:c>
      <x:c r="L1929" s="31" t="str">
        <x:v>D06, Markdown line 267; http://nas-1.tail55d152.ts.net:4100/static/MEDICAL_NORDICS_FINANCIALS_DOSSIER.html</x:v>
      </x:c>
    </x:row>
    <x:row r="1930" ht="42" customHeight="1">
      <x:c r="A1930" s="5" t="str">
        <x:v>D06</x:v>
      </x:c>
      <x:c r="B1930" s="5" t="str">
        <x:v>D06-T01</x:v>
      </x:c>
      <x:c r="C1930" s="5" t="str">
        <x:v>5. Complete Company Financial Table (135 Facilities Analyzed)</x:v>
      </x:c>
      <x:c r="D1930" s="5" t="n">
        <x:v>267</x:v>
      </x:c>
      <x:c r="E1930" s="5" t="n">
        <x:v>8</x:v>
      </x:c>
      <x:c r="F1930" s="5" t="str">
        <x:v>Fiscal Year</x:v>
      </x:c>
      <x:c r="G1930" s="5" t="n">
        <x:v>1</x:v>
      </x:c>
      <x:c r="H1930" s="5" t="n">
        <x:v>1</x:v>
      </x:c>
      <x:c r="I1930" s="5" t="str">
        <x:v>FY2023</x:v>
      </x:c>
      <x:c r="J1930" s="5" t="str">
        <x:v>SOURCE QUOTE; unvalidated / superseded assessments</x:v>
      </x:c>
      <x:c r="L1930" s="31" t="str">
        <x:v>D06, Markdown line 267; http://nas-1.tail55d152.ts.net:4100/static/MEDICAL_NORDICS_FINANCIALS_DOSSIER.html</x:v>
      </x:c>
    </x:row>
    <x:row r="1931" ht="42" customHeight="1">
      <x:c r="A1931" s="5" t="str">
        <x:v>D06</x:v>
      </x:c>
      <x:c r="B1931" s="5" t="str">
        <x:v>D06-T01</x:v>
      </x:c>
      <x:c r="C1931" s="5" t="str">
        <x:v>5. Complete Company Financial Table (135 Facilities Analyzed)</x:v>
      </x:c>
      <x:c r="D1931" s="5" t="n">
        <x:v>267</x:v>
      </x:c>
      <x:c r="E1931" s="5" t="n">
        <x:v>9</x:v>
      </x:c>
      <x:c r="F1931" s="5" t="str">
        <x:v>Status / Ownership / Strategic Service Alignment</x:v>
      </x:c>
      <x:c r="G1931" s="5" t="n">
        <x:v>1</x:v>
      </x:c>
      <x:c r="H1931" s="5" t="n">
        <x:v>1</x:v>
      </x:c>
      <x:c r="I1931" s="5" t="str">
        <x:v>Asahi Kasei ($1.1B acq); Package C (Global commercial specialty sales automation)</x:v>
      </x:c>
      <x:c r="J1931" s="5" t="str">
        <x:v>SOURCE QUOTE; unvalidated / superseded assessments</x:v>
      </x:c>
      <x:c r="L1931" s="31" t="str">
        <x:v>D06, Markdown line 267; http://nas-1.tail55d152.ts.net:4100/static/MEDICAL_NORDICS_FINANCIALS_DOSSIER.html</x:v>
      </x:c>
    </x:row>
    <x:row r="1932" ht="42" customHeight="1">
      <x:c r="A1932" s="5" t="str">
        <x:v>D06</x:v>
      </x:c>
      <x:c r="B1932" s="5" t="str">
        <x:v>D06-T01</x:v>
      </x:c>
      <x:c r="C1932" s="5" t="str">
        <x:v>5. Complete Company Financial Table (135 Facilities Analyzed)</x:v>
      </x:c>
      <x:c r="D1932" s="5" t="n">
        <x:v>268</x:v>
      </x:c>
      <x:c r="E1932" s="5" t="n">
        <x:v>1</x:v>
      </x:c>
      <x:c r="F1932" s="5" t="str">
        <x:v>#</x:v>
      </x:c>
      <x:c r="G1932" s="5" t="n">
        <x:v>1</x:v>
      </x:c>
      <x:c r="H1932" s="5" t="n">
        <x:v>1</x:v>
      </x:c>
      <x:c r="I1932" s="5" t="str">
        <x:v>87</x:v>
      </x:c>
      <x:c r="J1932" s="5" t="str">
        <x:v>SOURCE QUOTE; unvalidated / superseded assessments</x:v>
      </x:c>
      <x:c r="L1932" s="31" t="str">
        <x:v>D06, Markdown line 268; http://nas-1.tail55d152.ts.net:4100/static/MEDICAL_NORDICS_FINANCIALS_DOSSIER.html</x:v>
      </x:c>
    </x:row>
    <x:row r="1933" ht="42" customHeight="1">
      <x:c r="A1933" s="5" t="str">
        <x:v>D06</x:v>
      </x:c>
      <x:c r="B1933" s="5" t="str">
        <x:v>D06-T01</x:v>
      </x:c>
      <x:c r="C1933" s="5" t="str">
        <x:v>5. Complete Company Financial Table (135 Facilities Analyzed)</x:v>
      </x:c>
      <x:c r="D1933" s="5" t="n">
        <x:v>268</x:v>
      </x:c>
      <x:c r="E1933" s="5" t="n">
        <x:v>2</x:v>
      </x:c>
      <x:c r="F1933" s="5" t="str">
        <x:v>Company</x:v>
      </x:c>
      <x:c r="G1933" s="5" t="n">
        <x:v>1</x:v>
      </x:c>
      <x:c r="H1933" s="5" t="n">
        <x:v>1</x:v>
      </x:c>
      <x:c r="I1933" s="5" t="str">
        <x:v>Cinclus Pharma</x:v>
      </x:c>
      <x:c r="J1933" s="5" t="str">
        <x:v>SOURCE QUOTE; unvalidated / superseded assessments</x:v>
      </x:c>
      <x:c r="L1933" s="31" t="str">
        <x:v>D06, Markdown line 268; http://nas-1.tail55d152.ts.net:4100/static/MEDICAL_NORDICS_FINANCIALS_DOSSIER.html</x:v>
      </x:c>
    </x:row>
    <x:row r="1934" ht="42" customHeight="1">
      <x:c r="A1934" s="5" t="str">
        <x:v>D06</x:v>
      </x:c>
      <x:c r="B1934" s="5" t="str">
        <x:v>D06-T01</x:v>
      </x:c>
      <x:c r="C1934" s="5" t="str">
        <x:v>5. Complete Company Financial Table (135 Facilities Analyzed)</x:v>
      </x:c>
      <x:c r="D1934" s="5" t="n">
        <x:v>268</x:v>
      </x:c>
      <x:c r="E1934" s="5" t="n">
        <x:v>3</x:v>
      </x:c>
      <x:c r="F1934" s="5" t="str">
        <x:v>Location</x:v>
      </x:c>
      <x:c r="G1934" s="5" t="n">
        <x:v>1</x:v>
      </x:c>
      <x:c r="H1934" s="5" t="n">
        <x:v>1</x:v>
      </x:c>
      <x:c r="I1934" s="5" t="str">
        <x:v>Stockholm, Sweden</x:v>
      </x:c>
      <x:c r="J1934" s="5" t="str">
        <x:v>SOURCE QUOTE; unvalidated / superseded assessments</x:v>
      </x:c>
      <x:c r="L1934" s="31" t="str">
        <x:v>D06, Markdown line 268; http://nas-1.tail55d152.ts.net:4100/static/MEDICAL_NORDICS_FINANCIALS_DOSSIER.html</x:v>
      </x:c>
    </x:row>
    <x:row r="1935" ht="42" customHeight="1">
      <x:c r="A1935" s="5" t="str">
        <x:v>D06</x:v>
      </x:c>
      <x:c r="B1935" s="5" t="str">
        <x:v>D06-T01</x:v>
      </x:c>
      <x:c r="C1935" s="5" t="str">
        <x:v>5. Complete Company Financial Table (135 Facilities Analyzed)</x:v>
      </x:c>
      <x:c r="D1935" s="5" t="n">
        <x:v>268</x:v>
      </x:c>
      <x:c r="E1935" s="5" t="n">
        <x:v>4</x:v>
      </x:c>
      <x:c r="F1935" s="5" t="str">
        <x:v>Focus Area</x:v>
      </x:c>
      <x:c r="G1935" s="5" t="n">
        <x:v>1</x:v>
      </x:c>
      <x:c r="H1935" s="5" t="n">
        <x:v>1</x:v>
      </x:c>
      <x:c r="I1935" s="5" t="str">
        <x:v>Linaprazan Glurate P-CAB for GERD</x:v>
      </x:c>
      <x:c r="J1935" s="5" t="str">
        <x:v>SOURCE QUOTE; unvalidated / superseded assessments</x:v>
      </x:c>
      <x:c r="L1935" s="31" t="str">
        <x:v>D06, Markdown line 268; http://nas-1.tail55d152.ts.net:4100/static/MEDICAL_NORDICS_FINANCIALS_DOSSIER.html</x:v>
      </x:c>
    </x:row>
    <x:row r="1936" ht="42" customHeight="1">
      <x:c r="A1936" s="5" t="str">
        <x:v>D06</x:v>
      </x:c>
      <x:c r="B1936" s="5" t="str">
        <x:v>D06-T01</x:v>
      </x:c>
      <x:c r="C1936" s="5" t="str">
        <x:v>5. Complete Company Financial Table (135 Facilities Analyzed)</x:v>
      </x:c>
      <x:c r="D1936" s="5" t="n">
        <x:v>268</x:v>
      </x:c>
      <x:c r="E1936" s="5" t="n">
        <x:v>5</x:v>
      </x:c>
      <x:c r="F1936" s="5" t="str">
        <x:v>Revenue / Net Sales</x:v>
      </x:c>
      <x:c r="G1936" s="5" t="n">
        <x:v>1</x:v>
      </x:c>
      <x:c r="H1936" s="5" t="n">
        <x:v>1</x:v>
      </x:c>
      <x:c r="I1936" s="5" t="str">
        <x:v>SEK 5.96M (Pre-commercial)</x:v>
      </x:c>
      <x:c r="J1936" s="5" t="str">
        <x:v>SOURCE QUOTE; unvalidated / superseded assessments</x:v>
      </x:c>
      <x:c r="L1936" s="31" t="str">
        <x:v>D06, Markdown line 268; http://nas-1.tail55d152.ts.net:4100/static/MEDICAL_NORDICS_FINANCIALS_DOSSIER.html</x:v>
      </x:c>
    </x:row>
    <x:row r="1937" ht="42" customHeight="1">
      <x:c r="A1937" s="5" t="str">
        <x:v>D06</x:v>
      </x:c>
      <x:c r="B1937" s="5" t="str">
        <x:v>D06-T01</x:v>
      </x:c>
      <x:c r="C1937" s="5" t="str">
        <x:v>5. Complete Company Financial Table (135 Facilities Analyzed)</x:v>
      </x:c>
      <x:c r="D1937" s="5" t="n">
        <x:v>268</x:v>
      </x:c>
      <x:c r="E1937" s="5" t="n">
        <x:v>6</x:v>
      </x:c>
      <x:c r="F1937" s="5" t="str">
        <x:v>R&amp;D Spend</x:v>
      </x:c>
      <x:c r="G1937" s="5" t="n">
        <x:v>1</x:v>
      </x:c>
      <x:c r="H1937" s="5" t="n">
        <x:v>1</x:v>
      </x:c>
      <x:c r="I1937" s="5" t="str">
        <x:v>SEK 162.3M</x:v>
      </x:c>
      <x:c r="J1937" s="5" t="str">
        <x:v>SOURCE QUOTE; unvalidated / superseded assessments</x:v>
      </x:c>
      <x:c r="L1937" s="31" t="str">
        <x:v>D06, Markdown line 268; http://nas-1.tail55d152.ts.net:4100/static/MEDICAL_NORDICS_FINANCIALS_DOSSIER.html</x:v>
      </x:c>
    </x:row>
    <x:row r="1938" ht="42" customHeight="1">
      <x:c r="A1938" s="5" t="str">
        <x:v>D06</x:v>
      </x:c>
      <x:c r="B1938" s="5" t="str">
        <x:v>D06-T01</x:v>
      </x:c>
      <x:c r="C1938" s="5" t="str">
        <x:v>5. Complete Company Financial Table (135 Facilities Analyzed)</x:v>
      </x:c>
      <x:c r="D1938" s="5" t="n">
        <x:v>268</x:v>
      </x:c>
      <x:c r="E1938" s="5" t="n">
        <x:v>7</x:v>
      </x:c>
      <x:c r="F1938" s="5" t="str">
        <x:v>Currency</x:v>
      </x:c>
      <x:c r="G1938" s="5" t="n">
        <x:v>1</x:v>
      </x:c>
      <x:c r="H1938" s="5" t="n">
        <x:v>1</x:v>
      </x:c>
      <x:c r="I1938" s="5" t="str">
        <x:v>SEK</x:v>
      </x:c>
      <x:c r="J1938" s="5" t="str">
        <x:v>SOURCE QUOTE; unvalidated / superseded assessments</x:v>
      </x:c>
      <x:c r="L1938" s="31" t="str">
        <x:v>D06, Markdown line 268; http://nas-1.tail55d152.ts.net:4100/static/MEDICAL_NORDICS_FINANCIALS_DOSSIER.html</x:v>
      </x:c>
    </x:row>
    <x:row r="1939" ht="42" customHeight="1">
      <x:c r="A1939" s="5" t="str">
        <x:v>D06</x:v>
      </x:c>
      <x:c r="B1939" s="5" t="str">
        <x:v>D06-T01</x:v>
      </x:c>
      <x:c r="C1939" s="5" t="str">
        <x:v>5. Complete Company Financial Table (135 Facilities Analyzed)</x:v>
      </x:c>
      <x:c r="D1939" s="5" t="n">
        <x:v>268</x:v>
      </x:c>
      <x:c r="E1939" s="5" t="n">
        <x:v>8</x:v>
      </x:c>
      <x:c r="F1939" s="5" t="str">
        <x:v>Fiscal Year</x:v>
      </x:c>
      <x:c r="G1939" s="5" t="n">
        <x:v>1</x:v>
      </x:c>
      <x:c r="H1939" s="5" t="n">
        <x:v>1</x:v>
      </x:c>
      <x:c r="I1939" s="5" t="str">
        <x:v>FY2023/24</x:v>
      </x:c>
      <x:c r="J1939" s="5" t="str">
        <x:v>SOURCE QUOTE; unvalidated / superseded assessments</x:v>
      </x:c>
      <x:c r="L1939" s="31" t="str">
        <x:v>D06, Markdown line 268; http://nas-1.tail55d152.ts.net:4100/static/MEDICAL_NORDICS_FINANCIALS_DOSSIER.html</x:v>
      </x:c>
    </x:row>
    <x:row r="1940" ht="42" customHeight="1">
      <x:c r="A1940" s="5" t="str">
        <x:v>D06</x:v>
      </x:c>
      <x:c r="B1940" s="5" t="str">
        <x:v>D06-T01</x:v>
      </x:c>
      <x:c r="C1940" s="5" t="str">
        <x:v>5. Complete Company Financial Table (135 Facilities Analyzed)</x:v>
      </x:c>
      <x:c r="D1940" s="5" t="n">
        <x:v>268</x:v>
      </x:c>
      <x:c r="E1940" s="5" t="n">
        <x:v>9</x:v>
      </x:c>
      <x:c r="F1940" s="5" t="str">
        <x:v>Status / Ownership / Strategic Service Alignment</x:v>
      </x:c>
      <x:c r="G1940" s="5" t="n">
        <x:v>1</x:v>
      </x:c>
      <x:c r="H1940" s="5" t="n">
        <x:v>1</x:v>
      </x:c>
      <x:c r="I1940" s="5" t="str">
        <x:v>Listed (Nasdaq: CINP); Package B (Phase III erosive esophagitis trial burn control)</x:v>
      </x:c>
      <x:c r="J1940" s="5" t="str">
        <x:v>SOURCE QUOTE; unvalidated / superseded assessments</x:v>
      </x:c>
      <x:c r="L1940" s="31" t="str">
        <x:v>D06, Markdown line 268; http://nas-1.tail55d152.ts.net:4100/static/MEDICAL_NORDICS_FINANCIALS_DOSSIER.html</x:v>
      </x:c>
    </x:row>
    <x:row r="1941" ht="42" customHeight="1">
      <x:c r="A1941" s="5" t="str">
        <x:v>D06</x:v>
      </x:c>
      <x:c r="B1941" s="5" t="str">
        <x:v>D06-T01</x:v>
      </x:c>
      <x:c r="C1941" s="5" t="str">
        <x:v>5. Complete Company Financial Table (135 Facilities Analyzed)</x:v>
      </x:c>
      <x:c r="D1941" s="5" t="n">
        <x:v>269</x:v>
      </x:c>
      <x:c r="E1941" s="5" t="n">
        <x:v>1</x:v>
      </x:c>
      <x:c r="F1941" s="5" t="str">
        <x:v>#</x:v>
      </x:c>
      <x:c r="G1941" s="5" t="n">
        <x:v>1</x:v>
      </x:c>
      <x:c r="H1941" s="5" t="n">
        <x:v>1</x:v>
      </x:c>
      <x:c r="I1941" s="5" t="str">
        <x:v>88</x:v>
      </x:c>
      <x:c r="J1941" s="5" t="str">
        <x:v>SOURCE QUOTE; unvalidated / superseded assessments</x:v>
      </x:c>
      <x:c r="L1941" s="31" t="str">
        <x:v>D06, Markdown line 269; http://nas-1.tail55d152.ts.net:4100/static/MEDICAL_NORDICS_FINANCIALS_DOSSIER.html</x:v>
      </x:c>
    </x:row>
    <x:row r="1942" ht="42" customHeight="1">
      <x:c r="A1942" s="5" t="str">
        <x:v>D06</x:v>
      </x:c>
      <x:c r="B1942" s="5" t="str">
        <x:v>D06-T01</x:v>
      </x:c>
      <x:c r="C1942" s="5" t="str">
        <x:v>5. Complete Company Financial Table (135 Facilities Analyzed)</x:v>
      </x:c>
      <x:c r="D1942" s="5" t="n">
        <x:v>269</x:v>
      </x:c>
      <x:c r="E1942" s="5" t="n">
        <x:v>2</x:v>
      </x:c>
      <x:c r="F1942" s="5" t="str">
        <x:v>Company</x:v>
      </x:c>
      <x:c r="G1942" s="5" t="n">
        <x:v>1</x:v>
      </x:c>
      <x:c r="H1942" s="5" t="n">
        <x:v>1</x:v>
      </x:c>
      <x:c r="I1942" s="5" t="str">
        <x:v>CubaseBio</x:v>
      </x:c>
      <x:c r="J1942" s="5" t="str">
        <x:v>SOURCE QUOTE; unvalidated / superseded assessments</x:v>
      </x:c>
      <x:c r="L1942" s="31" t="str">
        <x:v>D06, Markdown line 269; http://nas-1.tail55d152.ts.net:4100/static/MEDICAL_NORDICS_FINANCIALS_DOSSIER.html</x:v>
      </x:c>
    </x:row>
    <x:row r="1943" ht="42" customHeight="1">
      <x:c r="A1943" s="5" t="str">
        <x:v>D06</x:v>
      </x:c>
      <x:c r="B1943" s="5" t="str">
        <x:v>D06-T01</x:v>
      </x:c>
      <x:c r="C1943" s="5" t="str">
        <x:v>5. Complete Company Financial Table (135 Facilities Analyzed)</x:v>
      </x:c>
      <x:c r="D1943" s="5" t="n">
        <x:v>269</x:v>
      </x:c>
      <x:c r="E1943" s="5" t="n">
        <x:v>3</x:v>
      </x:c>
      <x:c r="F1943" s="5" t="str">
        <x:v>Location</x:v>
      </x:c>
      <x:c r="G1943" s="5" t="n">
        <x:v>1</x:v>
      </x:c>
      <x:c r="H1943" s="5" t="n">
        <x:v>1</x:v>
      </x:c>
      <x:c r="I1943" s="5" t="str">
        <x:v>Stockholm, Sweden</x:v>
      </x:c>
      <x:c r="J1943" s="5" t="str">
        <x:v>SOURCE QUOTE; unvalidated / superseded assessments</x:v>
      </x:c>
      <x:c r="L1943" s="31" t="str">
        <x:v>D06, Markdown line 269; http://nas-1.tail55d152.ts.net:4100/static/MEDICAL_NORDICS_FINANCIALS_DOSSIER.html</x:v>
      </x:c>
    </x:row>
    <x:row r="1944" ht="42" customHeight="1">
      <x:c r="A1944" s="5" t="str">
        <x:v>D06</x:v>
      </x:c>
      <x:c r="B1944" s="5" t="str">
        <x:v>D06-T01</x:v>
      </x:c>
      <x:c r="C1944" s="5" t="str">
        <x:v>5. Complete Company Financial Table (135 Facilities Analyzed)</x:v>
      </x:c>
      <x:c r="D1944" s="5" t="n">
        <x:v>269</x:v>
      </x:c>
      <x:c r="E1944" s="5" t="n">
        <x:v>4</x:v>
      </x:c>
      <x:c r="F1944" s="5" t="str">
        <x:v>Focus Area</x:v>
      </x:c>
      <x:c r="G1944" s="5" t="n">
        <x:v>1</x:v>
      </x:c>
      <x:c r="H1944" s="5" t="n">
        <x:v>1</x:v>
      </x:c>
      <x:c r="I1944" s="5" t="str">
        <x:v>Spatial Biology Assay Platforms</x:v>
      </x:c>
      <x:c r="J1944" s="5" t="str">
        <x:v>SOURCE QUOTE; unvalidated / superseded assessments</x:v>
      </x:c>
      <x:c r="L1944" s="31" t="str">
        <x:v>D06, Markdown line 269; http://nas-1.tail55d152.ts.net:4100/static/MEDICAL_NORDICS_FINANCIALS_DOSSIER.html</x:v>
      </x:c>
    </x:row>
    <x:row r="1945" ht="42" customHeight="1">
      <x:c r="A1945" s="5" t="str">
        <x:v>D06</x:v>
      </x:c>
      <x:c r="B1945" s="5" t="str">
        <x:v>D06-T01</x:v>
      </x:c>
      <x:c r="C1945" s="5" t="str">
        <x:v>5. Complete Company Financial Table (135 Facilities Analyzed)</x:v>
      </x:c>
      <x:c r="D1945" s="5" t="n">
        <x:v>269</x:v>
      </x:c>
      <x:c r="E1945" s="5" t="n">
        <x:v>5</x:v>
      </x:c>
      <x:c r="F1945" s="5" t="str">
        <x:v>Revenue / Net Sales</x:v>
      </x:c>
      <x:c r="G1945" s="5" t="n">
        <x:v>1</x:v>
      </x:c>
      <x:c r="H1945" s="5" t="n">
        <x:v>1</x:v>
      </x:c>
      <x:c r="I1945" s="5" t="str">
        <x:v>EUR 0.2M est.</x:v>
      </x:c>
      <x:c r="J1945" s="5" t="str">
        <x:v>SOURCE QUOTE; unvalidated / superseded assessments</x:v>
      </x:c>
      <x:c r="L1945" s="31" t="str">
        <x:v>D06, Markdown line 269; http://nas-1.tail55d152.ts.net:4100/static/MEDICAL_NORDICS_FINANCIALS_DOSSIER.html</x:v>
      </x:c>
    </x:row>
    <x:row r="1946" ht="42" customHeight="1">
      <x:c r="A1946" s="5" t="str">
        <x:v>D06</x:v>
      </x:c>
      <x:c r="B1946" s="5" t="str">
        <x:v>D06-T01</x:v>
      </x:c>
      <x:c r="C1946" s="5" t="str">
        <x:v>5. Complete Company Financial Table (135 Facilities Analyzed)</x:v>
      </x:c>
      <x:c r="D1946" s="5" t="n">
        <x:v>269</x:v>
      </x:c>
      <x:c r="E1946" s="5" t="n">
        <x:v>6</x:v>
      </x:c>
      <x:c r="F1946" s="5" t="str">
        <x:v>R&amp;D Spend</x:v>
      </x:c>
      <x:c r="G1946" s="5" t="n">
        <x:v>1</x:v>
      </x:c>
      <x:c r="H1946" s="5" t="n">
        <x:v>1</x:v>
      </x:c>
      <x:c r="I1946" s="5" t="str">
        <x:v>EUR 2.8M (~SEK 32M)</x:v>
      </x:c>
      <x:c r="J1946" s="5" t="str">
        <x:v>SOURCE QUOTE; unvalidated / superseded assessments</x:v>
      </x:c>
      <x:c r="L1946" s="31" t="str">
        <x:v>D06, Markdown line 269; http://nas-1.tail55d152.ts.net:4100/static/MEDICAL_NORDICS_FINANCIALS_DOSSIER.html</x:v>
      </x:c>
    </x:row>
    <x:row r="1947" ht="42" customHeight="1">
      <x:c r="A1947" s="5" t="str">
        <x:v>D06</x:v>
      </x:c>
      <x:c r="B1947" s="5" t="str">
        <x:v>D06-T01</x:v>
      </x:c>
      <x:c r="C1947" s="5" t="str">
        <x:v>5. Complete Company Financial Table (135 Facilities Analyzed)</x:v>
      </x:c>
      <x:c r="D1947" s="5" t="n">
        <x:v>269</x:v>
      </x:c>
      <x:c r="E1947" s="5" t="n">
        <x:v>7</x:v>
      </x:c>
      <x:c r="F1947" s="5" t="str">
        <x:v>Currency</x:v>
      </x:c>
      <x:c r="G1947" s="5" t="n">
        <x:v>1</x:v>
      </x:c>
      <x:c r="H1947" s="5" t="n">
        <x:v>1</x:v>
      </x:c>
      <x:c r="I1947" s="5" t="str">
        <x:v>EUR</x:v>
      </x:c>
      <x:c r="J1947" s="5" t="str">
        <x:v>SOURCE QUOTE; unvalidated / superseded assessments</x:v>
      </x:c>
      <x:c r="L1947" s="31" t="str">
        <x:v>D06, Markdown line 269; http://nas-1.tail55d152.ts.net:4100/static/MEDICAL_NORDICS_FINANCIALS_DOSSIER.html</x:v>
      </x:c>
    </x:row>
    <x:row r="1948" ht="42" customHeight="1">
      <x:c r="A1948" s="5" t="str">
        <x:v>D06</x:v>
      </x:c>
      <x:c r="B1948" s="5" t="str">
        <x:v>D06-T01</x:v>
      </x:c>
      <x:c r="C1948" s="5" t="str">
        <x:v>5. Complete Company Financial Table (135 Facilities Analyzed)</x:v>
      </x:c>
      <x:c r="D1948" s="5" t="n">
        <x:v>269</x:v>
      </x:c>
      <x:c r="E1948" s="5" t="n">
        <x:v>8</x:v>
      </x:c>
      <x:c r="F1948" s="5" t="str">
        <x:v>Fiscal Year</x:v>
      </x:c>
      <x:c r="G1948" s="5" t="n">
        <x:v>1</x:v>
      </x:c>
      <x:c r="H1948" s="5" t="n">
        <x:v>1</x:v>
      </x:c>
      <x:c r="I1948" s="5" t="str">
        <x:v>FY2024</x:v>
      </x:c>
      <x:c r="J1948" s="5" t="str">
        <x:v>SOURCE QUOTE; unvalidated / superseded assessments</x:v>
      </x:c>
      <x:c r="L1948" s="31" t="str">
        <x:v>D06, Markdown line 269; http://nas-1.tail55d152.ts.net:4100/static/MEDICAL_NORDICS_FINANCIALS_DOSSIER.html</x:v>
      </x:c>
    </x:row>
    <x:row r="1949" ht="42" customHeight="1">
      <x:c r="A1949" s="5" t="str">
        <x:v>D06</x:v>
      </x:c>
      <x:c r="B1949" s="5" t="str">
        <x:v>D06-T01</x:v>
      </x:c>
      <x:c r="C1949" s="5" t="str">
        <x:v>5. Complete Company Financial Table (135 Facilities Analyzed)</x:v>
      </x:c>
      <x:c r="D1949" s="5" t="n">
        <x:v>269</x:v>
      </x:c>
      <x:c r="E1949" s="5" t="n">
        <x:v>9</x:v>
      </x:c>
      <x:c r="F1949" s="5" t="str">
        <x:v>Status / Ownership / Strategic Service Alignment</x:v>
      </x:c>
      <x:c r="G1949" s="5" t="n">
        <x:v>1</x:v>
      </x:c>
      <x:c r="H1949" s="5" t="n">
        <x:v>1</x:v>
      </x:c>
      <x:c r="I1949" s="5" t="str">
        <x:v>Private (€3.9M funding); Package E (Cloud spatial genomics data processing)</x:v>
      </x:c>
      <x:c r="J1949" s="5" t="str">
        <x:v>SOURCE QUOTE; unvalidated / superseded assessments</x:v>
      </x:c>
      <x:c r="L1949" s="31" t="str">
        <x:v>D06, Markdown line 269; http://nas-1.tail55d152.ts.net:4100/static/MEDICAL_NORDICS_FINANCIALS_DOSSIER.html</x:v>
      </x:c>
    </x:row>
    <x:row r="1950" ht="42" customHeight="1">
      <x:c r="A1950" s="5" t="str">
        <x:v>D06</x:v>
      </x:c>
      <x:c r="B1950" s="5" t="str">
        <x:v>D06-T01</x:v>
      </x:c>
      <x:c r="C1950" s="5" t="str">
        <x:v>5. Complete Company Financial Table (135 Facilities Analyzed)</x:v>
      </x:c>
      <x:c r="D1950" s="5" t="n">
        <x:v>270</x:v>
      </x:c>
      <x:c r="E1950" s="5" t="n">
        <x:v>1</x:v>
      </x:c>
      <x:c r="F1950" s="5" t="str">
        <x:v>#</x:v>
      </x:c>
      <x:c r="G1950" s="5" t="n">
        <x:v>1</x:v>
      </x:c>
      <x:c r="H1950" s="5" t="n">
        <x:v>1</x:v>
      </x:c>
      <x:c r="I1950" s="5" t="str">
        <x:v>89</x:v>
      </x:c>
      <x:c r="J1950" s="5" t="str">
        <x:v>SOURCE QUOTE; unvalidated / superseded assessments</x:v>
      </x:c>
      <x:c r="L1950" s="31" t="str">
        <x:v>D06, Markdown line 270; http://nas-1.tail55d152.ts.net:4100/static/MEDICAL_NORDICS_FINANCIALS_DOSSIER.html</x:v>
      </x:c>
    </x:row>
    <x:row r="1951" ht="42" customHeight="1">
      <x:c r="A1951" s="5" t="str">
        <x:v>D06</x:v>
      </x:c>
      <x:c r="B1951" s="5" t="str">
        <x:v>D06-T01</x:v>
      </x:c>
      <x:c r="C1951" s="5" t="str">
        <x:v>5. Complete Company Financial Table (135 Facilities Analyzed)</x:v>
      </x:c>
      <x:c r="D1951" s="5" t="n">
        <x:v>270</x:v>
      </x:c>
      <x:c r="E1951" s="5" t="n">
        <x:v>2</x:v>
      </x:c>
      <x:c r="F1951" s="5" t="str">
        <x:v>Company</x:v>
      </x:c>
      <x:c r="G1951" s="5" t="n">
        <x:v>1</x:v>
      </x:c>
      <x:c r="H1951" s="5" t="n">
        <x:v>1</x:v>
      </x:c>
      <x:c r="I1951" s="5" t="str">
        <x:v>Curovir</x:v>
      </x:c>
      <x:c r="J1951" s="5" t="str">
        <x:v>SOURCE QUOTE; unvalidated / superseded assessments</x:v>
      </x:c>
      <x:c r="L1951" s="31" t="str">
        <x:v>D06, Markdown line 270; http://nas-1.tail55d152.ts.net:4100/static/MEDICAL_NORDICS_FINANCIALS_DOSSIER.html</x:v>
      </x:c>
    </x:row>
    <x:row r="1952" ht="42" customHeight="1">
      <x:c r="A1952" s="5" t="str">
        <x:v>D06</x:v>
      </x:c>
      <x:c r="B1952" s="5" t="str">
        <x:v>D06-T01</x:v>
      </x:c>
      <x:c r="C1952" s="5" t="str">
        <x:v>5. Complete Company Financial Table (135 Facilities Analyzed)</x:v>
      </x:c>
      <x:c r="D1952" s="5" t="n">
        <x:v>270</x:v>
      </x:c>
      <x:c r="E1952" s="5" t="n">
        <x:v>3</x:v>
      </x:c>
      <x:c r="F1952" s="5" t="str">
        <x:v>Location</x:v>
      </x:c>
      <x:c r="G1952" s="5" t="n">
        <x:v>1</x:v>
      </x:c>
      <x:c r="H1952" s="5" t="n">
        <x:v>1</x:v>
      </x:c>
      <x:c r="I1952" s="5" t="str">
        <x:v>Stockholm, Sweden</x:v>
      </x:c>
      <x:c r="J1952" s="5" t="str">
        <x:v>SOURCE QUOTE; unvalidated / superseded assessments</x:v>
      </x:c>
      <x:c r="L1952" s="31" t="str">
        <x:v>D06, Markdown line 270; http://nas-1.tail55d152.ts.net:4100/static/MEDICAL_NORDICS_FINANCIALS_DOSSIER.html</x:v>
      </x:c>
    </x:row>
    <x:row r="1953" ht="42" customHeight="1">
      <x:c r="A1953" s="5" t="str">
        <x:v>D06</x:v>
      </x:c>
      <x:c r="B1953" s="5" t="str">
        <x:v>D06-T01</x:v>
      </x:c>
      <x:c r="C1953" s="5" t="str">
        <x:v>5. Complete Company Financial Table (135 Facilities Analyzed)</x:v>
      </x:c>
      <x:c r="D1953" s="5" t="n">
        <x:v>270</x:v>
      </x:c>
      <x:c r="E1953" s="5" t="n">
        <x:v>4</x:v>
      </x:c>
      <x:c r="F1953" s="5" t="str">
        <x:v>Focus Area</x:v>
      </x:c>
      <x:c r="G1953" s="5" t="n">
        <x:v>1</x:v>
      </x:c>
      <x:c r="H1953" s="5" t="n">
        <x:v>1</x:v>
      </x:c>
      <x:c r="I1953" s="5" t="str">
        <x:v>Antiviral Enterovirus Therapeutics</x:v>
      </x:c>
      <x:c r="J1953" s="5" t="str">
        <x:v>SOURCE QUOTE; unvalidated / superseded assessments</x:v>
      </x:c>
      <x:c r="L1953" s="31" t="str">
        <x:v>D06, Markdown line 270; http://nas-1.tail55d152.ts.net:4100/static/MEDICAL_NORDICS_FINANCIALS_DOSSIER.html</x:v>
      </x:c>
    </x:row>
    <x:row r="1954" ht="42" customHeight="1">
      <x:c r="A1954" s="5" t="str">
        <x:v>D06</x:v>
      </x:c>
      <x:c r="B1954" s="5" t="str">
        <x:v>D06-T01</x:v>
      </x:c>
      <x:c r="C1954" s="5" t="str">
        <x:v>5. Complete Company Financial Table (135 Facilities Analyzed)</x:v>
      </x:c>
      <x:c r="D1954" s="5" t="n">
        <x:v>270</x:v>
      </x:c>
      <x:c r="E1954" s="5" t="n">
        <x:v>5</x:v>
      </x:c>
      <x:c r="F1954" s="5" t="str">
        <x:v>Revenue / Net Sales</x:v>
      </x:c>
      <x:c r="G1954" s="5" t="n">
        <x:v>1</x:v>
      </x:c>
      <x:c r="H1954" s="5" t="n">
        <x:v>1</x:v>
      </x:c>
      <x:c r="I1954" s="5" t="str">
        <x:v>SEK 0M (Pre-clinical)</x:v>
      </x:c>
      <x:c r="J1954" s="5" t="str">
        <x:v>SOURCE QUOTE; unvalidated / superseded assessments</x:v>
      </x:c>
      <x:c r="L1954" s="31" t="str">
        <x:v>D06, Markdown line 270; http://nas-1.tail55d152.ts.net:4100/static/MEDICAL_NORDICS_FINANCIALS_DOSSIER.html</x:v>
      </x:c>
    </x:row>
    <x:row r="1955" ht="42" customHeight="1">
      <x:c r="A1955" s="5" t="str">
        <x:v>D06</x:v>
      </x:c>
      <x:c r="B1955" s="5" t="str">
        <x:v>D06-T01</x:v>
      </x:c>
      <x:c r="C1955" s="5" t="str">
        <x:v>5. Complete Company Financial Table (135 Facilities Analyzed)</x:v>
      </x:c>
      <x:c r="D1955" s="5" t="n">
        <x:v>270</x:v>
      </x:c>
      <x:c r="E1955" s="5" t="n">
        <x:v>6</x:v>
      </x:c>
      <x:c r="F1955" s="5" t="str">
        <x:v>R&amp;D Spend</x:v>
      </x:c>
      <x:c r="G1955" s="5" t="n">
        <x:v>1</x:v>
      </x:c>
      <x:c r="H1955" s="5" t="n">
        <x:v>1</x:v>
      </x:c>
      <x:c r="I1955" s="5" t="str">
        <x:v>SEK 6.5M</x:v>
      </x:c>
      <x:c r="J1955" s="5" t="str">
        <x:v>SOURCE QUOTE; unvalidated / superseded assessments</x:v>
      </x:c>
      <x:c r="L1955" s="31" t="str">
        <x:v>D06, Markdown line 270; http://nas-1.tail55d152.ts.net:4100/static/MEDICAL_NORDICS_FINANCIALS_DOSSIER.html</x:v>
      </x:c>
    </x:row>
    <x:row r="1956" ht="42" customHeight="1">
      <x:c r="A1956" s="5" t="str">
        <x:v>D06</x:v>
      </x:c>
      <x:c r="B1956" s="5" t="str">
        <x:v>D06-T01</x:v>
      </x:c>
      <x:c r="C1956" s="5" t="str">
        <x:v>5. Complete Company Financial Table (135 Facilities Analyzed)</x:v>
      </x:c>
      <x:c r="D1956" s="5" t="n">
        <x:v>270</x:v>
      </x:c>
      <x:c r="E1956" s="5" t="n">
        <x:v>7</x:v>
      </x:c>
      <x:c r="F1956" s="5" t="str">
        <x:v>Currency</x:v>
      </x:c>
      <x:c r="G1956" s="5" t="n">
        <x:v>1</x:v>
      </x:c>
      <x:c r="H1956" s="5" t="n">
        <x:v>1</x:v>
      </x:c>
      <x:c r="I1956" s="5" t="str">
        <x:v>SEK</x:v>
      </x:c>
      <x:c r="J1956" s="5" t="str">
        <x:v>SOURCE QUOTE; unvalidated / superseded assessments</x:v>
      </x:c>
      <x:c r="L1956" s="31" t="str">
        <x:v>D06, Markdown line 270; http://nas-1.tail55d152.ts.net:4100/static/MEDICAL_NORDICS_FINANCIALS_DOSSIER.html</x:v>
      </x:c>
    </x:row>
    <x:row r="1957" ht="42" customHeight="1">
      <x:c r="A1957" s="5" t="str">
        <x:v>D06</x:v>
      </x:c>
      <x:c r="B1957" s="5" t="str">
        <x:v>D06-T01</x:v>
      </x:c>
      <x:c r="C1957" s="5" t="str">
        <x:v>5. Complete Company Financial Table (135 Facilities Analyzed)</x:v>
      </x:c>
      <x:c r="D1957" s="5" t="n">
        <x:v>270</x:v>
      </x:c>
      <x:c r="E1957" s="5" t="n">
        <x:v>8</x:v>
      </x:c>
      <x:c r="F1957" s="5" t="str">
        <x:v>Fiscal Year</x:v>
      </x:c>
      <x:c r="G1957" s="5" t="n">
        <x:v>1</x:v>
      </x:c>
      <x:c r="H1957" s="5" t="n">
        <x:v>1</x:v>
      </x:c>
      <x:c r="I1957" s="5" t="str">
        <x:v>FY2023/24</x:v>
      </x:c>
      <x:c r="J1957" s="5" t="str">
        <x:v>SOURCE QUOTE; unvalidated / superseded assessments</x:v>
      </x:c>
      <x:c r="L1957" s="31" t="str">
        <x:v>D06, Markdown line 270; http://nas-1.tail55d152.ts.net:4100/static/MEDICAL_NORDICS_FINANCIALS_DOSSIER.html</x:v>
      </x:c>
    </x:row>
    <x:row r="1958" ht="42" customHeight="1">
      <x:c r="A1958" s="5" t="str">
        <x:v>D06</x:v>
      </x:c>
      <x:c r="B1958" s="5" t="str">
        <x:v>D06-T01</x:v>
      </x:c>
      <x:c r="C1958" s="5" t="str">
        <x:v>5. Complete Company Financial Table (135 Facilities Analyzed)</x:v>
      </x:c>
      <x:c r="D1958" s="5" t="n">
        <x:v>270</x:v>
      </x:c>
      <x:c r="E1958" s="5" t="n">
        <x:v>9</x:v>
      </x:c>
      <x:c r="F1958" s="5" t="str">
        <x:v>Status / Ownership / Strategic Service Alignment</x:v>
      </x:c>
      <x:c r="G1958" s="5" t="n">
        <x:v>1</x:v>
      </x:c>
      <x:c r="H1958" s="5" t="n">
        <x:v>1</x:v>
      </x:c>
      <x:c r="I1958" s="5" t="str">
        <x:v>Karolinska spinout; Package B (Preclinical pharmacology milestone tracking)</x:v>
      </x:c>
      <x:c r="J1958" s="5" t="str">
        <x:v>SOURCE QUOTE; unvalidated / superseded assessments</x:v>
      </x:c>
      <x:c r="L1958" s="31" t="str">
        <x:v>D06, Markdown line 270; http://nas-1.tail55d152.ts.net:4100/static/MEDICAL_NORDICS_FINANCIALS_DOSSIER.html</x:v>
      </x:c>
    </x:row>
    <x:row r="1959" ht="42" customHeight="1">
      <x:c r="A1959" s="5" t="str">
        <x:v>D06</x:v>
      </x:c>
      <x:c r="B1959" s="5" t="str">
        <x:v>D06-T01</x:v>
      </x:c>
      <x:c r="C1959" s="5" t="str">
        <x:v>5. Complete Company Financial Table (135 Facilities Analyzed)</x:v>
      </x:c>
      <x:c r="D1959" s="5" t="n">
        <x:v>271</x:v>
      </x:c>
      <x:c r="E1959" s="5" t="n">
        <x:v>1</x:v>
      </x:c>
      <x:c r="F1959" s="5" t="str">
        <x:v>#</x:v>
      </x:c>
      <x:c r="G1959" s="5" t="n">
        <x:v>1</x:v>
      </x:c>
      <x:c r="H1959" s="5" t="n">
        <x:v>1</x:v>
      </x:c>
      <x:c r="I1959" s="5" t="str">
        <x:v>90</x:v>
      </x:c>
      <x:c r="J1959" s="5" t="str">
        <x:v>SOURCE QUOTE; unvalidated / superseded assessments</x:v>
      </x:c>
      <x:c r="L1959" s="31" t="str">
        <x:v>D06, Markdown line 271; http://nas-1.tail55d152.ts.net:4100/static/MEDICAL_NORDICS_FINANCIALS_DOSSIER.html</x:v>
      </x:c>
    </x:row>
    <x:row r="1960" ht="42" customHeight="1">
      <x:c r="A1960" s="5" t="str">
        <x:v>D06</x:v>
      </x:c>
      <x:c r="B1960" s="5" t="str">
        <x:v>D06-T01</x:v>
      </x:c>
      <x:c r="C1960" s="5" t="str">
        <x:v>5. Complete Company Financial Table (135 Facilities Analyzed)</x:v>
      </x:c>
      <x:c r="D1960" s="5" t="n">
        <x:v>271</x:v>
      </x:c>
      <x:c r="E1960" s="5" t="n">
        <x:v>2</x:v>
      </x:c>
      <x:c r="F1960" s="5" t="str">
        <x:v>Company</x:v>
      </x:c>
      <x:c r="G1960" s="5" t="n">
        <x:v>1</x:v>
      </x:c>
      <x:c r="H1960" s="5" t="n">
        <x:v>1</x:v>
      </x:c>
      <x:c r="I1960" s="5" t="str">
        <x:v>Egetis Therapeutics</x:v>
      </x:c>
      <x:c r="J1960" s="5" t="str">
        <x:v>SOURCE QUOTE; unvalidated / superseded assessments</x:v>
      </x:c>
      <x:c r="L1960" s="31" t="str">
        <x:v>D06, Markdown line 271; http://nas-1.tail55d152.ts.net:4100/static/MEDICAL_NORDICS_FINANCIALS_DOSSIER.html</x:v>
      </x:c>
    </x:row>
    <x:row r="1961" ht="42" customHeight="1">
      <x:c r="A1961" s="5" t="str">
        <x:v>D06</x:v>
      </x:c>
      <x:c r="B1961" s="5" t="str">
        <x:v>D06-T01</x:v>
      </x:c>
      <x:c r="C1961" s="5" t="str">
        <x:v>5. Complete Company Financial Table (135 Facilities Analyzed)</x:v>
      </x:c>
      <x:c r="D1961" s="5" t="n">
        <x:v>271</x:v>
      </x:c>
      <x:c r="E1961" s="5" t="n">
        <x:v>3</x:v>
      </x:c>
      <x:c r="F1961" s="5" t="str">
        <x:v>Location</x:v>
      </x:c>
      <x:c r="G1961" s="5" t="n">
        <x:v>1</x:v>
      </x:c>
      <x:c r="H1961" s="5" t="n">
        <x:v>1</x:v>
      </x:c>
      <x:c r="I1961" s="5" t="str">
        <x:v>Stockholm, Sweden</x:v>
      </x:c>
      <x:c r="J1961" s="5" t="str">
        <x:v>SOURCE QUOTE; unvalidated / superseded assessments</x:v>
      </x:c>
      <x:c r="L1961" s="31" t="str">
        <x:v>D06, Markdown line 271; http://nas-1.tail55d152.ts.net:4100/static/MEDICAL_NORDICS_FINANCIALS_DOSSIER.html</x:v>
      </x:c>
    </x:row>
    <x:row r="1962" ht="42" customHeight="1">
      <x:c r="A1962" s="5" t="str">
        <x:v>D06</x:v>
      </x:c>
      <x:c r="B1962" s="5" t="str">
        <x:v>D06-T01</x:v>
      </x:c>
      <x:c r="C1962" s="5" t="str">
        <x:v>5. Complete Company Financial Table (135 Facilities Analyzed)</x:v>
      </x:c>
      <x:c r="D1962" s="5" t="n">
        <x:v>271</x:v>
      </x:c>
      <x:c r="E1962" s="5" t="n">
        <x:v>4</x:v>
      </x:c>
      <x:c r="F1962" s="5" t="str">
        <x:v>Focus Area</x:v>
      </x:c>
      <x:c r="G1962" s="5" t="n">
        <x:v>1</x:v>
      </x:c>
      <x:c r="H1962" s="5" t="n">
        <x:v>1</x:v>
      </x:c>
      <x:c r="I1962" s="5" t="str">
        <x:v>Emcitate for Rare MCT8 Deficiency</x:v>
      </x:c>
      <x:c r="J1962" s="5" t="str">
        <x:v>SOURCE QUOTE; unvalidated / superseded assessments</x:v>
      </x:c>
      <x:c r="L1962" s="31" t="str">
        <x:v>D06, Markdown line 271; http://nas-1.tail55d152.ts.net:4100/static/MEDICAL_NORDICS_FINANCIALS_DOSSIER.html</x:v>
      </x:c>
    </x:row>
    <x:row r="1963" ht="42" customHeight="1">
      <x:c r="A1963" s="5" t="str">
        <x:v>D06</x:v>
      </x:c>
      <x:c r="B1963" s="5" t="str">
        <x:v>D06-T01</x:v>
      </x:c>
      <x:c r="C1963" s="5" t="str">
        <x:v>5. Complete Company Financial Table (135 Facilities Analyzed)</x:v>
      </x:c>
      <x:c r="D1963" s="5" t="n">
        <x:v>271</x:v>
      </x:c>
      <x:c r="E1963" s="5" t="n">
        <x:v>5</x:v>
      </x:c>
      <x:c r="F1963" s="5" t="str">
        <x:v>Revenue / Net Sales</x:v>
      </x:c>
      <x:c r="G1963" s="5" t="n">
        <x:v>1</x:v>
      </x:c>
      <x:c r="H1963" s="5" t="n">
        <x:v>1</x:v>
      </x:c>
      <x:c r="I1963" s="5" t="str">
        <x:v>SEK 46.1M</x:v>
      </x:c>
      <x:c r="J1963" s="5" t="str">
        <x:v>SOURCE QUOTE; unvalidated / superseded assessments</x:v>
      </x:c>
      <x:c r="L1963" s="31" t="str">
        <x:v>D06, Markdown line 271; http://nas-1.tail55d152.ts.net:4100/static/MEDICAL_NORDICS_FINANCIALS_DOSSIER.html</x:v>
      </x:c>
    </x:row>
    <x:row r="1964" ht="42" customHeight="1">
      <x:c r="A1964" s="5" t="str">
        <x:v>D06</x:v>
      </x:c>
      <x:c r="B1964" s="5" t="str">
        <x:v>D06-T01</x:v>
      </x:c>
      <x:c r="C1964" s="5" t="str">
        <x:v>5. Complete Company Financial Table (135 Facilities Analyzed)</x:v>
      </x:c>
      <x:c r="D1964" s="5" t="n">
        <x:v>271</x:v>
      </x:c>
      <x:c r="E1964" s="5" t="n">
        <x:v>6</x:v>
      </x:c>
      <x:c r="F1964" s="5" t="str">
        <x:v>R&amp;D Spend</x:v>
      </x:c>
      <x:c r="G1964" s="5" t="n">
        <x:v>1</x:v>
      </x:c>
      <x:c r="H1964" s="5" t="n">
        <x:v>1</x:v>
      </x:c>
      <x:c r="I1964" s="5" t="str">
        <x:v>SEK 295.4M</x:v>
      </x:c>
      <x:c r="J1964" s="5" t="str">
        <x:v>SOURCE QUOTE; unvalidated / superseded assessments</x:v>
      </x:c>
      <x:c r="L1964" s="31" t="str">
        <x:v>D06, Markdown line 271; http://nas-1.tail55d152.ts.net:4100/static/MEDICAL_NORDICS_FINANCIALS_DOSSIER.html</x:v>
      </x:c>
    </x:row>
    <x:row r="1965" ht="42" customHeight="1">
      <x:c r="A1965" s="5" t="str">
        <x:v>D06</x:v>
      </x:c>
      <x:c r="B1965" s="5" t="str">
        <x:v>D06-T01</x:v>
      </x:c>
      <x:c r="C1965" s="5" t="str">
        <x:v>5. Complete Company Financial Table (135 Facilities Analyzed)</x:v>
      </x:c>
      <x:c r="D1965" s="5" t="n">
        <x:v>271</x:v>
      </x:c>
      <x:c r="E1965" s="5" t="n">
        <x:v>7</x:v>
      </x:c>
      <x:c r="F1965" s="5" t="str">
        <x:v>Currency</x:v>
      </x:c>
      <x:c r="G1965" s="5" t="n">
        <x:v>1</x:v>
      </x:c>
      <x:c r="H1965" s="5" t="n">
        <x:v>1</x:v>
      </x:c>
      <x:c r="I1965" s="5" t="str">
        <x:v>SEK</x:v>
      </x:c>
      <x:c r="J1965" s="5" t="str">
        <x:v>SOURCE QUOTE; unvalidated / superseded assessments</x:v>
      </x:c>
      <x:c r="L1965" s="31" t="str">
        <x:v>D06, Markdown line 271; http://nas-1.tail55d152.ts.net:4100/static/MEDICAL_NORDICS_FINANCIALS_DOSSIER.html</x:v>
      </x:c>
    </x:row>
    <x:row r="1966" ht="42" customHeight="1">
      <x:c r="A1966" s="5" t="str">
        <x:v>D06</x:v>
      </x:c>
      <x:c r="B1966" s="5" t="str">
        <x:v>D06-T01</x:v>
      </x:c>
      <x:c r="C1966" s="5" t="str">
        <x:v>5. Complete Company Financial Table (135 Facilities Analyzed)</x:v>
      </x:c>
      <x:c r="D1966" s="5" t="n">
        <x:v>271</x:v>
      </x:c>
      <x:c r="E1966" s="5" t="n">
        <x:v>8</x:v>
      </x:c>
      <x:c r="F1966" s="5" t="str">
        <x:v>Fiscal Year</x:v>
      </x:c>
      <x:c r="G1966" s="5" t="n">
        <x:v>1</x:v>
      </x:c>
      <x:c r="H1966" s="5" t="n">
        <x:v>1</x:v>
      </x:c>
      <x:c r="I1966" s="5" t="str">
        <x:v>FY2024</x:v>
      </x:c>
      <x:c r="J1966" s="5" t="str">
        <x:v>SOURCE QUOTE; unvalidated / superseded assessments</x:v>
      </x:c>
      <x:c r="L1966" s="31" t="str">
        <x:v>D06, Markdown line 271; http://nas-1.tail55d152.ts.net:4100/static/MEDICAL_NORDICS_FINANCIALS_DOSSIER.html</x:v>
      </x:c>
    </x:row>
    <x:row r="1967" ht="42" customHeight="1">
      <x:c r="A1967" s="5" t="str">
        <x:v>D06</x:v>
      </x:c>
      <x:c r="B1967" s="5" t="str">
        <x:v>D06-T01</x:v>
      </x:c>
      <x:c r="C1967" s="5" t="str">
        <x:v>5. Complete Company Financial Table (135 Facilities Analyzed)</x:v>
      </x:c>
      <x:c r="D1967" s="5" t="n">
        <x:v>271</x:v>
      </x:c>
      <x:c r="E1967" s="5" t="n">
        <x:v>9</x:v>
      </x:c>
      <x:c r="F1967" s="5" t="str">
        <x:v>Status / Ownership / Strategic Service Alignment</x:v>
      </x:c>
      <x:c r="G1967" s="5" t="n">
        <x:v>1</x:v>
      </x:c>
      <x:c r="H1967" s="5" t="n">
        <x:v>1</x:v>
      </x:c>
      <x:c r="I1967" s="5" t="str">
        <x:v>Listed (Nasdaq: EGTX); Package B &amp; C (Named Patient Use / Early Access S&amp;OP portal)</x:v>
      </x:c>
      <x:c r="J1967" s="5" t="str">
        <x:v>SOURCE QUOTE; unvalidated / superseded assessments</x:v>
      </x:c>
      <x:c r="L1967" s="31" t="str">
        <x:v>D06, Markdown line 271; http://nas-1.tail55d152.ts.net:4100/static/MEDICAL_NORDICS_FINANCIALS_DOSSIER.html</x:v>
      </x:c>
    </x:row>
    <x:row r="1968" ht="42" customHeight="1">
      <x:c r="A1968" s="5" t="str">
        <x:v>D06</x:v>
      </x:c>
      <x:c r="B1968" s="5" t="str">
        <x:v>D06-T01</x:v>
      </x:c>
      <x:c r="C1968" s="5" t="str">
        <x:v>5. Complete Company Financial Table (135 Facilities Analyzed)</x:v>
      </x:c>
      <x:c r="D1968" s="5" t="n">
        <x:v>272</x:v>
      </x:c>
      <x:c r="E1968" s="5" t="n">
        <x:v>1</x:v>
      </x:c>
      <x:c r="F1968" s="5" t="str">
        <x:v>#</x:v>
      </x:c>
      <x:c r="G1968" s="5" t="n">
        <x:v>1</x:v>
      </x:c>
      <x:c r="H1968" s="5" t="n">
        <x:v>1</x:v>
      </x:c>
      <x:c r="I1968" s="5" t="str">
        <x:v>91</x:v>
      </x:c>
      <x:c r="J1968" s="5" t="str">
        <x:v>SOURCE QUOTE; unvalidated / superseded assessments</x:v>
      </x:c>
      <x:c r="L1968" s="31" t="str">
        <x:v>D06, Markdown line 272; http://nas-1.tail55d152.ts.net:4100/static/MEDICAL_NORDICS_FINANCIALS_DOSSIER.html</x:v>
      </x:c>
    </x:row>
    <x:row r="1969" ht="42" customHeight="1">
      <x:c r="A1969" s="5" t="str">
        <x:v>D06</x:v>
      </x:c>
      <x:c r="B1969" s="5" t="str">
        <x:v>D06-T01</x:v>
      </x:c>
      <x:c r="C1969" s="5" t="str">
        <x:v>5. Complete Company Financial Table (135 Facilities Analyzed)</x:v>
      </x:c>
      <x:c r="D1969" s="5" t="n">
        <x:v>272</x:v>
      </x:c>
      <x:c r="E1969" s="5" t="n">
        <x:v>2</x:v>
      </x:c>
      <x:c r="F1969" s="5" t="str">
        <x:v>Company</x:v>
      </x:c>
      <x:c r="G1969" s="5" t="n">
        <x:v>1</x:v>
      </x:c>
      <x:c r="H1969" s="5" t="n">
        <x:v>1</x:v>
      </x:c>
      <x:c r="I1969" s="5" t="str">
        <x:v>Elekta</x:v>
      </x:c>
      <x:c r="J1969" s="5" t="str">
        <x:v>SOURCE QUOTE; unvalidated / superseded assessments</x:v>
      </x:c>
      <x:c r="L1969" s="31" t="str">
        <x:v>D06, Markdown line 272; http://nas-1.tail55d152.ts.net:4100/static/MEDICAL_NORDICS_FINANCIALS_DOSSIER.html</x:v>
      </x:c>
    </x:row>
    <x:row r="1970" ht="42" customHeight="1">
      <x:c r="A1970" s="5" t="str">
        <x:v>D06</x:v>
      </x:c>
      <x:c r="B1970" s="5" t="str">
        <x:v>D06-T01</x:v>
      </x:c>
      <x:c r="C1970" s="5" t="str">
        <x:v>5. Complete Company Financial Table (135 Facilities Analyzed)</x:v>
      </x:c>
      <x:c r="D1970" s="5" t="n">
        <x:v>272</x:v>
      </x:c>
      <x:c r="E1970" s="5" t="n">
        <x:v>3</x:v>
      </x:c>
      <x:c r="F1970" s="5" t="str">
        <x:v>Location</x:v>
      </x:c>
      <x:c r="G1970" s="5" t="n">
        <x:v>1</x:v>
      </x:c>
      <x:c r="H1970" s="5" t="n">
        <x:v>1</x:v>
      </x:c>
      <x:c r="I1970" s="5" t="str">
        <x:v>Stockholm, Sweden</x:v>
      </x:c>
      <x:c r="J1970" s="5" t="str">
        <x:v>SOURCE QUOTE; unvalidated / superseded assessments</x:v>
      </x:c>
      <x:c r="L1970" s="31" t="str">
        <x:v>D06, Markdown line 272; http://nas-1.tail55d152.ts.net:4100/static/MEDICAL_NORDICS_FINANCIALS_DOSSIER.html</x:v>
      </x:c>
    </x:row>
    <x:row r="1971" ht="42" customHeight="1">
      <x:c r="A1971" s="5" t="str">
        <x:v>D06</x:v>
      </x:c>
      <x:c r="B1971" s="5" t="str">
        <x:v>D06-T01</x:v>
      </x:c>
      <x:c r="C1971" s="5" t="str">
        <x:v>5. Complete Company Financial Table (135 Facilities Analyzed)</x:v>
      </x:c>
      <x:c r="D1971" s="5" t="n">
        <x:v>272</x:v>
      </x:c>
      <x:c r="E1971" s="5" t="n">
        <x:v>4</x:v>
      </x:c>
      <x:c r="F1971" s="5" t="str">
        <x:v>Focus Area</x:v>
      </x:c>
      <x:c r="G1971" s="5" t="n">
        <x:v>1</x:v>
      </x:c>
      <x:c r="H1971" s="5" t="n">
        <x:v>1</x:v>
      </x:c>
      <x:c r="I1971" s="5" t="str">
        <x:v>MR-Linac Unity &amp; Leksell Gamma Knife</x:v>
      </x:c>
      <x:c r="J1971" s="5" t="str">
        <x:v>SOURCE QUOTE; unvalidated / superseded assessments</x:v>
      </x:c>
      <x:c r="L1971" s="31" t="str">
        <x:v>D06, Markdown line 272; http://nas-1.tail55d152.ts.net:4100/static/MEDICAL_NORDICS_FINANCIALS_DOSSIER.html</x:v>
      </x:c>
    </x:row>
    <x:row r="1972" ht="42" customHeight="1">
      <x:c r="A1972" s="5" t="str">
        <x:v>D06</x:v>
      </x:c>
      <x:c r="B1972" s="5" t="str">
        <x:v>D06-T01</x:v>
      </x:c>
      <x:c r="C1972" s="5" t="str">
        <x:v>5. Complete Company Financial Table (135 Facilities Analyzed)</x:v>
      </x:c>
      <x:c r="D1972" s="5" t="n">
        <x:v>272</x:v>
      </x:c>
      <x:c r="E1972" s="5" t="n">
        <x:v>5</x:v>
      </x:c>
      <x:c r="F1972" s="5" t="str">
        <x:v>Revenue / Net Sales</x:v>
      </x:c>
      <x:c r="G1972" s="5" t="n">
        <x:v>1</x:v>
      </x:c>
      <x:c r="H1972" s="5" t="n">
        <x:v>1</x:v>
      </x:c>
      <x:c r="I1972" s="5" t="str">
        <x:v>SEK 19,039.0M (SEK 19.04B)</x:v>
      </x:c>
      <x:c r="J1972" s="5" t="str">
        <x:v>SOURCE QUOTE; unvalidated / superseded assessments</x:v>
      </x:c>
      <x:c r="L1972" s="31" t="str">
        <x:v>D06, Markdown line 272; http://nas-1.tail55d152.ts.net:4100/static/MEDICAL_NORDICS_FINANCIALS_DOSSIER.html</x:v>
      </x:c>
    </x:row>
    <x:row r="1973" ht="42" customHeight="1">
      <x:c r="A1973" s="5" t="str">
        <x:v>D06</x:v>
      </x:c>
      <x:c r="B1973" s="5" t="str">
        <x:v>D06-T01</x:v>
      </x:c>
      <x:c r="C1973" s="5" t="str">
        <x:v>5. Complete Company Financial Table (135 Facilities Analyzed)</x:v>
      </x:c>
      <x:c r="D1973" s="5" t="n">
        <x:v>272</x:v>
      </x:c>
      <x:c r="E1973" s="5" t="n">
        <x:v>6</x:v>
      </x:c>
      <x:c r="F1973" s="5" t="str">
        <x:v>R&amp;D Spend</x:v>
      </x:c>
      <x:c r="G1973" s="5" t="n">
        <x:v>1</x:v>
      </x:c>
      <x:c r="H1973" s="5" t="n">
        <x:v>1</x:v>
      </x:c>
      <x:c r="I1973" s="5" t="str">
        <x:v>SEK 2,130.0M (SEK 2.13B)</x:v>
      </x:c>
      <x:c r="J1973" s="5" t="str">
        <x:v>SOURCE QUOTE; unvalidated / superseded assessments</x:v>
      </x:c>
      <x:c r="L1973" s="31" t="str">
        <x:v>D06, Markdown line 272; http://nas-1.tail55d152.ts.net:4100/static/MEDICAL_NORDICS_FINANCIALS_DOSSIER.html</x:v>
      </x:c>
    </x:row>
    <x:row r="1974" ht="42" customHeight="1">
      <x:c r="A1974" s="5" t="str">
        <x:v>D06</x:v>
      </x:c>
      <x:c r="B1974" s="5" t="str">
        <x:v>D06-T01</x:v>
      </x:c>
      <x:c r="C1974" s="5" t="str">
        <x:v>5. Complete Company Financial Table (135 Facilities Analyzed)</x:v>
      </x:c>
      <x:c r="D1974" s="5" t="n">
        <x:v>272</x:v>
      </x:c>
      <x:c r="E1974" s="5" t="n">
        <x:v>7</x:v>
      </x:c>
      <x:c r="F1974" s="5" t="str">
        <x:v>Currency</x:v>
      </x:c>
      <x:c r="G1974" s="5" t="n">
        <x:v>1</x:v>
      </x:c>
      <x:c r="H1974" s="5" t="n">
        <x:v>1</x:v>
      </x:c>
      <x:c r="I1974" s="5" t="str">
        <x:v>SEK</x:v>
      </x:c>
      <x:c r="J1974" s="5" t="str">
        <x:v>SOURCE QUOTE; unvalidated / superseded assessments</x:v>
      </x:c>
      <x:c r="L1974" s="31" t="str">
        <x:v>D06, Markdown line 272; http://nas-1.tail55d152.ts.net:4100/static/MEDICAL_NORDICS_FINANCIALS_DOSSIER.html</x:v>
      </x:c>
    </x:row>
    <x:row r="1975" ht="42" customHeight="1">
      <x:c r="A1975" s="5" t="str">
        <x:v>D06</x:v>
      </x:c>
      <x:c r="B1975" s="5" t="str">
        <x:v>D06-T01</x:v>
      </x:c>
      <x:c r="C1975" s="5" t="str">
        <x:v>5. Complete Company Financial Table (135 Facilities Analyzed)</x:v>
      </x:c>
      <x:c r="D1975" s="5" t="n">
        <x:v>272</x:v>
      </x:c>
      <x:c r="E1975" s="5" t="n">
        <x:v>8</x:v>
      </x:c>
      <x:c r="F1975" s="5" t="str">
        <x:v>Fiscal Year</x:v>
      </x:c>
      <x:c r="G1975" s="5" t="n">
        <x:v>1</x:v>
      </x:c>
      <x:c r="H1975" s="5" t="n">
        <x:v>1</x:v>
      </x:c>
      <x:c r="I1975" s="5" t="str">
        <x:v>FY2023/24</x:v>
      </x:c>
      <x:c r="J1975" s="5" t="str">
        <x:v>SOURCE QUOTE; unvalidated / superseded assessments</x:v>
      </x:c>
      <x:c r="L1975" s="31" t="str">
        <x:v>D06, Markdown line 272; http://nas-1.tail55d152.ts.net:4100/static/MEDICAL_NORDICS_FINANCIALS_DOSSIER.html</x:v>
      </x:c>
    </x:row>
    <x:row r="1976" ht="42" customHeight="1">
      <x:c r="A1976" s="5" t="str">
        <x:v>D06</x:v>
      </x:c>
      <x:c r="B1976" s="5" t="str">
        <x:v>D06-T01</x:v>
      </x:c>
      <x:c r="C1976" s="5" t="str">
        <x:v>5. Complete Company Financial Table (135 Facilities Analyzed)</x:v>
      </x:c>
      <x:c r="D1976" s="5" t="n">
        <x:v>272</x:v>
      </x:c>
      <x:c r="E1976" s="5" t="n">
        <x:v>9</x:v>
      </x:c>
      <x:c r="F1976" s="5" t="str">
        <x:v>Status / Ownership / Strategic Service Alignment</x:v>
      </x:c>
      <x:c r="G1976" s="5" t="n">
        <x:v>1</x:v>
      </x:c>
      <x:c r="H1976" s="5" t="n">
        <x:v>1</x:v>
      </x:c>
      <x:c r="I1976" s="5" t="str">
        <x:v>Listed (Nasdaq: EKTA B); Package A &amp; E (Oncology radiation throughput models &amp; AI audit)</x:v>
      </x:c>
      <x:c r="J1976" s="5" t="str">
        <x:v>SOURCE QUOTE; unvalidated / superseded assessments</x:v>
      </x:c>
      <x:c r="L1976" s="31" t="str">
        <x:v>D06, Markdown line 272; http://nas-1.tail55d152.ts.net:4100/static/MEDICAL_NORDICS_FINANCIALS_DOSSIER.html</x:v>
      </x:c>
    </x:row>
    <x:row r="1977" ht="42" customHeight="1">
      <x:c r="A1977" s="5" t="str">
        <x:v>D06</x:v>
      </x:c>
      <x:c r="B1977" s="5" t="str">
        <x:v>D06-T01</x:v>
      </x:c>
      <x:c r="C1977" s="5" t="str">
        <x:v>5. Complete Company Financial Table (135 Facilities Analyzed)</x:v>
      </x:c>
      <x:c r="D1977" s="5" t="n">
        <x:v>273</x:v>
      </x:c>
      <x:c r="E1977" s="5" t="n">
        <x:v>1</x:v>
      </x:c>
      <x:c r="F1977" s="5" t="str">
        <x:v>#</x:v>
      </x:c>
      <x:c r="G1977" s="5" t="n">
        <x:v>1</x:v>
      </x:c>
      <x:c r="H1977" s="5" t="n">
        <x:v>1</x:v>
      </x:c>
      <x:c r="I1977" s="5" t="str">
        <x:v>92</x:v>
      </x:c>
      <x:c r="J1977" s="5" t="str">
        <x:v>SOURCE QUOTE; unvalidated / superseded assessments</x:v>
      </x:c>
      <x:c r="L1977" s="31" t="str">
        <x:v>D06, Markdown line 273; http://nas-1.tail55d152.ts.net:4100/static/MEDICAL_NORDICS_FINANCIALS_DOSSIER.html</x:v>
      </x:c>
    </x:row>
    <x:row r="1978" ht="42" customHeight="1">
      <x:c r="A1978" s="5" t="str">
        <x:v>D06</x:v>
      </x:c>
      <x:c r="B1978" s="5" t="str">
        <x:v>D06-T01</x:v>
      </x:c>
      <x:c r="C1978" s="5" t="str">
        <x:v>5. Complete Company Financial Table (135 Facilities Analyzed)</x:v>
      </x:c>
      <x:c r="D1978" s="5" t="n">
        <x:v>273</x:v>
      </x:c>
      <x:c r="E1978" s="5" t="n">
        <x:v>2</x:v>
      </x:c>
      <x:c r="F1978" s="5" t="str">
        <x:v>Company</x:v>
      </x:c>
      <x:c r="G1978" s="5" t="n">
        <x:v>1</x:v>
      </x:c>
      <x:c r="H1978" s="5" t="n">
        <x:v>1</x:v>
      </x:c>
      <x:c r="I1978" s="5" t="str">
        <x:v>Hexagon Pharma</x:v>
      </x:c>
      <x:c r="J1978" s="5" t="str">
        <x:v>SOURCE QUOTE; unvalidated / superseded assessments</x:v>
      </x:c>
      <x:c r="L1978" s="31" t="str">
        <x:v>D06, Markdown line 273; http://nas-1.tail55d152.ts.net:4100/static/MEDICAL_NORDICS_FINANCIALS_DOSSIER.html</x:v>
      </x:c>
    </x:row>
    <x:row r="1979" ht="42" customHeight="1">
      <x:c r="A1979" s="5" t="str">
        <x:v>D06</x:v>
      </x:c>
      <x:c r="B1979" s="5" t="str">
        <x:v>D06-T01</x:v>
      </x:c>
      <x:c r="C1979" s="5" t="str">
        <x:v>5. Complete Company Financial Table (135 Facilities Analyzed)</x:v>
      </x:c>
      <x:c r="D1979" s="5" t="n">
        <x:v>273</x:v>
      </x:c>
      <x:c r="E1979" s="5" t="n">
        <x:v>3</x:v>
      </x:c>
      <x:c r="F1979" s="5" t="str">
        <x:v>Location</x:v>
      </x:c>
      <x:c r="G1979" s="5" t="n">
        <x:v>1</x:v>
      </x:c>
      <x:c r="H1979" s="5" t="n">
        <x:v>1</x:v>
      </x:c>
      <x:c r="I1979" s="5" t="str">
        <x:v>Stockholm, Sweden</x:v>
      </x:c>
      <x:c r="J1979" s="5" t="str">
        <x:v>SOURCE QUOTE; unvalidated / superseded assessments</x:v>
      </x:c>
      <x:c r="L1979" s="31" t="str">
        <x:v>D06, Markdown line 273; http://nas-1.tail55d152.ts.net:4100/static/MEDICAL_NORDICS_FINANCIALS_DOSSIER.html</x:v>
      </x:c>
    </x:row>
    <x:row r="1980" ht="42" customHeight="1">
      <x:c r="A1980" s="5" t="str">
        <x:v>D06</x:v>
      </x:c>
      <x:c r="B1980" s="5" t="str">
        <x:v>D06-T01</x:v>
      </x:c>
      <x:c r="C1980" s="5" t="str">
        <x:v>5. Complete Company Financial Table (135 Facilities Analyzed)</x:v>
      </x:c>
      <x:c r="D1980" s="5" t="n">
        <x:v>273</x:v>
      </x:c>
      <x:c r="E1980" s="5" t="n">
        <x:v>4</x:v>
      </x:c>
      <x:c r="F1980" s="5" t="str">
        <x:v>Focus Area</x:v>
      </x:c>
      <x:c r="G1980" s="5" t="n">
        <x:v>1</x:v>
      </x:c>
      <x:c r="H1980" s="5" t="n">
        <x:v>1</x:v>
      </x:c>
      <x:c r="I1980" s="5" t="str">
        <x:v>Modular Pharmaceutical Engineering</x:v>
      </x:c>
      <x:c r="J1980" s="5" t="str">
        <x:v>SOURCE QUOTE; unvalidated / superseded assessments</x:v>
      </x:c>
      <x:c r="L1980" s="31" t="str">
        <x:v>D06, Markdown line 273; http://nas-1.tail55d152.ts.net:4100/static/MEDICAL_NORDICS_FINANCIALS_DOSSIER.html</x:v>
      </x:c>
    </x:row>
    <x:row r="1981" ht="42" customHeight="1">
      <x:c r="A1981" s="5" t="str">
        <x:v>D06</x:v>
      </x:c>
      <x:c r="B1981" s="5" t="str">
        <x:v>D06-T01</x:v>
      </x:c>
      <x:c r="C1981" s="5" t="str">
        <x:v>5. Complete Company Financial Table (135 Facilities Analyzed)</x:v>
      </x:c>
      <x:c r="D1981" s="5" t="n">
        <x:v>273</x:v>
      </x:c>
      <x:c r="E1981" s="5" t="n">
        <x:v>5</x:v>
      </x:c>
      <x:c r="F1981" s="5" t="str">
        <x:v>Revenue / Net Sales</x:v>
      </x:c>
      <x:c r="G1981" s="5" t="n">
        <x:v>1</x:v>
      </x:c>
      <x:c r="H1981" s="5" t="n">
        <x:v>1</x:v>
      </x:c>
      <x:c r="I1981" s="5" t="str">
        <x:v>SEK 7.5M est.</x:v>
      </x:c>
      <x:c r="J1981" s="5" t="str">
        <x:v>SOURCE QUOTE; unvalidated / superseded assessments</x:v>
      </x:c>
      <x:c r="L1981" s="31" t="str">
        <x:v>D06, Markdown line 273; http://nas-1.tail55d152.ts.net:4100/static/MEDICAL_NORDICS_FINANCIALS_DOSSIER.html</x:v>
      </x:c>
    </x:row>
    <x:row r="1982" ht="42" customHeight="1">
      <x:c r="A1982" s="5" t="str">
        <x:v>D06</x:v>
      </x:c>
      <x:c r="B1982" s="5" t="str">
        <x:v>D06-T01</x:v>
      </x:c>
      <x:c r="C1982" s="5" t="str">
        <x:v>5. Complete Company Financial Table (135 Facilities Analyzed)</x:v>
      </x:c>
      <x:c r="D1982" s="5" t="n">
        <x:v>273</x:v>
      </x:c>
      <x:c r="E1982" s="5" t="n">
        <x:v>6</x:v>
      </x:c>
      <x:c r="F1982" s="5" t="str">
        <x:v>R&amp;D Spend</x:v>
      </x:c>
      <x:c r="G1982" s="5" t="n">
        <x:v>1</x:v>
      </x:c>
      <x:c r="H1982" s="5" t="n">
        <x:v>1</x:v>
      </x:c>
      <x:c r="I1982" s="5" t="str">
        <x:v>SEK 2.5M</x:v>
      </x:c>
      <x:c r="J1982" s="5" t="str">
        <x:v>SOURCE QUOTE; unvalidated / superseded assessments</x:v>
      </x:c>
      <x:c r="L1982" s="31" t="str">
        <x:v>D06, Markdown line 273; http://nas-1.tail55d152.ts.net:4100/static/MEDICAL_NORDICS_FINANCIALS_DOSSIER.html</x:v>
      </x:c>
    </x:row>
    <x:row r="1983" ht="42" customHeight="1">
      <x:c r="A1983" s="5" t="str">
        <x:v>D06</x:v>
      </x:c>
      <x:c r="B1983" s="5" t="str">
        <x:v>D06-T01</x:v>
      </x:c>
      <x:c r="C1983" s="5" t="str">
        <x:v>5. Complete Company Financial Table (135 Facilities Analyzed)</x:v>
      </x:c>
      <x:c r="D1983" s="5" t="n">
        <x:v>273</x:v>
      </x:c>
      <x:c r="E1983" s="5" t="n">
        <x:v>7</x:v>
      </x:c>
      <x:c r="F1983" s="5" t="str">
        <x:v>Currency</x:v>
      </x:c>
      <x:c r="G1983" s="5" t="n">
        <x:v>1</x:v>
      </x:c>
      <x:c r="H1983" s="5" t="n">
        <x:v>1</x:v>
      </x:c>
      <x:c r="I1983" s="5" t="str">
        <x:v>SEK</x:v>
      </x:c>
      <x:c r="J1983" s="5" t="str">
        <x:v>SOURCE QUOTE; unvalidated / superseded assessments</x:v>
      </x:c>
      <x:c r="L1983" s="31" t="str">
        <x:v>D06, Markdown line 273; http://nas-1.tail55d152.ts.net:4100/static/MEDICAL_NORDICS_FINANCIALS_DOSSIER.html</x:v>
      </x:c>
    </x:row>
    <x:row r="1984" ht="42" customHeight="1">
      <x:c r="A1984" s="5" t="str">
        <x:v>D06</x:v>
      </x:c>
      <x:c r="B1984" s="5" t="str">
        <x:v>D06-T01</x:v>
      </x:c>
      <x:c r="C1984" s="5" t="str">
        <x:v>5. Complete Company Financial Table (135 Facilities Analyzed)</x:v>
      </x:c>
      <x:c r="D1984" s="5" t="n">
        <x:v>273</x:v>
      </x:c>
      <x:c r="E1984" s="5" t="n">
        <x:v>8</x:v>
      </x:c>
      <x:c r="F1984" s="5" t="str">
        <x:v>Fiscal Year</x:v>
      </x:c>
      <x:c r="G1984" s="5" t="n">
        <x:v>1</x:v>
      </x:c>
      <x:c r="H1984" s="5" t="n">
        <x:v>1</x:v>
      </x:c>
      <x:c r="I1984" s="5" t="str">
        <x:v>FY2023</x:v>
      </x:c>
      <x:c r="J1984" s="5" t="str">
        <x:v>SOURCE QUOTE; unvalidated / superseded assessments</x:v>
      </x:c>
      <x:c r="L1984" s="31" t="str">
        <x:v>D06, Markdown line 273; http://nas-1.tail55d152.ts.net:4100/static/MEDICAL_NORDICS_FINANCIALS_DOSSIER.html</x:v>
      </x:c>
    </x:row>
    <x:row r="1985" ht="42" customHeight="1">
      <x:c r="A1985" s="5" t="str">
        <x:v>D06</x:v>
      </x:c>
      <x:c r="B1985" s="5" t="str">
        <x:v>D06-T01</x:v>
      </x:c>
      <x:c r="C1985" s="5" t="str">
        <x:v>5. Complete Company Financial Table (135 Facilities Analyzed)</x:v>
      </x:c>
      <x:c r="D1985" s="5" t="n">
        <x:v>273</x:v>
      </x:c>
      <x:c r="E1985" s="5" t="n">
        <x:v>9</x:v>
      </x:c>
      <x:c r="F1985" s="5" t="str">
        <x:v>Status / Ownership / Strategic Service Alignment</x:v>
      </x:c>
      <x:c r="G1985" s="5" t="n">
        <x:v>1</x:v>
      </x:c>
      <x:c r="H1985" s="5" t="n">
        <x:v>1</x:v>
      </x:c>
      <x:c r="I1985" s="5" t="str">
        <x:v>Private process tech; Package D (Cleanroom automation engineering analytics)</x:v>
      </x:c>
      <x:c r="J1985" s="5" t="str">
        <x:v>SOURCE QUOTE; unvalidated / superseded assessments</x:v>
      </x:c>
      <x:c r="L1985" s="31" t="str">
        <x:v>D06, Markdown line 273; http://nas-1.tail55d152.ts.net:4100/static/MEDICAL_NORDICS_FINANCIALS_DOSSIER.html</x:v>
      </x:c>
    </x:row>
    <x:row r="1986" ht="42" customHeight="1">
      <x:c r="A1986" s="5" t="str">
        <x:v>D06</x:v>
      </x:c>
      <x:c r="B1986" s="5" t="str">
        <x:v>D06-T01</x:v>
      </x:c>
      <x:c r="C1986" s="5" t="str">
        <x:v>5. Complete Company Financial Table (135 Facilities Analyzed)</x:v>
      </x:c>
      <x:c r="D1986" s="5" t="n">
        <x:v>274</x:v>
      </x:c>
      <x:c r="E1986" s="5" t="n">
        <x:v>1</x:v>
      </x:c>
      <x:c r="F1986" s="5" t="str">
        <x:v>#</x:v>
      </x:c>
      <x:c r="G1986" s="5" t="n">
        <x:v>1</x:v>
      </x:c>
      <x:c r="H1986" s="5" t="n">
        <x:v>1</x:v>
      </x:c>
      <x:c r="I1986" s="5" t="str">
        <x:v>93</x:v>
      </x:c>
      <x:c r="J1986" s="5" t="str">
        <x:v>SOURCE QUOTE; unvalidated / superseded assessments</x:v>
      </x:c>
      <x:c r="L1986" s="31" t="str">
        <x:v>D06, Markdown line 274; http://nas-1.tail55d152.ts.net:4100/static/MEDICAL_NORDICS_FINANCIALS_DOSSIER.html</x:v>
      </x:c>
    </x:row>
    <x:row r="1987" ht="42" customHeight="1">
      <x:c r="A1987" s="5" t="str">
        <x:v>D06</x:v>
      </x:c>
      <x:c r="B1987" s="5" t="str">
        <x:v>D06-T01</x:v>
      </x:c>
      <x:c r="C1987" s="5" t="str">
        <x:v>5. Complete Company Financial Table (135 Facilities Analyzed)</x:v>
      </x:c>
      <x:c r="D1987" s="5" t="n">
        <x:v>274</x:v>
      </x:c>
      <x:c r="E1987" s="5" t="n">
        <x:v>2</x:v>
      </x:c>
      <x:c r="F1987" s="5" t="str">
        <x:v>Company</x:v>
      </x:c>
      <x:c r="G1987" s="5" t="n">
        <x:v>1</x:v>
      </x:c>
      <x:c r="H1987" s="5" t="n">
        <x:v>1</x:v>
      </x:c>
      <x:c r="I1987" s="5" t="str">
        <x:v>IDL Diagnostics</x:v>
      </x:c>
      <x:c r="J1987" s="5" t="str">
        <x:v>SOURCE QUOTE; unvalidated / superseded assessments</x:v>
      </x:c>
      <x:c r="L1987" s="31" t="str">
        <x:v>D06, Markdown line 274; http://nas-1.tail55d152.ts.net:4100/static/MEDICAL_NORDICS_FINANCIALS_DOSSIER.html</x:v>
      </x:c>
    </x:row>
    <x:row r="1988" ht="42" customHeight="1">
      <x:c r="A1988" s="5" t="str">
        <x:v>D06</x:v>
      </x:c>
      <x:c r="B1988" s="5" t="str">
        <x:v>D06-T01</x:v>
      </x:c>
      <x:c r="C1988" s="5" t="str">
        <x:v>5. Complete Company Financial Table (135 Facilities Analyzed)</x:v>
      </x:c>
      <x:c r="D1988" s="5" t="n">
        <x:v>274</x:v>
      </x:c>
      <x:c r="E1988" s="5" t="n">
        <x:v>3</x:v>
      </x:c>
      <x:c r="F1988" s="5" t="str">
        <x:v>Location</x:v>
      </x:c>
      <x:c r="G1988" s="5" t="n">
        <x:v>1</x:v>
      </x:c>
      <x:c r="H1988" s="5" t="n">
        <x:v>1</x:v>
      </x:c>
      <x:c r="I1988" s="5" t="str">
        <x:v>Stockholm, Sweden</x:v>
      </x:c>
      <x:c r="J1988" s="5" t="str">
        <x:v>SOURCE QUOTE; unvalidated / superseded assessments</x:v>
      </x:c>
      <x:c r="L1988" s="31" t="str">
        <x:v>D06, Markdown line 274; http://nas-1.tail55d152.ts.net:4100/static/MEDICAL_NORDICS_FINANCIALS_DOSSIER.html</x:v>
      </x:c>
    </x:row>
    <x:row r="1989" ht="42" customHeight="1">
      <x:c r="A1989" s="5" t="str">
        <x:v>D06</x:v>
      </x:c>
      <x:c r="B1989" s="5" t="str">
        <x:v>D06-T01</x:v>
      </x:c>
      <x:c r="C1989" s="5" t="str">
        <x:v>5. Complete Company Financial Table (135 Facilities Analyzed)</x:v>
      </x:c>
      <x:c r="D1989" s="5" t="n">
        <x:v>274</x:v>
      </x:c>
      <x:c r="E1989" s="5" t="n">
        <x:v>4</x:v>
      </x:c>
      <x:c r="F1989" s="5" t="str">
        <x:v>Focus Area</x:v>
      </x:c>
      <x:c r="G1989" s="5" t="n">
        <x:v>1</x:v>
      </x:c>
      <x:c r="H1989" s="5" t="n">
        <x:v>1</x:v>
      </x:c>
      <x:c r="I1989" s="5" t="str">
        <x:v>AroCell Bladder &amp; Oncology Biomarkers</x:v>
      </x:c>
      <x:c r="J1989" s="5" t="str">
        <x:v>SOURCE QUOTE; unvalidated / superseded assessments</x:v>
      </x:c>
      <x:c r="L1989" s="31" t="str">
        <x:v>D06, Markdown line 274; http://nas-1.tail55d152.ts.net:4100/static/MEDICAL_NORDICS_FINANCIALS_DOSSIER.html</x:v>
      </x:c>
    </x:row>
    <x:row r="1990" ht="42" customHeight="1">
      <x:c r="A1990" s="5" t="str">
        <x:v>D06</x:v>
      </x:c>
      <x:c r="B1990" s="5" t="str">
        <x:v>D06-T01</x:v>
      </x:c>
      <x:c r="C1990" s="5" t="str">
        <x:v>5. Complete Company Financial Table (135 Facilities Analyzed)</x:v>
      </x:c>
      <x:c r="D1990" s="5" t="n">
        <x:v>274</x:v>
      </x:c>
      <x:c r="E1990" s="5" t="n">
        <x:v>5</x:v>
      </x:c>
      <x:c r="F1990" s="5" t="str">
        <x:v>Revenue / Net Sales</x:v>
      </x:c>
      <x:c r="G1990" s="5" t="n">
        <x:v>1</x:v>
      </x:c>
      <x:c r="H1990" s="5" t="n">
        <x:v>1</x:v>
      </x:c>
      <x:c r="I1990" s="5" t="str">
        <x:v>SEK 35.8M</x:v>
      </x:c>
      <x:c r="J1990" s="5" t="str">
        <x:v>SOURCE QUOTE; unvalidated / superseded assessments</x:v>
      </x:c>
      <x:c r="L1990" s="31" t="str">
        <x:v>D06, Markdown line 274; http://nas-1.tail55d152.ts.net:4100/static/MEDICAL_NORDICS_FINANCIALS_DOSSIER.html</x:v>
      </x:c>
    </x:row>
    <x:row r="1991" ht="42" customHeight="1">
      <x:c r="A1991" s="5" t="str">
        <x:v>D06</x:v>
      </x:c>
      <x:c r="B1991" s="5" t="str">
        <x:v>D06-T01</x:v>
      </x:c>
      <x:c r="C1991" s="5" t="str">
        <x:v>5. Complete Company Financial Table (135 Facilities Analyzed)</x:v>
      </x:c>
      <x:c r="D1991" s="5" t="n">
        <x:v>274</x:v>
      </x:c>
      <x:c r="E1991" s="5" t="n">
        <x:v>6</x:v>
      </x:c>
      <x:c r="F1991" s="5" t="str">
        <x:v>R&amp;D Spend</x:v>
      </x:c>
      <x:c r="G1991" s="5" t="n">
        <x:v>1</x:v>
      </x:c>
      <x:c r="H1991" s="5" t="n">
        <x:v>1</x:v>
      </x:c>
      <x:c r="I1991" s="5" t="str">
        <x:v>SEK 14.6M</x:v>
      </x:c>
      <x:c r="J1991" s="5" t="str">
        <x:v>SOURCE QUOTE; unvalidated / superseded assessments</x:v>
      </x:c>
      <x:c r="L1991" s="31" t="str">
        <x:v>D06, Markdown line 274; http://nas-1.tail55d152.ts.net:4100/static/MEDICAL_NORDICS_FINANCIALS_DOSSIER.html</x:v>
      </x:c>
    </x:row>
    <x:row r="1992" ht="42" customHeight="1">
      <x:c r="A1992" s="5" t="str">
        <x:v>D06</x:v>
      </x:c>
      <x:c r="B1992" s="5" t="str">
        <x:v>D06-T01</x:v>
      </x:c>
      <x:c r="C1992" s="5" t="str">
        <x:v>5. Complete Company Financial Table (135 Facilities Analyzed)</x:v>
      </x:c>
      <x:c r="D1992" s="5" t="n">
        <x:v>274</x:v>
      </x:c>
      <x:c r="E1992" s="5" t="n">
        <x:v>7</x:v>
      </x:c>
      <x:c r="F1992" s="5" t="str">
        <x:v>Currency</x:v>
      </x:c>
      <x:c r="G1992" s="5" t="n">
        <x:v>1</x:v>
      </x:c>
      <x:c r="H1992" s="5" t="n">
        <x:v>1</x:v>
      </x:c>
      <x:c r="I1992" s="5" t="str">
        <x:v>SEK</x:v>
      </x:c>
      <x:c r="J1992" s="5" t="str">
        <x:v>SOURCE QUOTE; unvalidated / superseded assessments</x:v>
      </x:c>
      <x:c r="L1992" s="31" t="str">
        <x:v>D06, Markdown line 274; http://nas-1.tail55d152.ts.net:4100/static/MEDICAL_NORDICS_FINANCIALS_DOSSIER.html</x:v>
      </x:c>
    </x:row>
    <x:row r="1993" ht="42" customHeight="1">
      <x:c r="A1993" s="5" t="str">
        <x:v>D06</x:v>
      </x:c>
      <x:c r="B1993" s="5" t="str">
        <x:v>D06-T01</x:v>
      </x:c>
      <x:c r="C1993" s="5" t="str">
        <x:v>5. Complete Company Financial Table (135 Facilities Analyzed)</x:v>
      </x:c>
      <x:c r="D1993" s="5" t="n">
        <x:v>274</x:v>
      </x:c>
      <x:c r="E1993" s="5" t="n">
        <x:v>8</x:v>
      </x:c>
      <x:c r="F1993" s="5" t="str">
        <x:v>Fiscal Year</x:v>
      </x:c>
      <x:c r="G1993" s="5" t="n">
        <x:v>1</x:v>
      </x:c>
      <x:c r="H1993" s="5" t="n">
        <x:v>1</x:v>
      </x:c>
      <x:c r="I1993" s="5" t="str">
        <x:v>FY2023/24</x:v>
      </x:c>
      <x:c r="J1993" s="5" t="str">
        <x:v>SOURCE QUOTE; unvalidated / superseded assessments</x:v>
      </x:c>
      <x:c r="L1993" s="31" t="str">
        <x:v>D06, Markdown line 274; http://nas-1.tail55d152.ts.net:4100/static/MEDICAL_NORDICS_FINANCIALS_DOSSIER.html</x:v>
      </x:c>
    </x:row>
    <x:row r="1994" ht="42" customHeight="1">
      <x:c r="A1994" s="5" t="str">
        <x:v>D06</x:v>
      </x:c>
      <x:c r="B1994" s="5" t="str">
        <x:v>D06-T01</x:v>
      </x:c>
      <x:c r="C1994" s="5" t="str">
        <x:v>5. Complete Company Financial Table (135 Facilities Analyzed)</x:v>
      </x:c>
      <x:c r="D1994" s="5" t="n">
        <x:v>274</x:v>
      </x:c>
      <x:c r="E1994" s="5" t="n">
        <x:v>9</x:v>
      </x:c>
      <x:c r="F1994" s="5" t="str">
        <x:v>Status / Ownership / Strategic Service Alignment</x:v>
      </x:c>
      <x:c r="G1994" s="5" t="n">
        <x:v>1</x:v>
      </x:c>
      <x:c r="H1994" s="5" t="n">
        <x:v>1</x:v>
      </x:c>
      <x:c r="I1994" s="5" t="str">
        <x:v>Listed (First North: IDLDX); Package A (Hospital urology lab test reimbursement models)</x:v>
      </x:c>
      <x:c r="J1994" s="5" t="str">
        <x:v>SOURCE QUOTE; unvalidated / superseded assessments</x:v>
      </x:c>
      <x:c r="L1994" s="31" t="str">
        <x:v>D06, Markdown line 274; http://nas-1.tail55d152.ts.net:4100/static/MEDICAL_NORDICS_FINANCIALS_DOSSIER.html</x:v>
      </x:c>
    </x:row>
    <x:row r="1995" ht="42" customHeight="1">
      <x:c r="A1995" s="5" t="str">
        <x:v>D06</x:v>
      </x:c>
      <x:c r="B1995" s="5" t="str">
        <x:v>D06-T01</x:v>
      </x:c>
      <x:c r="C1995" s="5" t="str">
        <x:v>5. Complete Company Financial Table (135 Facilities Analyzed)</x:v>
      </x:c>
      <x:c r="D1995" s="5" t="n">
        <x:v>275</x:v>
      </x:c>
      <x:c r="E1995" s="5" t="n">
        <x:v>1</x:v>
      </x:c>
      <x:c r="F1995" s="5" t="str">
        <x:v>#</x:v>
      </x:c>
      <x:c r="G1995" s="5" t="n">
        <x:v>1</x:v>
      </x:c>
      <x:c r="H1995" s="5" t="n">
        <x:v>1</x:v>
      </x:c>
      <x:c r="I1995" s="5" t="str">
        <x:v>94</x:v>
      </x:c>
      <x:c r="J1995" s="5" t="str">
        <x:v>SOURCE QUOTE; unvalidated / superseded assessments</x:v>
      </x:c>
      <x:c r="L1995" s="31" t="str">
        <x:v>D06, Markdown line 275; http://nas-1.tail55d152.ts.net:4100/static/MEDICAL_NORDICS_FINANCIALS_DOSSIER.html</x:v>
      </x:c>
    </x:row>
    <x:row r="1996" ht="42" customHeight="1">
      <x:c r="A1996" s="5" t="str">
        <x:v>D06</x:v>
      </x:c>
      <x:c r="B1996" s="5" t="str">
        <x:v>D06-T01</x:v>
      </x:c>
      <x:c r="C1996" s="5" t="str">
        <x:v>5. Complete Company Financial Table (135 Facilities Analyzed)</x:v>
      </x:c>
      <x:c r="D1996" s="5" t="n">
        <x:v>275</x:v>
      </x:c>
      <x:c r="E1996" s="5" t="n">
        <x:v>2</x:v>
      </x:c>
      <x:c r="F1996" s="5" t="str">
        <x:v>Company</x:v>
      </x:c>
      <x:c r="G1996" s="5" t="n">
        <x:v>1</x:v>
      </x:c>
      <x:c r="H1996" s="5" t="n">
        <x:v>1</x:v>
      </x:c>
      <x:c r="I1996" s="5" t="str">
        <x:v>Infant Bacterial Therapeutics</x:v>
      </x:c>
      <x:c r="J1996" s="5" t="str">
        <x:v>SOURCE QUOTE; unvalidated / superseded assessments</x:v>
      </x:c>
      <x:c r="L1996" s="31" t="str">
        <x:v>D06, Markdown line 275; http://nas-1.tail55d152.ts.net:4100/static/MEDICAL_NORDICS_FINANCIALS_DOSSIER.html</x:v>
      </x:c>
    </x:row>
    <x:row r="1997" ht="42" customHeight="1">
      <x:c r="A1997" s="5" t="str">
        <x:v>D06</x:v>
      </x:c>
      <x:c r="B1997" s="5" t="str">
        <x:v>D06-T01</x:v>
      </x:c>
      <x:c r="C1997" s="5" t="str">
        <x:v>5. Complete Company Financial Table (135 Facilities Analyzed)</x:v>
      </x:c>
      <x:c r="D1997" s="5" t="n">
        <x:v>275</x:v>
      </x:c>
      <x:c r="E1997" s="5" t="n">
        <x:v>3</x:v>
      </x:c>
      <x:c r="F1997" s="5" t="str">
        <x:v>Location</x:v>
      </x:c>
      <x:c r="G1997" s="5" t="n">
        <x:v>1</x:v>
      </x:c>
      <x:c r="H1997" s="5" t="n">
        <x:v>1</x:v>
      </x:c>
      <x:c r="I1997" s="5" t="str">
        <x:v>Stockholm, Sweden</x:v>
      </x:c>
      <x:c r="J1997" s="5" t="str">
        <x:v>SOURCE QUOTE; unvalidated / superseded assessments</x:v>
      </x:c>
      <x:c r="L1997" s="31" t="str">
        <x:v>D06, Markdown line 275; http://nas-1.tail55d152.ts.net:4100/static/MEDICAL_NORDICS_FINANCIALS_DOSSIER.html</x:v>
      </x:c>
    </x:row>
    <x:row r="1998" ht="42" customHeight="1">
      <x:c r="A1998" s="5" t="str">
        <x:v>D06</x:v>
      </x:c>
      <x:c r="B1998" s="5" t="str">
        <x:v>D06-T01</x:v>
      </x:c>
      <x:c r="C1998" s="5" t="str">
        <x:v>5. Complete Company Financial Table (135 Facilities Analyzed)</x:v>
      </x:c>
      <x:c r="D1998" s="5" t="n">
        <x:v>275</x:v>
      </x:c>
      <x:c r="E1998" s="5" t="n">
        <x:v>4</x:v>
      </x:c>
      <x:c r="F1998" s="5" t="str">
        <x:v>Focus Area</x:v>
      </x:c>
      <x:c r="G1998" s="5" t="n">
        <x:v>1</x:v>
      </x:c>
      <x:c r="H1998" s="5" t="n">
        <x:v>1</x:v>
      </x:c>
      <x:c r="I1998" s="5" t="str">
        <x:v>IBP-9414 for Necrotizing Enterocolitis</x:v>
      </x:c>
      <x:c r="J1998" s="5" t="str">
        <x:v>SOURCE QUOTE; unvalidated / superseded assessments</x:v>
      </x:c>
      <x:c r="L1998" s="31" t="str">
        <x:v>D06, Markdown line 275; http://nas-1.tail55d152.ts.net:4100/static/MEDICAL_NORDICS_FINANCIALS_DOSSIER.html</x:v>
      </x:c>
    </x:row>
    <x:row r="1999" ht="42" customHeight="1">
      <x:c r="A1999" s="5" t="str">
        <x:v>D06</x:v>
      </x:c>
      <x:c r="B1999" s="5" t="str">
        <x:v>D06-T01</x:v>
      </x:c>
      <x:c r="C1999" s="5" t="str">
        <x:v>5. Complete Company Financial Table (135 Facilities Analyzed)</x:v>
      </x:c>
      <x:c r="D1999" s="5" t="n">
        <x:v>275</x:v>
      </x:c>
      <x:c r="E1999" s="5" t="n">
        <x:v>5</x:v>
      </x:c>
      <x:c r="F1999" s="5" t="str">
        <x:v>Revenue / Net Sales</x:v>
      </x:c>
      <x:c r="G1999" s="5" t="n">
        <x:v>1</x:v>
      </x:c>
      <x:c r="H1999" s="5" t="n">
        <x:v>1</x:v>
      </x:c>
      <x:c r="I1999" s="5" t="str">
        <x:v>SEK 0M (Clinical stage)</x:v>
      </x:c>
      <x:c r="J1999" s="5" t="str">
        <x:v>SOURCE QUOTE; unvalidated / superseded assessments</x:v>
      </x:c>
      <x:c r="L1999" s="31" t="str">
        <x:v>D06, Markdown line 275; http://nas-1.tail55d152.ts.net:4100/static/MEDICAL_NORDICS_FINANCIALS_DOSSIER.html</x:v>
      </x:c>
    </x:row>
    <x:row r="2000" ht="42" customHeight="1">
      <x:c r="A2000" s="5" t="str">
        <x:v>D06</x:v>
      </x:c>
      <x:c r="B2000" s="5" t="str">
        <x:v>D06-T01</x:v>
      </x:c>
      <x:c r="C2000" s="5" t="str">
        <x:v>5. Complete Company Financial Table (135 Facilities Analyzed)</x:v>
      </x:c>
      <x:c r="D2000" s="5" t="n">
        <x:v>275</x:v>
      </x:c>
      <x:c r="E2000" s="5" t="n">
        <x:v>6</x:v>
      </x:c>
      <x:c r="F2000" s="5" t="str">
        <x:v>R&amp;D Spend</x:v>
      </x:c>
      <x:c r="G2000" s="5" t="n">
        <x:v>1</x:v>
      </x:c>
      <x:c r="H2000" s="5" t="n">
        <x:v>1</x:v>
      </x:c>
      <x:c r="I2000" s="5" t="str">
        <x:v>SEK 112.4M</x:v>
      </x:c>
      <x:c r="J2000" s="5" t="str">
        <x:v>SOURCE QUOTE; unvalidated / superseded assessments</x:v>
      </x:c>
      <x:c r="L2000" s="31" t="str">
        <x:v>D06, Markdown line 275; http://nas-1.tail55d152.ts.net:4100/static/MEDICAL_NORDICS_FINANCIALS_DOSSIER.html</x:v>
      </x:c>
    </x:row>
    <x:row r="2001" ht="42" customHeight="1">
      <x:c r="A2001" s="5" t="str">
        <x:v>D06</x:v>
      </x:c>
      <x:c r="B2001" s="5" t="str">
        <x:v>D06-T01</x:v>
      </x:c>
      <x:c r="C2001" s="5" t="str">
        <x:v>5. Complete Company Financial Table (135 Facilities Analyzed)</x:v>
      </x:c>
      <x:c r="D2001" s="5" t="n">
        <x:v>275</x:v>
      </x:c>
      <x:c r="E2001" s="5" t="n">
        <x:v>7</x:v>
      </x:c>
      <x:c r="F2001" s="5" t="str">
        <x:v>Currency</x:v>
      </x:c>
      <x:c r="G2001" s="5" t="n">
        <x:v>1</x:v>
      </x:c>
      <x:c r="H2001" s="5" t="n">
        <x:v>1</x:v>
      </x:c>
      <x:c r="I2001" s="5" t="str">
        <x:v>SEK</x:v>
      </x:c>
      <x:c r="J2001" s="5" t="str">
        <x:v>SOURCE QUOTE; unvalidated / superseded assessments</x:v>
      </x:c>
      <x:c r="L2001" s="31" t="str">
        <x:v>D06, Markdown line 275; http://nas-1.tail55d152.ts.net:4100/static/MEDICAL_NORDICS_FINANCIALS_DOSSIER.html</x:v>
      </x:c>
    </x:row>
    <x:row r="2002" ht="42" customHeight="1">
      <x:c r="A2002" s="5" t="str">
        <x:v>D06</x:v>
      </x:c>
      <x:c r="B2002" s="5" t="str">
        <x:v>D06-T01</x:v>
      </x:c>
      <x:c r="C2002" s="5" t="str">
        <x:v>5. Complete Company Financial Table (135 Facilities Analyzed)</x:v>
      </x:c>
      <x:c r="D2002" s="5" t="n">
        <x:v>275</x:v>
      </x:c>
      <x:c r="E2002" s="5" t="n">
        <x:v>8</x:v>
      </x:c>
      <x:c r="F2002" s="5" t="str">
        <x:v>Fiscal Year</x:v>
      </x:c>
      <x:c r="G2002" s="5" t="n">
        <x:v>1</x:v>
      </x:c>
      <x:c r="H2002" s="5" t="n">
        <x:v>1</x:v>
      </x:c>
      <x:c r="I2002" s="5" t="str">
        <x:v>FY2023/24</x:v>
      </x:c>
      <x:c r="J2002" s="5" t="str">
        <x:v>SOURCE QUOTE; unvalidated / superseded assessments</x:v>
      </x:c>
      <x:c r="L2002" s="31" t="str">
        <x:v>D06, Markdown line 275; http://nas-1.tail55d152.ts.net:4100/static/MEDICAL_NORDICS_FINANCIALS_DOSSIER.html</x:v>
      </x:c>
    </x:row>
    <x:row r="2003" ht="42" customHeight="1">
      <x:c r="A2003" s="5" t="str">
        <x:v>D06</x:v>
      </x:c>
      <x:c r="B2003" s="5" t="str">
        <x:v>D06-T01</x:v>
      </x:c>
      <x:c r="C2003" s="5" t="str">
        <x:v>5. Complete Company Financial Table (135 Facilities Analyzed)</x:v>
      </x:c>
      <x:c r="D2003" s="5" t="n">
        <x:v>275</x:v>
      </x:c>
      <x:c r="E2003" s="5" t="n">
        <x:v>9</x:v>
      </x:c>
      <x:c r="F2003" s="5" t="str">
        <x:v>Status / Ownership / Strategic Service Alignment</x:v>
      </x:c>
      <x:c r="G2003" s="5" t="n">
        <x:v>1</x:v>
      </x:c>
      <x:c r="H2003" s="5" t="n">
        <x:v>1</x:v>
      </x:c>
      <x:c r="I2003" s="5" t="str">
        <x:v>Listed (Nasdaq: IBT B); Package B (Phase III neonatal clinical trial enrollment speedup)</x:v>
      </x:c>
      <x:c r="J2003" s="5" t="str">
        <x:v>SOURCE QUOTE; unvalidated / superseded assessments</x:v>
      </x:c>
      <x:c r="L2003" s="31" t="str">
        <x:v>D06, Markdown line 275; http://nas-1.tail55d152.ts.net:4100/static/MEDICAL_NORDICS_FINANCIALS_DOSSIER.html</x:v>
      </x:c>
    </x:row>
    <x:row r="2004" ht="42" customHeight="1">
      <x:c r="A2004" s="5" t="str">
        <x:v>D06</x:v>
      </x:c>
      <x:c r="B2004" s="5" t="str">
        <x:v>D06-T01</x:v>
      </x:c>
      <x:c r="C2004" s="5" t="str">
        <x:v>5. Complete Company Financial Table (135 Facilities Analyzed)</x:v>
      </x:c>
      <x:c r="D2004" s="5" t="n">
        <x:v>276</x:v>
      </x:c>
      <x:c r="E2004" s="5" t="n">
        <x:v>1</x:v>
      </x:c>
      <x:c r="F2004" s="5" t="str">
        <x:v>#</x:v>
      </x:c>
      <x:c r="G2004" s="5" t="n">
        <x:v>1</x:v>
      </x:c>
      <x:c r="H2004" s="5" t="n">
        <x:v>1</x:v>
      </x:c>
      <x:c r="I2004" s="5" t="str">
        <x:v>95</x:v>
      </x:c>
      <x:c r="J2004" s="5" t="str">
        <x:v>SOURCE QUOTE; unvalidated / superseded assessments</x:v>
      </x:c>
      <x:c r="L2004" s="31" t="str">
        <x:v>D06, Markdown line 276; http://nas-1.tail55d152.ts.net:4100/static/MEDICAL_NORDICS_FINANCIALS_DOSSIER.html</x:v>
      </x:c>
    </x:row>
    <x:row r="2005" ht="42" customHeight="1">
      <x:c r="A2005" s="5" t="str">
        <x:v>D06</x:v>
      </x:c>
      <x:c r="B2005" s="5" t="str">
        <x:v>D06-T01</x:v>
      </x:c>
      <x:c r="C2005" s="5" t="str">
        <x:v>5. Complete Company Financial Table (135 Facilities Analyzed)</x:v>
      </x:c>
      <x:c r="D2005" s="5" t="n">
        <x:v>276</x:v>
      </x:c>
      <x:c r="E2005" s="5" t="n">
        <x:v>2</x:v>
      </x:c>
      <x:c r="F2005" s="5" t="str">
        <x:v>Company</x:v>
      </x:c>
      <x:c r="G2005" s="5" t="n">
        <x:v>1</x:v>
      </x:c>
      <x:c r="H2005" s="5" t="n">
        <x:v>1</x:v>
      </x:c>
      <x:c r="I2005" s="5" t="str">
        <x:v>Mendus</x:v>
      </x:c>
      <x:c r="J2005" s="5" t="str">
        <x:v>SOURCE QUOTE; unvalidated / superseded assessments</x:v>
      </x:c>
      <x:c r="L2005" s="31" t="str">
        <x:v>D06, Markdown line 276; http://nas-1.tail55d152.ts.net:4100/static/MEDICAL_NORDICS_FINANCIALS_DOSSIER.html</x:v>
      </x:c>
    </x:row>
    <x:row r="2006" ht="42" customHeight="1">
      <x:c r="A2006" s="5" t="str">
        <x:v>D06</x:v>
      </x:c>
      <x:c r="B2006" s="5" t="str">
        <x:v>D06-T01</x:v>
      </x:c>
      <x:c r="C2006" s="5" t="str">
        <x:v>5. Complete Company Financial Table (135 Facilities Analyzed)</x:v>
      </x:c>
      <x:c r="D2006" s="5" t="n">
        <x:v>276</x:v>
      </x:c>
      <x:c r="E2006" s="5" t="n">
        <x:v>3</x:v>
      </x:c>
      <x:c r="F2006" s="5" t="str">
        <x:v>Location</x:v>
      </x:c>
      <x:c r="G2006" s="5" t="n">
        <x:v>1</x:v>
      </x:c>
      <x:c r="H2006" s="5" t="n">
        <x:v>1</x:v>
      </x:c>
      <x:c r="I2006" s="5" t="str">
        <x:v>Stockholm, Sweden</x:v>
      </x:c>
      <x:c r="J2006" s="5" t="str">
        <x:v>SOURCE QUOTE; unvalidated / superseded assessments</x:v>
      </x:c>
      <x:c r="L2006" s="31" t="str">
        <x:v>D06, Markdown line 276; http://nas-1.tail55d152.ts.net:4100/static/MEDICAL_NORDICS_FINANCIALS_DOSSIER.html</x:v>
      </x:c>
    </x:row>
    <x:row r="2007" ht="42" customHeight="1">
      <x:c r="A2007" s="5" t="str">
        <x:v>D06</x:v>
      </x:c>
      <x:c r="B2007" s="5" t="str">
        <x:v>D06-T01</x:v>
      </x:c>
      <x:c r="C2007" s="5" t="str">
        <x:v>5. Complete Company Financial Table (135 Facilities Analyzed)</x:v>
      </x:c>
      <x:c r="D2007" s="5" t="n">
        <x:v>276</x:v>
      </x:c>
      <x:c r="E2007" s="5" t="n">
        <x:v>4</x:v>
      </x:c>
      <x:c r="F2007" s="5" t="str">
        <x:v>Focus Area</x:v>
      </x:c>
      <x:c r="G2007" s="5" t="n">
        <x:v>1</x:v>
      </x:c>
      <x:c r="H2007" s="5" t="n">
        <x:v>1</x:v>
      </x:c>
      <x:c r="I2007" s="5" t="str">
        <x:v>Vididencel Allogeneic Dendritic Cells</x:v>
      </x:c>
      <x:c r="J2007" s="5" t="str">
        <x:v>SOURCE QUOTE; unvalidated / superseded assessments</x:v>
      </x:c>
      <x:c r="L2007" s="31" t="str">
        <x:v>D06, Markdown line 276; http://nas-1.tail55d152.ts.net:4100/static/MEDICAL_NORDICS_FINANCIALS_DOSSIER.html</x:v>
      </x:c>
    </x:row>
    <x:row r="2008" ht="42" customHeight="1">
      <x:c r="A2008" s="5" t="str">
        <x:v>D06</x:v>
      </x:c>
      <x:c r="B2008" s="5" t="str">
        <x:v>D06-T01</x:v>
      </x:c>
      <x:c r="C2008" s="5" t="str">
        <x:v>5. Complete Company Financial Table (135 Facilities Analyzed)</x:v>
      </x:c>
      <x:c r="D2008" s="5" t="n">
        <x:v>276</x:v>
      </x:c>
      <x:c r="E2008" s="5" t="n">
        <x:v>5</x:v>
      </x:c>
      <x:c r="F2008" s="5" t="str">
        <x:v>Revenue / Net Sales</x:v>
      </x:c>
      <x:c r="G2008" s="5" t="n">
        <x:v>1</x:v>
      </x:c>
      <x:c r="H2008" s="5" t="n">
        <x:v>1</x:v>
      </x:c>
      <x:c r="I2008" s="5" t="str">
        <x:v>SEK 0M (Clinical stage)</x:v>
      </x:c>
      <x:c r="J2008" s="5" t="str">
        <x:v>SOURCE QUOTE; unvalidated / superseded assessments</x:v>
      </x:c>
      <x:c r="L2008" s="31" t="str">
        <x:v>D06, Markdown line 276; http://nas-1.tail55d152.ts.net:4100/static/MEDICAL_NORDICS_FINANCIALS_DOSSIER.html</x:v>
      </x:c>
    </x:row>
    <x:row r="2009" ht="42" customHeight="1">
      <x:c r="A2009" s="5" t="str">
        <x:v>D06</x:v>
      </x:c>
      <x:c r="B2009" s="5" t="str">
        <x:v>D06-T01</x:v>
      </x:c>
      <x:c r="C2009" s="5" t="str">
        <x:v>5. Complete Company Financial Table (135 Facilities Analyzed)</x:v>
      </x:c>
      <x:c r="D2009" s="5" t="n">
        <x:v>276</x:v>
      </x:c>
      <x:c r="E2009" s="5" t="n">
        <x:v>6</x:v>
      </x:c>
      <x:c r="F2009" s="5" t="str">
        <x:v>R&amp;D Spend</x:v>
      </x:c>
      <x:c r="G2009" s="5" t="n">
        <x:v>1</x:v>
      </x:c>
      <x:c r="H2009" s="5" t="n">
        <x:v>1</x:v>
      </x:c>
      <x:c r="I2009" s="5" t="str">
        <x:v>SEK 114.2M</x:v>
      </x:c>
      <x:c r="J2009" s="5" t="str">
        <x:v>SOURCE QUOTE; unvalidated / superseded assessments</x:v>
      </x:c>
      <x:c r="L2009" s="31" t="str">
        <x:v>D06, Markdown line 276; http://nas-1.tail55d152.ts.net:4100/static/MEDICAL_NORDICS_FINANCIALS_DOSSIER.html</x:v>
      </x:c>
    </x:row>
    <x:row r="2010" ht="42" customHeight="1">
      <x:c r="A2010" s="5" t="str">
        <x:v>D06</x:v>
      </x:c>
      <x:c r="B2010" s="5" t="str">
        <x:v>D06-T01</x:v>
      </x:c>
      <x:c r="C2010" s="5" t="str">
        <x:v>5. Complete Company Financial Table (135 Facilities Analyzed)</x:v>
      </x:c>
      <x:c r="D2010" s="5" t="n">
        <x:v>276</x:v>
      </x:c>
      <x:c r="E2010" s="5" t="n">
        <x:v>7</x:v>
      </x:c>
      <x:c r="F2010" s="5" t="str">
        <x:v>Currency</x:v>
      </x:c>
      <x:c r="G2010" s="5" t="n">
        <x:v>1</x:v>
      </x:c>
      <x:c r="H2010" s="5" t="n">
        <x:v>1</x:v>
      </x:c>
      <x:c r="I2010" s="5" t="str">
        <x:v>SEK</x:v>
      </x:c>
      <x:c r="J2010" s="5" t="str">
        <x:v>SOURCE QUOTE; unvalidated / superseded assessments</x:v>
      </x:c>
      <x:c r="L2010" s="31" t="str">
        <x:v>D06, Markdown line 276; http://nas-1.tail55d152.ts.net:4100/static/MEDICAL_NORDICS_FINANCIALS_DOSSIER.html</x:v>
      </x:c>
    </x:row>
    <x:row r="2011" ht="42" customHeight="1">
      <x:c r="A2011" s="5" t="str">
        <x:v>D06</x:v>
      </x:c>
      <x:c r="B2011" s="5" t="str">
        <x:v>D06-T01</x:v>
      </x:c>
      <x:c r="C2011" s="5" t="str">
        <x:v>5. Complete Company Financial Table (135 Facilities Analyzed)</x:v>
      </x:c>
      <x:c r="D2011" s="5" t="n">
        <x:v>276</x:v>
      </x:c>
      <x:c r="E2011" s="5" t="n">
        <x:v>8</x:v>
      </x:c>
      <x:c r="F2011" s="5" t="str">
        <x:v>Fiscal Year</x:v>
      </x:c>
      <x:c r="G2011" s="5" t="n">
        <x:v>1</x:v>
      </x:c>
      <x:c r="H2011" s="5" t="n">
        <x:v>1</x:v>
      </x:c>
      <x:c r="I2011" s="5" t="str">
        <x:v>FY2023/24</x:v>
      </x:c>
      <x:c r="J2011" s="5" t="str">
        <x:v>SOURCE QUOTE; unvalidated / superseded assessments</x:v>
      </x:c>
      <x:c r="L2011" s="31" t="str">
        <x:v>D06, Markdown line 276; http://nas-1.tail55d152.ts.net:4100/static/MEDICAL_NORDICS_FINANCIALS_DOSSIER.html</x:v>
      </x:c>
    </x:row>
    <x:row r="2012" ht="42" customHeight="1">
      <x:c r="A2012" s="5" t="str">
        <x:v>D06</x:v>
      </x:c>
      <x:c r="B2012" s="5" t="str">
        <x:v>D06-T01</x:v>
      </x:c>
      <x:c r="C2012" s="5" t="str">
        <x:v>5. Complete Company Financial Table (135 Facilities Analyzed)</x:v>
      </x:c>
      <x:c r="D2012" s="5" t="n">
        <x:v>276</x:v>
      </x:c>
      <x:c r="E2012" s="5" t="n">
        <x:v>9</x:v>
      </x:c>
      <x:c r="F2012" s="5" t="str">
        <x:v>Status / Ownership / Strategic Service Alignment</x:v>
      </x:c>
      <x:c r="G2012" s="5" t="n">
        <x:v>1</x:v>
      </x:c>
      <x:c r="H2012" s="5" t="n">
        <x:v>1</x:v>
      </x:c>
      <x:c r="I2012" s="5" t="str">
        <x:v>Listed (Nasdaq: IMMU); Package B (AML cancer survival clinical trial data analytics)</x:v>
      </x:c>
      <x:c r="J2012" s="5" t="str">
        <x:v>SOURCE QUOTE; unvalidated / superseded assessments</x:v>
      </x:c>
      <x:c r="L2012" s="31" t="str">
        <x:v>D06, Markdown line 276; http://nas-1.tail55d152.ts.net:4100/static/MEDICAL_NORDICS_FINANCIALS_DOSSIER.html</x:v>
      </x:c>
    </x:row>
    <x:row r="2013" ht="42" customHeight="1">
      <x:c r="A2013" s="5" t="str">
        <x:v>D06</x:v>
      </x:c>
      <x:c r="B2013" s="5" t="str">
        <x:v>D06-T01</x:v>
      </x:c>
      <x:c r="C2013" s="5" t="str">
        <x:v>5. Complete Company Financial Table (135 Facilities Analyzed)</x:v>
      </x:c>
      <x:c r="D2013" s="5" t="n">
        <x:v>277</x:v>
      </x:c>
      <x:c r="E2013" s="5" t="n">
        <x:v>1</x:v>
      </x:c>
      <x:c r="F2013" s="5" t="str">
        <x:v>#</x:v>
      </x:c>
      <x:c r="G2013" s="5" t="n">
        <x:v>1</x:v>
      </x:c>
      <x:c r="H2013" s="5" t="n">
        <x:v>1</x:v>
      </x:c>
      <x:c r="I2013" s="5" t="str">
        <x:v>96</x:v>
      </x:c>
      <x:c r="J2013" s="5" t="str">
        <x:v>SOURCE QUOTE; unvalidated / superseded assessments</x:v>
      </x:c>
      <x:c r="L2013" s="31" t="str">
        <x:v>D06, Markdown line 277; http://nas-1.tail55d152.ts.net:4100/static/MEDICAL_NORDICS_FINANCIALS_DOSSIER.html</x:v>
      </x:c>
    </x:row>
    <x:row r="2014" ht="42" customHeight="1">
      <x:c r="A2014" s="5" t="str">
        <x:v>D06</x:v>
      </x:c>
      <x:c r="B2014" s="5" t="str">
        <x:v>D06-T01</x:v>
      </x:c>
      <x:c r="C2014" s="5" t="str">
        <x:v>5. Complete Company Financial Table (135 Facilities Analyzed)</x:v>
      </x:c>
      <x:c r="D2014" s="5" t="n">
        <x:v>277</x:v>
      </x:c>
      <x:c r="E2014" s="5" t="n">
        <x:v>2</x:v>
      </x:c>
      <x:c r="F2014" s="5" t="str">
        <x:v>Company</x:v>
      </x:c>
      <x:c r="G2014" s="5" t="n">
        <x:v>1</x:v>
      </x:c>
      <x:c r="H2014" s="5" t="n">
        <x:v>1</x:v>
      </x:c>
      <x:c r="I2014" s="5" t="str">
        <x:v>Menten AI</x:v>
      </x:c>
      <x:c r="J2014" s="5" t="str">
        <x:v>SOURCE QUOTE; unvalidated / superseded assessments</x:v>
      </x:c>
      <x:c r="L2014" s="31" t="str">
        <x:v>D06, Markdown line 277; http://nas-1.tail55d152.ts.net:4100/static/MEDICAL_NORDICS_FINANCIALS_DOSSIER.html</x:v>
      </x:c>
    </x:row>
    <x:row r="2015" ht="42" customHeight="1">
      <x:c r="A2015" s="5" t="str">
        <x:v>D06</x:v>
      </x:c>
      <x:c r="B2015" s="5" t="str">
        <x:v>D06-T01</x:v>
      </x:c>
      <x:c r="C2015" s="5" t="str">
        <x:v>5. Complete Company Financial Table (135 Facilities Analyzed)</x:v>
      </x:c>
      <x:c r="D2015" s="5" t="n">
        <x:v>277</x:v>
      </x:c>
      <x:c r="E2015" s="5" t="n">
        <x:v>3</x:v>
      </x:c>
      <x:c r="F2015" s="5" t="str">
        <x:v>Location</x:v>
      </x:c>
      <x:c r="G2015" s="5" t="n">
        <x:v>1</x:v>
      </x:c>
      <x:c r="H2015" s="5" t="n">
        <x:v>1</x:v>
      </x:c>
      <x:c r="I2015" s="5" t="str">
        <x:v>Stockholm, Sweden</x:v>
      </x:c>
      <x:c r="J2015" s="5" t="str">
        <x:v>SOURCE QUOTE; unvalidated / superseded assessments</x:v>
      </x:c>
      <x:c r="L2015" s="31" t="str">
        <x:v>D06, Markdown line 277; http://nas-1.tail55d152.ts.net:4100/static/MEDICAL_NORDICS_FINANCIALS_DOSSIER.html</x:v>
      </x:c>
    </x:row>
    <x:row r="2016" ht="42" customHeight="1">
      <x:c r="A2016" s="5" t="str">
        <x:v>D06</x:v>
      </x:c>
      <x:c r="B2016" s="5" t="str">
        <x:v>D06-T01</x:v>
      </x:c>
      <x:c r="C2016" s="5" t="str">
        <x:v>5. Complete Company Financial Table (135 Facilities Analyzed)</x:v>
      </x:c>
      <x:c r="D2016" s="5" t="n">
        <x:v>277</x:v>
      </x:c>
      <x:c r="E2016" s="5" t="n">
        <x:v>4</x:v>
      </x:c>
      <x:c r="F2016" s="5" t="str">
        <x:v>Focus Area</x:v>
      </x:c>
      <x:c r="G2016" s="5" t="n">
        <x:v>1</x:v>
      </x:c>
      <x:c r="H2016" s="5" t="n">
        <x:v>1</x:v>
      </x:c>
      <x:c r="I2016" s="5" t="str">
        <x:v>Quantum AI Generative Peptide Design</x:v>
      </x:c>
      <x:c r="J2016" s="5" t="str">
        <x:v>SOURCE QUOTE; unvalidated / superseded assessments</x:v>
      </x:c>
      <x:c r="L2016" s="31" t="str">
        <x:v>D06, Markdown line 277; http://nas-1.tail55d152.ts.net:4100/static/MEDICAL_NORDICS_FINANCIALS_DOSSIER.html</x:v>
      </x:c>
    </x:row>
    <x:row r="2017" ht="42" customHeight="1">
      <x:c r="A2017" s="5" t="str">
        <x:v>D06</x:v>
      </x:c>
      <x:c r="B2017" s="5" t="str">
        <x:v>D06-T01</x:v>
      </x:c>
      <x:c r="C2017" s="5" t="str">
        <x:v>5. Complete Company Financial Table (135 Facilities Analyzed)</x:v>
      </x:c>
      <x:c r="D2017" s="5" t="n">
        <x:v>277</x:v>
      </x:c>
      <x:c r="E2017" s="5" t="n">
        <x:v>5</x:v>
      </x:c>
      <x:c r="F2017" s="5" t="str">
        <x:v>Revenue / Net Sales</x:v>
      </x:c>
      <x:c r="G2017" s="5" t="n">
        <x:v>1</x:v>
      </x:c>
      <x:c r="H2017" s="5" t="n">
        <x:v>1</x:v>
      </x:c>
      <x:c r="I2017" s="5" t="str">
        <x:v>USD 2.0M est.</x:v>
      </x:c>
      <x:c r="J2017" s="5" t="str">
        <x:v>SOURCE QUOTE; unvalidated / superseded assessments</x:v>
      </x:c>
      <x:c r="L2017" s="31" t="str">
        <x:v>D06, Markdown line 277; http://nas-1.tail55d152.ts.net:4100/static/MEDICAL_NORDICS_FINANCIALS_DOSSIER.html</x:v>
      </x:c>
    </x:row>
    <x:row r="2018" ht="42" customHeight="1">
      <x:c r="A2018" s="5" t="str">
        <x:v>D06</x:v>
      </x:c>
      <x:c r="B2018" s="5" t="str">
        <x:v>D06-T01</x:v>
      </x:c>
      <x:c r="C2018" s="5" t="str">
        <x:v>5. Complete Company Financial Table (135 Facilities Analyzed)</x:v>
      </x:c>
      <x:c r="D2018" s="5" t="n">
        <x:v>277</x:v>
      </x:c>
      <x:c r="E2018" s="5" t="n">
        <x:v>6</x:v>
      </x:c>
      <x:c r="F2018" s="5" t="str">
        <x:v>R&amp;D Spend</x:v>
      </x:c>
      <x:c r="G2018" s="5" t="n">
        <x:v>1</x:v>
      </x:c>
      <x:c r="H2018" s="5" t="n">
        <x:v>1</x:v>
      </x:c>
      <x:c r="I2018" s="5" t="str">
        <x:v>USD 7.5M</x:v>
      </x:c>
      <x:c r="J2018" s="5" t="str">
        <x:v>SOURCE QUOTE; unvalidated / superseded assessments</x:v>
      </x:c>
      <x:c r="L2018" s="31" t="str">
        <x:v>D06, Markdown line 277; http://nas-1.tail55d152.ts.net:4100/static/MEDICAL_NORDICS_FINANCIALS_DOSSIER.html</x:v>
      </x:c>
    </x:row>
    <x:row r="2019" ht="42" customHeight="1">
      <x:c r="A2019" s="5" t="str">
        <x:v>D06</x:v>
      </x:c>
      <x:c r="B2019" s="5" t="str">
        <x:v>D06-T01</x:v>
      </x:c>
      <x:c r="C2019" s="5" t="str">
        <x:v>5. Complete Company Financial Table (135 Facilities Analyzed)</x:v>
      </x:c>
      <x:c r="D2019" s="5" t="n">
        <x:v>277</x:v>
      </x:c>
      <x:c r="E2019" s="5" t="n">
        <x:v>7</x:v>
      </x:c>
      <x:c r="F2019" s="5" t="str">
        <x:v>Currency</x:v>
      </x:c>
      <x:c r="G2019" s="5" t="n">
        <x:v>1</x:v>
      </x:c>
      <x:c r="H2019" s="5" t="n">
        <x:v>1</x:v>
      </x:c>
      <x:c r="I2019" s="5" t="str">
        <x:v>USD</x:v>
      </x:c>
      <x:c r="J2019" s="5" t="str">
        <x:v>SOURCE QUOTE; unvalidated / superseded assessments</x:v>
      </x:c>
      <x:c r="L2019" s="31" t="str">
        <x:v>D06, Markdown line 277; http://nas-1.tail55d152.ts.net:4100/static/MEDICAL_NORDICS_FINANCIALS_DOSSIER.html</x:v>
      </x:c>
    </x:row>
    <x:row r="2020" ht="42" customHeight="1">
      <x:c r="A2020" s="5" t="str">
        <x:v>D06</x:v>
      </x:c>
      <x:c r="B2020" s="5" t="str">
        <x:v>D06-T01</x:v>
      </x:c>
      <x:c r="C2020" s="5" t="str">
        <x:v>5. Complete Company Financial Table (135 Facilities Analyzed)</x:v>
      </x:c>
      <x:c r="D2020" s="5" t="n">
        <x:v>277</x:v>
      </x:c>
      <x:c r="E2020" s="5" t="n">
        <x:v>8</x:v>
      </x:c>
      <x:c r="F2020" s="5" t="str">
        <x:v>Fiscal Year</x:v>
      </x:c>
      <x:c r="G2020" s="5" t="n">
        <x:v>1</x:v>
      </x:c>
      <x:c r="H2020" s="5" t="n">
        <x:v>1</x:v>
      </x:c>
      <x:c r="I2020" s="5" t="str">
        <x:v>FY2023/24</x:v>
      </x:c>
      <x:c r="J2020" s="5" t="str">
        <x:v>SOURCE QUOTE; unvalidated / superseded assessments</x:v>
      </x:c>
      <x:c r="L2020" s="31" t="str">
        <x:v>D06, Markdown line 277; http://nas-1.tail55d152.ts.net:4100/static/MEDICAL_NORDICS_FINANCIALS_DOSSIER.html</x:v>
      </x:c>
    </x:row>
    <x:row r="2021" ht="42" customHeight="1">
      <x:c r="A2021" s="5" t="str">
        <x:v>D06</x:v>
      </x:c>
      <x:c r="B2021" s="5" t="str">
        <x:v>D06-T01</x:v>
      </x:c>
      <x:c r="C2021" s="5" t="str">
        <x:v>5. Complete Company Financial Table (135 Facilities Analyzed)</x:v>
      </x:c>
      <x:c r="D2021" s="5" t="n">
        <x:v>277</x:v>
      </x:c>
      <x:c r="E2021" s="5" t="n">
        <x:v>9</x:v>
      </x:c>
      <x:c r="F2021" s="5" t="str">
        <x:v>Status / Ownership / Strategic Service Alignment</x:v>
      </x:c>
      <x:c r="G2021" s="5" t="n">
        <x:v>1</x:v>
      </x:c>
      <x:c r="H2021" s="5" t="n">
        <x:v>1</x:v>
      </x:c>
      <x:c r="I2021" s="5" t="str">
        <x:v>Private AI platform; Package E (Algorithmic reproducibility &amp; pharma IP documentation)</x:v>
      </x:c>
      <x:c r="J2021" s="5" t="str">
        <x:v>SOURCE QUOTE; unvalidated / superseded assessments</x:v>
      </x:c>
      <x:c r="L2021" s="31" t="str">
        <x:v>D06, Markdown line 277; http://nas-1.tail55d152.ts.net:4100/static/MEDICAL_NORDICS_FINANCIALS_DOSSIER.html</x:v>
      </x:c>
    </x:row>
    <x:row r="2022" ht="42" customHeight="1">
      <x:c r="A2022" s="5" t="str">
        <x:v>D06</x:v>
      </x:c>
      <x:c r="B2022" s="5" t="str">
        <x:v>D06-T01</x:v>
      </x:c>
      <x:c r="C2022" s="5" t="str">
        <x:v>5. Complete Company Financial Table (135 Facilities Analyzed)</x:v>
      </x:c>
      <x:c r="D2022" s="5" t="n">
        <x:v>278</x:v>
      </x:c>
      <x:c r="E2022" s="5" t="n">
        <x:v>1</x:v>
      </x:c>
      <x:c r="F2022" s="5" t="str">
        <x:v>#</x:v>
      </x:c>
      <x:c r="G2022" s="5" t="n">
        <x:v>1</x:v>
      </x:c>
      <x:c r="H2022" s="5" t="n">
        <x:v>1</x:v>
      </x:c>
      <x:c r="I2022" s="5" t="str">
        <x:v>97</x:v>
      </x:c>
      <x:c r="J2022" s="5" t="str">
        <x:v>SOURCE QUOTE; unvalidated / superseded assessments</x:v>
      </x:c>
      <x:c r="L2022" s="31" t="str">
        <x:v>D06, Markdown line 278; http://nas-1.tail55d152.ts.net:4100/static/MEDICAL_NORDICS_FINANCIALS_DOSSIER.html</x:v>
      </x:c>
    </x:row>
    <x:row r="2023" ht="42" customHeight="1">
      <x:c r="A2023" s="5" t="str">
        <x:v>D06</x:v>
      </x:c>
      <x:c r="B2023" s="5" t="str">
        <x:v>D06-T01</x:v>
      </x:c>
      <x:c r="C2023" s="5" t="str">
        <x:v>5. Complete Company Financial Table (135 Facilities Analyzed)</x:v>
      </x:c>
      <x:c r="D2023" s="5" t="n">
        <x:v>278</x:v>
      </x:c>
      <x:c r="E2023" s="5" t="n">
        <x:v>2</x:v>
      </x:c>
      <x:c r="F2023" s="5" t="str">
        <x:v>Company</x:v>
      </x:c>
      <x:c r="G2023" s="5" t="n">
        <x:v>1</x:v>
      </x:c>
      <x:c r="H2023" s="5" t="n">
        <x:v>1</x:v>
      </x:c>
      <x:c r="I2023" s="5" t="str">
        <x:v>Modus Therapeutics</x:v>
      </x:c>
      <x:c r="J2023" s="5" t="str">
        <x:v>SOURCE QUOTE; unvalidated / superseded assessments</x:v>
      </x:c>
      <x:c r="L2023" s="31" t="str">
        <x:v>D06, Markdown line 278; http://nas-1.tail55d152.ts.net:4100/static/MEDICAL_NORDICS_FINANCIALS_DOSSIER.html</x:v>
      </x:c>
    </x:row>
    <x:row r="2024" ht="42" customHeight="1">
      <x:c r="A2024" s="5" t="str">
        <x:v>D06</x:v>
      </x:c>
      <x:c r="B2024" s="5" t="str">
        <x:v>D06-T01</x:v>
      </x:c>
      <x:c r="C2024" s="5" t="str">
        <x:v>5. Complete Company Financial Table (135 Facilities Analyzed)</x:v>
      </x:c>
      <x:c r="D2024" s="5" t="n">
        <x:v>278</x:v>
      </x:c>
      <x:c r="E2024" s="5" t="n">
        <x:v>3</x:v>
      </x:c>
      <x:c r="F2024" s="5" t="str">
        <x:v>Location</x:v>
      </x:c>
      <x:c r="G2024" s="5" t="n">
        <x:v>1</x:v>
      </x:c>
      <x:c r="H2024" s="5" t="n">
        <x:v>1</x:v>
      </x:c>
      <x:c r="I2024" s="5" t="str">
        <x:v>Stockholm, Sweden</x:v>
      </x:c>
      <x:c r="J2024" s="5" t="str">
        <x:v>SOURCE QUOTE; unvalidated / superseded assessments</x:v>
      </x:c>
      <x:c r="L2024" s="31" t="str">
        <x:v>D06, Markdown line 278; http://nas-1.tail55d152.ts.net:4100/static/MEDICAL_NORDICS_FINANCIALS_DOSSIER.html</x:v>
      </x:c>
    </x:row>
    <x:row r="2025" ht="42" customHeight="1">
      <x:c r="A2025" s="5" t="str">
        <x:v>D06</x:v>
      </x:c>
      <x:c r="B2025" s="5" t="str">
        <x:v>D06-T01</x:v>
      </x:c>
      <x:c r="C2025" s="5" t="str">
        <x:v>5. Complete Company Financial Table (135 Facilities Analyzed)</x:v>
      </x:c>
      <x:c r="D2025" s="5" t="n">
        <x:v>278</x:v>
      </x:c>
      <x:c r="E2025" s="5" t="n">
        <x:v>4</x:v>
      </x:c>
      <x:c r="F2025" s="5" t="str">
        <x:v>Focus Area</x:v>
      </x:c>
      <x:c r="G2025" s="5" t="n">
        <x:v>1</x:v>
      </x:c>
      <x:c r="H2025" s="5" t="n">
        <x:v>1</x:v>
      </x:c>
      <x:c r="I2025" s="5" t="str">
        <x:v>Sevuparin Heparin for Sepsis</x:v>
      </x:c>
      <x:c r="J2025" s="5" t="str">
        <x:v>SOURCE QUOTE; unvalidated / superseded assessments</x:v>
      </x:c>
      <x:c r="L2025" s="31" t="str">
        <x:v>D06, Markdown line 278; http://nas-1.tail55d152.ts.net:4100/static/MEDICAL_NORDICS_FINANCIALS_DOSSIER.html</x:v>
      </x:c>
    </x:row>
    <x:row r="2026" ht="42" customHeight="1">
      <x:c r="A2026" s="5" t="str">
        <x:v>D06</x:v>
      </x:c>
      <x:c r="B2026" s="5" t="str">
        <x:v>D06-T01</x:v>
      </x:c>
      <x:c r="C2026" s="5" t="str">
        <x:v>5. Complete Company Financial Table (135 Facilities Analyzed)</x:v>
      </x:c>
      <x:c r="D2026" s="5" t="n">
        <x:v>278</x:v>
      </x:c>
      <x:c r="E2026" s="5" t="n">
        <x:v>5</x:v>
      </x:c>
      <x:c r="F2026" s="5" t="str">
        <x:v>Revenue / Net Sales</x:v>
      </x:c>
      <x:c r="G2026" s="5" t="n">
        <x:v>1</x:v>
      </x:c>
      <x:c r="H2026" s="5" t="n">
        <x:v>1</x:v>
      </x:c>
      <x:c r="I2026" s="5" t="str">
        <x:v>SEK 0M (Clinical stage)</x:v>
      </x:c>
      <x:c r="J2026" s="5" t="str">
        <x:v>SOURCE QUOTE; unvalidated / superseded assessments</x:v>
      </x:c>
      <x:c r="L2026" s="31" t="str">
        <x:v>D06, Markdown line 278; http://nas-1.tail55d152.ts.net:4100/static/MEDICAL_NORDICS_FINANCIALS_DOSSIER.html</x:v>
      </x:c>
    </x:row>
    <x:row r="2027" ht="42" customHeight="1">
      <x:c r="A2027" s="5" t="str">
        <x:v>D06</x:v>
      </x:c>
      <x:c r="B2027" s="5" t="str">
        <x:v>D06-T01</x:v>
      </x:c>
      <x:c r="C2027" s="5" t="str">
        <x:v>5. Complete Company Financial Table (135 Facilities Analyzed)</x:v>
      </x:c>
      <x:c r="D2027" s="5" t="n">
        <x:v>278</x:v>
      </x:c>
      <x:c r="E2027" s="5" t="n">
        <x:v>6</x:v>
      </x:c>
      <x:c r="F2027" s="5" t="str">
        <x:v>R&amp;D Spend</x:v>
      </x:c>
      <x:c r="G2027" s="5" t="n">
        <x:v>1</x:v>
      </x:c>
      <x:c r="H2027" s="5" t="n">
        <x:v>1</x:v>
      </x:c>
      <x:c r="I2027" s="5" t="str">
        <x:v>SEK 24.6M</x:v>
      </x:c>
      <x:c r="J2027" s="5" t="str">
        <x:v>SOURCE QUOTE; unvalidated / superseded assessments</x:v>
      </x:c>
      <x:c r="L2027" s="31" t="str">
        <x:v>D06, Markdown line 278; http://nas-1.tail55d152.ts.net:4100/static/MEDICAL_NORDICS_FINANCIALS_DOSSIER.html</x:v>
      </x:c>
    </x:row>
    <x:row r="2028" ht="42" customHeight="1">
      <x:c r="A2028" s="5" t="str">
        <x:v>D06</x:v>
      </x:c>
      <x:c r="B2028" s="5" t="str">
        <x:v>D06-T01</x:v>
      </x:c>
      <x:c r="C2028" s="5" t="str">
        <x:v>5. Complete Company Financial Table (135 Facilities Analyzed)</x:v>
      </x:c>
      <x:c r="D2028" s="5" t="n">
        <x:v>278</x:v>
      </x:c>
      <x:c r="E2028" s="5" t="n">
        <x:v>7</x:v>
      </x:c>
      <x:c r="F2028" s="5" t="str">
        <x:v>Currency</x:v>
      </x:c>
      <x:c r="G2028" s="5" t="n">
        <x:v>1</x:v>
      </x:c>
      <x:c r="H2028" s="5" t="n">
        <x:v>1</x:v>
      </x:c>
      <x:c r="I2028" s="5" t="str">
        <x:v>SEK</x:v>
      </x:c>
      <x:c r="J2028" s="5" t="str">
        <x:v>SOURCE QUOTE; unvalidated / superseded assessments</x:v>
      </x:c>
      <x:c r="L2028" s="31" t="str">
        <x:v>D06, Markdown line 278; http://nas-1.tail55d152.ts.net:4100/static/MEDICAL_NORDICS_FINANCIALS_DOSSIER.html</x:v>
      </x:c>
    </x:row>
    <x:row r="2029" ht="42" customHeight="1">
      <x:c r="A2029" s="5" t="str">
        <x:v>D06</x:v>
      </x:c>
      <x:c r="B2029" s="5" t="str">
        <x:v>D06-T01</x:v>
      </x:c>
      <x:c r="C2029" s="5" t="str">
        <x:v>5. Complete Company Financial Table (135 Facilities Analyzed)</x:v>
      </x:c>
      <x:c r="D2029" s="5" t="n">
        <x:v>278</x:v>
      </x:c>
      <x:c r="E2029" s="5" t="n">
        <x:v>8</x:v>
      </x:c>
      <x:c r="F2029" s="5" t="str">
        <x:v>Fiscal Year</x:v>
      </x:c>
      <x:c r="G2029" s="5" t="n">
        <x:v>1</x:v>
      </x:c>
      <x:c r="H2029" s="5" t="n">
        <x:v>1</x:v>
      </x:c>
      <x:c r="I2029" s="5" t="str">
        <x:v>FY2023/24</x:v>
      </x:c>
      <x:c r="J2029" s="5" t="str">
        <x:v>SOURCE QUOTE; unvalidated / superseded assessments</x:v>
      </x:c>
      <x:c r="L2029" s="31" t="str">
        <x:v>D06, Markdown line 278; http://nas-1.tail55d152.ts.net:4100/static/MEDICAL_NORDICS_FINANCIALS_DOSSIER.html</x:v>
      </x:c>
    </x:row>
    <x:row r="2030" ht="42" customHeight="1">
      <x:c r="A2030" s="5" t="str">
        <x:v>D06</x:v>
      </x:c>
      <x:c r="B2030" s="5" t="str">
        <x:v>D06-T01</x:v>
      </x:c>
      <x:c r="C2030" s="5" t="str">
        <x:v>5. Complete Company Financial Table (135 Facilities Analyzed)</x:v>
      </x:c>
      <x:c r="D2030" s="5" t="n">
        <x:v>278</x:v>
      </x:c>
      <x:c r="E2030" s="5" t="n">
        <x:v>9</x:v>
      </x:c>
      <x:c r="F2030" s="5" t="str">
        <x:v>Status / Ownership / Strategic Service Alignment</x:v>
      </x:c>
      <x:c r="G2030" s="5" t="n">
        <x:v>1</x:v>
      </x:c>
      <x:c r="H2030" s="5" t="n">
        <x:v>1</x:v>
      </x:c>
      <x:c r="I2030" s="5" t="str">
        <x:v>Listed (First North: MODX); Package B (ICU sepsis trial patient accrual monitoring)</x:v>
      </x:c>
      <x:c r="J2030" s="5" t="str">
        <x:v>SOURCE QUOTE; unvalidated / superseded assessments</x:v>
      </x:c>
      <x:c r="L2030" s="31" t="str">
        <x:v>D06, Markdown line 278; http://nas-1.tail55d152.ts.net:4100/static/MEDICAL_NORDICS_FINANCIALS_DOSSIER.html</x:v>
      </x:c>
    </x:row>
    <x:row r="2031" ht="42" customHeight="1">
      <x:c r="A2031" s="5" t="str">
        <x:v>D06</x:v>
      </x:c>
      <x:c r="B2031" s="5" t="str">
        <x:v>D06-T01</x:v>
      </x:c>
      <x:c r="C2031" s="5" t="str">
        <x:v>5. Complete Company Financial Table (135 Facilities Analyzed)</x:v>
      </x:c>
      <x:c r="D2031" s="5" t="n">
        <x:v>279</x:v>
      </x:c>
      <x:c r="E2031" s="5" t="n">
        <x:v>1</x:v>
      </x:c>
      <x:c r="F2031" s="5" t="str">
        <x:v>#</x:v>
      </x:c>
      <x:c r="G2031" s="5" t="n">
        <x:v>1</x:v>
      </x:c>
      <x:c r="H2031" s="5" t="n">
        <x:v>1</x:v>
      </x:c>
      <x:c r="I2031" s="5" t="str">
        <x:v>98</x:v>
      </x:c>
      <x:c r="J2031" s="5" t="str">
        <x:v>SOURCE QUOTE; unvalidated / superseded assessments</x:v>
      </x:c>
      <x:c r="L2031" s="31" t="str">
        <x:v>D06, Markdown line 279; http://nas-1.tail55d152.ts.net:4100/static/MEDICAL_NORDICS_FINANCIALS_DOSSIER.html</x:v>
      </x:c>
    </x:row>
    <x:row r="2032" ht="42" customHeight="1">
      <x:c r="A2032" s="5" t="str">
        <x:v>D06</x:v>
      </x:c>
      <x:c r="B2032" s="5" t="str">
        <x:v>D06-T01</x:v>
      </x:c>
      <x:c r="C2032" s="5" t="str">
        <x:v>5. Complete Company Financial Table (135 Facilities Analyzed)</x:v>
      </x:c>
      <x:c r="D2032" s="5" t="n">
        <x:v>279</x:v>
      </x:c>
      <x:c r="E2032" s="5" t="n">
        <x:v>2</x:v>
      </x:c>
      <x:c r="F2032" s="5" t="str">
        <x:v>Company</x:v>
      </x:c>
      <x:c r="G2032" s="5" t="n">
        <x:v>1</x:v>
      </x:c>
      <x:c r="H2032" s="5" t="n">
        <x:v>1</x:v>
      </x:c>
      <x:c r="I2032" s="5" t="str">
        <x:v>Neogap Therapeutics</x:v>
      </x:c>
      <x:c r="J2032" s="5" t="str">
        <x:v>SOURCE QUOTE; unvalidated / superseded assessments</x:v>
      </x:c>
      <x:c r="L2032" s="31" t="str">
        <x:v>D06, Markdown line 279; http://nas-1.tail55d152.ts.net:4100/static/MEDICAL_NORDICS_FINANCIALS_DOSSIER.html</x:v>
      </x:c>
    </x:row>
    <x:row r="2033" ht="42" customHeight="1">
      <x:c r="A2033" s="5" t="str">
        <x:v>D06</x:v>
      </x:c>
      <x:c r="B2033" s="5" t="str">
        <x:v>D06-T01</x:v>
      </x:c>
      <x:c r="C2033" s="5" t="str">
        <x:v>5. Complete Company Financial Table (135 Facilities Analyzed)</x:v>
      </x:c>
      <x:c r="D2033" s="5" t="n">
        <x:v>279</x:v>
      </x:c>
      <x:c r="E2033" s="5" t="n">
        <x:v>3</x:v>
      </x:c>
      <x:c r="F2033" s="5" t="str">
        <x:v>Location</x:v>
      </x:c>
      <x:c r="G2033" s="5" t="n">
        <x:v>1</x:v>
      </x:c>
      <x:c r="H2033" s="5" t="n">
        <x:v>1</x:v>
      </x:c>
      <x:c r="I2033" s="5" t="str">
        <x:v>Stockholm, Sweden</x:v>
      </x:c>
      <x:c r="J2033" s="5" t="str">
        <x:v>SOURCE QUOTE; unvalidated / superseded assessments</x:v>
      </x:c>
      <x:c r="L2033" s="31" t="str">
        <x:v>D06, Markdown line 279; http://nas-1.tail55d152.ts.net:4100/static/MEDICAL_NORDICS_FINANCIALS_DOSSIER.html</x:v>
      </x:c>
    </x:row>
    <x:row r="2034" ht="42" customHeight="1">
      <x:c r="A2034" s="5" t="str">
        <x:v>D06</x:v>
      </x:c>
      <x:c r="B2034" s="5" t="str">
        <x:v>D06-T01</x:v>
      </x:c>
      <x:c r="C2034" s="5" t="str">
        <x:v>5. Complete Company Financial Table (135 Facilities Analyzed)</x:v>
      </x:c>
      <x:c r="D2034" s="5" t="n">
        <x:v>279</x:v>
      </x:c>
      <x:c r="E2034" s="5" t="n">
        <x:v>4</x:v>
      </x:c>
      <x:c r="F2034" s="5" t="str">
        <x:v>Focus Area</x:v>
      </x:c>
      <x:c r="G2034" s="5" t="n">
        <x:v>1</x:v>
      </x:c>
      <x:c r="H2034" s="5" t="n">
        <x:v>1</x:v>
      </x:c>
      <x:c r="I2034" s="5" t="str">
        <x:v>Personalized Epi-TCR Tumor Therapy</x:v>
      </x:c>
      <x:c r="J2034" s="5" t="str">
        <x:v>SOURCE QUOTE; unvalidated / superseded assessments</x:v>
      </x:c>
      <x:c r="L2034" s="31" t="str">
        <x:v>D06, Markdown line 279; http://nas-1.tail55d152.ts.net:4100/static/MEDICAL_NORDICS_FINANCIALS_DOSSIER.html</x:v>
      </x:c>
    </x:row>
    <x:row r="2035" ht="42" customHeight="1">
      <x:c r="A2035" s="5" t="str">
        <x:v>D06</x:v>
      </x:c>
      <x:c r="B2035" s="5" t="str">
        <x:v>D06-T01</x:v>
      </x:c>
      <x:c r="C2035" s="5" t="str">
        <x:v>5. Complete Company Financial Table (135 Facilities Analyzed)</x:v>
      </x:c>
      <x:c r="D2035" s="5" t="n">
        <x:v>279</x:v>
      </x:c>
      <x:c r="E2035" s="5" t="n">
        <x:v>5</x:v>
      </x:c>
      <x:c r="F2035" s="5" t="str">
        <x:v>Revenue / Net Sales</x:v>
      </x:c>
      <x:c r="G2035" s="5" t="n">
        <x:v>1</x:v>
      </x:c>
      <x:c r="H2035" s="5" t="n">
        <x:v>1</x:v>
      </x:c>
      <x:c r="I2035" s="5" t="str">
        <x:v>SEK 0M (Clinical stage)</x:v>
      </x:c>
      <x:c r="J2035" s="5" t="str">
        <x:v>SOURCE QUOTE; unvalidated / superseded assessments</x:v>
      </x:c>
      <x:c r="L2035" s="31" t="str">
        <x:v>D06, Markdown line 279; http://nas-1.tail55d152.ts.net:4100/static/MEDICAL_NORDICS_FINANCIALS_DOSSIER.html</x:v>
      </x:c>
    </x:row>
    <x:row r="2036" ht="42" customHeight="1">
      <x:c r="A2036" s="5" t="str">
        <x:v>D06</x:v>
      </x:c>
      <x:c r="B2036" s="5" t="str">
        <x:v>D06-T01</x:v>
      </x:c>
      <x:c r="C2036" s="5" t="str">
        <x:v>5. Complete Company Financial Table (135 Facilities Analyzed)</x:v>
      </x:c>
      <x:c r="D2036" s="5" t="n">
        <x:v>279</x:v>
      </x:c>
      <x:c r="E2036" s="5" t="n">
        <x:v>6</x:v>
      </x:c>
      <x:c r="F2036" s="5" t="str">
        <x:v>R&amp;D Spend</x:v>
      </x:c>
      <x:c r="G2036" s="5" t="n">
        <x:v>1</x:v>
      </x:c>
      <x:c r="H2036" s="5" t="n">
        <x:v>1</x:v>
      </x:c>
      <x:c r="I2036" s="5" t="str">
        <x:v>SEK 42.0M</x:v>
      </x:c>
      <x:c r="J2036" s="5" t="str">
        <x:v>SOURCE QUOTE; unvalidated / superseded assessments</x:v>
      </x:c>
      <x:c r="L2036" s="31" t="str">
        <x:v>D06, Markdown line 279; http://nas-1.tail55d152.ts.net:4100/static/MEDICAL_NORDICS_FINANCIALS_DOSSIER.html</x:v>
      </x:c>
    </x:row>
    <x:row r="2037" ht="42" customHeight="1">
      <x:c r="A2037" s="5" t="str">
        <x:v>D06</x:v>
      </x:c>
      <x:c r="B2037" s="5" t="str">
        <x:v>D06-T01</x:v>
      </x:c>
      <x:c r="C2037" s="5" t="str">
        <x:v>5. Complete Company Financial Table (135 Facilities Analyzed)</x:v>
      </x:c>
      <x:c r="D2037" s="5" t="n">
        <x:v>279</x:v>
      </x:c>
      <x:c r="E2037" s="5" t="n">
        <x:v>7</x:v>
      </x:c>
      <x:c r="F2037" s="5" t="str">
        <x:v>Currency</x:v>
      </x:c>
      <x:c r="G2037" s="5" t="n">
        <x:v>1</x:v>
      </x:c>
      <x:c r="H2037" s="5" t="n">
        <x:v>1</x:v>
      </x:c>
      <x:c r="I2037" s="5" t="str">
        <x:v>SEK</x:v>
      </x:c>
      <x:c r="J2037" s="5" t="str">
        <x:v>SOURCE QUOTE; unvalidated / superseded assessments</x:v>
      </x:c>
      <x:c r="L2037" s="31" t="str">
        <x:v>D06, Markdown line 279; http://nas-1.tail55d152.ts.net:4100/static/MEDICAL_NORDICS_FINANCIALS_DOSSIER.html</x:v>
      </x:c>
    </x:row>
    <x:row r="2038" ht="42" customHeight="1">
      <x:c r="A2038" s="5" t="str">
        <x:v>D06</x:v>
      </x:c>
      <x:c r="B2038" s="5" t="str">
        <x:v>D06-T01</x:v>
      </x:c>
      <x:c r="C2038" s="5" t="str">
        <x:v>5. Complete Company Financial Table (135 Facilities Analyzed)</x:v>
      </x:c>
      <x:c r="D2038" s="5" t="n">
        <x:v>279</x:v>
      </x:c>
      <x:c r="E2038" s="5" t="n">
        <x:v>8</x:v>
      </x:c>
      <x:c r="F2038" s="5" t="str">
        <x:v>Fiscal Year</x:v>
      </x:c>
      <x:c r="G2038" s="5" t="n">
        <x:v>1</x:v>
      </x:c>
      <x:c r="H2038" s="5" t="n">
        <x:v>1</x:v>
      </x:c>
      <x:c r="I2038" s="5" t="str">
        <x:v>FY2024</x:v>
      </x:c>
      <x:c r="J2038" s="5" t="str">
        <x:v>SOURCE QUOTE; unvalidated / superseded assessments</x:v>
      </x:c>
      <x:c r="L2038" s="31" t="str">
        <x:v>D06, Markdown line 279; http://nas-1.tail55d152.ts.net:4100/static/MEDICAL_NORDICS_FINANCIALS_DOSSIER.html</x:v>
      </x:c>
    </x:row>
    <x:row r="2039" ht="42" customHeight="1">
      <x:c r="A2039" s="5" t="str">
        <x:v>D06</x:v>
      </x:c>
      <x:c r="B2039" s="5" t="str">
        <x:v>D06-T01</x:v>
      </x:c>
      <x:c r="C2039" s="5" t="str">
        <x:v>5. Complete Company Financial Table (135 Facilities Analyzed)</x:v>
      </x:c>
      <x:c r="D2039" s="5" t="n">
        <x:v>279</x:v>
      </x:c>
      <x:c r="E2039" s="5" t="n">
        <x:v>9</x:v>
      </x:c>
      <x:c r="F2039" s="5" t="str">
        <x:v>Status / Ownership / Strategic Service Alignment</x:v>
      </x:c>
      <x:c r="G2039" s="5" t="n">
        <x:v>1</x:v>
      </x:c>
      <x:c r="H2039" s="5" t="n">
        <x:v>1</x:v>
      </x:c>
      <x:c r="I2039" s="5" t="str">
        <x:v>Private (SEK 87M funding); Package B &amp; E (Personalized neoantigen algorithm verification)</x:v>
      </x:c>
      <x:c r="J2039" s="5" t="str">
        <x:v>SOURCE QUOTE; unvalidated / superseded assessments</x:v>
      </x:c>
      <x:c r="L2039" s="31" t="str">
        <x:v>D06, Markdown line 279; http://nas-1.tail55d152.ts.net:4100/static/MEDICAL_NORDICS_FINANCIALS_DOSSIER.html</x:v>
      </x:c>
    </x:row>
    <x:row r="2040" ht="42" customHeight="1">
      <x:c r="A2040" s="5" t="str">
        <x:v>D06</x:v>
      </x:c>
      <x:c r="B2040" s="5" t="str">
        <x:v>D06-T01</x:v>
      </x:c>
      <x:c r="C2040" s="5" t="str">
        <x:v>5. Complete Company Financial Table (135 Facilities Analyzed)</x:v>
      </x:c>
      <x:c r="D2040" s="5" t="n">
        <x:v>280</x:v>
      </x:c>
      <x:c r="E2040" s="5" t="n">
        <x:v>1</x:v>
      </x:c>
      <x:c r="F2040" s="5" t="str">
        <x:v>#</x:v>
      </x:c>
      <x:c r="G2040" s="5" t="n">
        <x:v>1</x:v>
      </x:c>
      <x:c r="H2040" s="5" t="n">
        <x:v>1</x:v>
      </x:c>
      <x:c r="I2040" s="5" t="str">
        <x:v>99</x:v>
      </x:c>
      <x:c r="J2040" s="5" t="str">
        <x:v>SOURCE QUOTE; unvalidated / superseded assessments</x:v>
      </x:c>
      <x:c r="L2040" s="31" t="str">
        <x:v>D06, Markdown line 280; http://nas-1.tail55d152.ts.net:4100/static/MEDICAL_NORDICS_FINANCIALS_DOSSIER.html</x:v>
      </x:c>
    </x:row>
    <x:row r="2041" ht="42" customHeight="1">
      <x:c r="A2041" s="5" t="str">
        <x:v>D06</x:v>
      </x:c>
      <x:c r="B2041" s="5" t="str">
        <x:v>D06-T01</x:v>
      </x:c>
      <x:c r="C2041" s="5" t="str">
        <x:v>5. Complete Company Financial Table (135 Facilities Analyzed)</x:v>
      </x:c>
      <x:c r="D2041" s="5" t="n">
        <x:v>280</x:v>
      </x:c>
      <x:c r="E2041" s="5" t="n">
        <x:v>2</x:v>
      </x:c>
      <x:c r="F2041" s="5" t="str">
        <x:v>Company</x:v>
      </x:c>
      <x:c r="G2041" s="5" t="n">
        <x:v>1</x:v>
      </x:c>
      <x:c r="H2041" s="5" t="n">
        <x:v>1</x:v>
      </x:c>
      <x:c r="I2041" s="5" t="str">
        <x:v>NuvoAir</x:v>
      </x:c>
      <x:c r="J2041" s="5" t="str">
        <x:v>SOURCE QUOTE; unvalidated / superseded assessments</x:v>
      </x:c>
      <x:c r="L2041" s="31" t="str">
        <x:v>D06, Markdown line 280; http://nas-1.tail55d152.ts.net:4100/static/MEDICAL_NORDICS_FINANCIALS_DOSSIER.html</x:v>
      </x:c>
    </x:row>
    <x:row r="2042" ht="42" customHeight="1">
      <x:c r="A2042" s="5" t="str">
        <x:v>D06</x:v>
      </x:c>
      <x:c r="B2042" s="5" t="str">
        <x:v>D06-T01</x:v>
      </x:c>
      <x:c r="C2042" s="5" t="str">
        <x:v>5. Complete Company Financial Table (135 Facilities Analyzed)</x:v>
      </x:c>
      <x:c r="D2042" s="5" t="n">
        <x:v>280</x:v>
      </x:c>
      <x:c r="E2042" s="5" t="n">
        <x:v>3</x:v>
      </x:c>
      <x:c r="F2042" s="5" t="str">
        <x:v>Location</x:v>
      </x:c>
      <x:c r="G2042" s="5" t="n">
        <x:v>1</x:v>
      </x:c>
      <x:c r="H2042" s="5" t="n">
        <x:v>1</x:v>
      </x:c>
      <x:c r="I2042" s="5" t="str">
        <x:v>Stockholm, Sweden</x:v>
      </x:c>
      <x:c r="J2042" s="5" t="str">
        <x:v>SOURCE QUOTE; unvalidated / superseded assessments</x:v>
      </x:c>
      <x:c r="L2042" s="31" t="str">
        <x:v>D06, Markdown line 280; http://nas-1.tail55d152.ts.net:4100/static/MEDICAL_NORDICS_FINANCIALS_DOSSIER.html</x:v>
      </x:c>
    </x:row>
    <x:row r="2043" ht="42" customHeight="1">
      <x:c r="A2043" s="5" t="str">
        <x:v>D06</x:v>
      </x:c>
      <x:c r="B2043" s="5" t="str">
        <x:v>D06-T01</x:v>
      </x:c>
      <x:c r="C2043" s="5" t="str">
        <x:v>5. Complete Company Financial Table (135 Facilities Analyzed)</x:v>
      </x:c>
      <x:c r="D2043" s="5" t="n">
        <x:v>280</x:v>
      </x:c>
      <x:c r="E2043" s="5" t="n">
        <x:v>4</x:v>
      </x:c>
      <x:c r="F2043" s="5" t="str">
        <x:v>Focus Area</x:v>
      </x:c>
      <x:c r="G2043" s="5" t="n">
        <x:v>1</x:v>
      </x:c>
      <x:c r="H2043" s="5" t="n">
        <x:v>1</x:v>
      </x:c>
      <x:c r="I2043" s="5" t="str">
        <x:v>Virtual Respiratory Clinic &amp; Spirometry</x:v>
      </x:c>
      <x:c r="J2043" s="5" t="str">
        <x:v>SOURCE QUOTE; unvalidated / superseded assessments</x:v>
      </x:c>
      <x:c r="L2043" s="31" t="str">
        <x:v>D06, Markdown line 280; http://nas-1.tail55d152.ts.net:4100/static/MEDICAL_NORDICS_FINANCIALS_DOSSIER.html</x:v>
      </x:c>
    </x:row>
    <x:row r="2044" ht="42" customHeight="1">
      <x:c r="A2044" s="5" t="str">
        <x:v>D06</x:v>
      </x:c>
      <x:c r="B2044" s="5" t="str">
        <x:v>D06-T01</x:v>
      </x:c>
      <x:c r="C2044" s="5" t="str">
        <x:v>5. Complete Company Financial Table (135 Facilities Analyzed)</x:v>
      </x:c>
      <x:c r="D2044" s="5" t="n">
        <x:v>280</x:v>
      </x:c>
      <x:c r="E2044" s="5" t="n">
        <x:v>5</x:v>
      </x:c>
      <x:c r="F2044" s="5" t="str">
        <x:v>Revenue / Net Sales</x:v>
      </x:c>
      <x:c r="G2044" s="5" t="n">
        <x:v>1</x:v>
      </x:c>
      <x:c r="H2044" s="5" t="n">
        <x:v>1</x:v>
      </x:c>
      <x:c r="I2044" s="5" t="str">
        <x:v>USD 8.5M est. (~SEK 88M)</x:v>
      </x:c>
      <x:c r="J2044" s="5" t="str">
        <x:v>SOURCE QUOTE; unvalidated / superseded assessments</x:v>
      </x:c>
      <x:c r="L2044" s="31" t="str">
        <x:v>D06, Markdown line 280; http://nas-1.tail55d152.ts.net:4100/static/MEDICAL_NORDICS_FINANCIALS_DOSSIER.html</x:v>
      </x:c>
    </x:row>
    <x:row r="2045" ht="42" customHeight="1">
      <x:c r="A2045" s="5" t="str">
        <x:v>D06</x:v>
      </x:c>
      <x:c r="B2045" s="5" t="str">
        <x:v>D06-T01</x:v>
      </x:c>
      <x:c r="C2045" s="5" t="str">
        <x:v>5. Complete Company Financial Table (135 Facilities Analyzed)</x:v>
      </x:c>
      <x:c r="D2045" s="5" t="n">
        <x:v>280</x:v>
      </x:c>
      <x:c r="E2045" s="5" t="n">
        <x:v>6</x:v>
      </x:c>
      <x:c r="F2045" s="5" t="str">
        <x:v>R&amp;D Spend</x:v>
      </x:c>
      <x:c r="G2045" s="5" t="n">
        <x:v>1</x:v>
      </x:c>
      <x:c r="H2045" s="5" t="n">
        <x:v>1</x:v>
      </x:c>
      <x:c r="I2045" s="5" t="str">
        <x:v>USD 10.2M (~SEK 106M)</x:v>
      </x:c>
      <x:c r="J2045" s="5" t="str">
        <x:v>SOURCE QUOTE; unvalidated / superseded assessments</x:v>
      </x:c>
      <x:c r="L2045" s="31" t="str">
        <x:v>D06, Markdown line 280; http://nas-1.tail55d152.ts.net:4100/static/MEDICAL_NORDICS_FINANCIALS_DOSSIER.html</x:v>
      </x:c>
    </x:row>
    <x:row r="2046" ht="42" customHeight="1">
      <x:c r="A2046" s="5" t="str">
        <x:v>D06</x:v>
      </x:c>
      <x:c r="B2046" s="5" t="str">
        <x:v>D06-T01</x:v>
      </x:c>
      <x:c r="C2046" s="5" t="str">
        <x:v>5. Complete Company Financial Table (135 Facilities Analyzed)</x:v>
      </x:c>
      <x:c r="D2046" s="5" t="n">
        <x:v>280</x:v>
      </x:c>
      <x:c r="E2046" s="5" t="n">
        <x:v>7</x:v>
      </x:c>
      <x:c r="F2046" s="5" t="str">
        <x:v>Currency</x:v>
      </x:c>
      <x:c r="G2046" s="5" t="n">
        <x:v>1</x:v>
      </x:c>
      <x:c r="H2046" s="5" t="n">
        <x:v>1</x:v>
      </x:c>
      <x:c r="I2046" s="5" t="str">
        <x:v>USD</x:v>
      </x:c>
      <x:c r="J2046" s="5" t="str">
        <x:v>SOURCE QUOTE; unvalidated / superseded assessments</x:v>
      </x:c>
      <x:c r="L2046" s="31" t="str">
        <x:v>D06, Markdown line 280; http://nas-1.tail55d152.ts.net:4100/static/MEDICAL_NORDICS_FINANCIALS_DOSSIER.html</x:v>
      </x:c>
    </x:row>
    <x:row r="2047" ht="42" customHeight="1">
      <x:c r="A2047" s="5" t="str">
        <x:v>D06</x:v>
      </x:c>
      <x:c r="B2047" s="5" t="str">
        <x:v>D06-T01</x:v>
      </x:c>
      <x:c r="C2047" s="5" t="str">
        <x:v>5. Complete Company Financial Table (135 Facilities Analyzed)</x:v>
      </x:c>
      <x:c r="D2047" s="5" t="n">
        <x:v>280</x:v>
      </x:c>
      <x:c r="E2047" s="5" t="n">
        <x:v>8</x:v>
      </x:c>
      <x:c r="F2047" s="5" t="str">
        <x:v>Fiscal Year</x:v>
      </x:c>
      <x:c r="G2047" s="5" t="n">
        <x:v>1</x:v>
      </x:c>
      <x:c r="H2047" s="5" t="n">
        <x:v>1</x:v>
      </x:c>
      <x:c r="I2047" s="5" t="str">
        <x:v>FY2023/24</x:v>
      </x:c>
      <x:c r="J2047" s="5" t="str">
        <x:v>SOURCE QUOTE; unvalidated / superseded assessments</x:v>
      </x:c>
      <x:c r="L2047" s="31" t="str">
        <x:v>D06, Markdown line 280; http://nas-1.tail55d152.ts.net:4100/static/MEDICAL_NORDICS_FINANCIALS_DOSSIER.html</x:v>
      </x:c>
    </x:row>
    <x:row r="2048" ht="42" customHeight="1">
      <x:c r="A2048" s="5" t="str">
        <x:v>D06</x:v>
      </x:c>
      <x:c r="B2048" s="5" t="str">
        <x:v>D06-T01</x:v>
      </x:c>
      <x:c r="C2048" s="5" t="str">
        <x:v>5. Complete Company Financial Table (135 Facilities Analyzed)</x:v>
      </x:c>
      <x:c r="D2048" s="5" t="n">
        <x:v>280</x:v>
      </x:c>
      <x:c r="E2048" s="5" t="n">
        <x:v>9</x:v>
      </x:c>
      <x:c r="F2048" s="5" t="str">
        <x:v>Status / Ownership / Strategic Service Alignment</x:v>
      </x:c>
      <x:c r="G2048" s="5" t="n">
        <x:v>1</x:v>
      </x:c>
      <x:c r="H2048" s="5" t="n">
        <x:v>1</x:v>
      </x:c>
      <x:c r="I2048" s="5" t="str">
        <x:v>Private ($28M funding); Package A &amp; E (Decentralized clinical trial remote monitoring DaaS)</x:v>
      </x:c>
      <x:c r="J2048" s="5" t="str">
        <x:v>SOURCE QUOTE; unvalidated / superseded assessments</x:v>
      </x:c>
      <x:c r="L2048" s="31" t="str">
        <x:v>D06, Markdown line 280; http://nas-1.tail55d152.ts.net:4100/static/MEDICAL_NORDICS_FINANCIALS_DOSSIER.html</x:v>
      </x:c>
    </x:row>
    <x:row r="2049" ht="42" customHeight="1">
      <x:c r="A2049" s="5" t="str">
        <x:v>D06</x:v>
      </x:c>
      <x:c r="B2049" s="5" t="str">
        <x:v>D06-T01</x:v>
      </x:c>
      <x:c r="C2049" s="5" t="str">
        <x:v>5. Complete Company Financial Table (135 Facilities Analyzed)</x:v>
      </x:c>
      <x:c r="D2049" s="5" t="n">
        <x:v>281</x:v>
      </x:c>
      <x:c r="E2049" s="5" t="n">
        <x:v>1</x:v>
      </x:c>
      <x:c r="F2049" s="5" t="str">
        <x:v>#</x:v>
      </x:c>
      <x:c r="G2049" s="5" t="n">
        <x:v>1</x:v>
      </x:c>
      <x:c r="H2049" s="5" t="n">
        <x:v>1</x:v>
      </x:c>
      <x:c r="I2049" s="5" t="str">
        <x:v>100</x:v>
      </x:c>
      <x:c r="J2049" s="5" t="str">
        <x:v>SOURCE QUOTE; unvalidated / superseded assessments</x:v>
      </x:c>
      <x:c r="L2049" s="31" t="str">
        <x:v>D06, Markdown line 281; http://nas-1.tail55d152.ts.net:4100/static/MEDICAL_NORDICS_FINANCIALS_DOSSIER.html</x:v>
      </x:c>
    </x:row>
    <x:row r="2050" ht="42" customHeight="1">
      <x:c r="A2050" s="5" t="str">
        <x:v>D06</x:v>
      </x:c>
      <x:c r="B2050" s="5" t="str">
        <x:v>D06-T01</x:v>
      </x:c>
      <x:c r="C2050" s="5" t="str">
        <x:v>5. Complete Company Financial Table (135 Facilities Analyzed)</x:v>
      </x:c>
      <x:c r="D2050" s="5" t="n">
        <x:v>281</x:v>
      </x:c>
      <x:c r="E2050" s="5" t="n">
        <x:v>2</x:v>
      </x:c>
      <x:c r="F2050" s="5" t="str">
        <x:v>Company</x:v>
      </x:c>
      <x:c r="G2050" s="5" t="n">
        <x:v>1</x:v>
      </x:c>
      <x:c r="H2050" s="5" t="n">
        <x:v>1</x:v>
      </x:c>
      <x:c r="I2050" s="5" t="str">
        <x:v>Octapharma</x:v>
      </x:c>
      <x:c r="J2050" s="5" t="str">
        <x:v>SOURCE QUOTE; unvalidated / superseded assessments</x:v>
      </x:c>
      <x:c r="L2050" s="31" t="str">
        <x:v>D06, Markdown line 281; http://nas-1.tail55d152.ts.net:4100/static/MEDICAL_NORDICS_FINANCIALS_DOSSIER.html</x:v>
      </x:c>
    </x:row>
    <x:row r="2051" ht="42" customHeight="1">
      <x:c r="A2051" s="5" t="str">
        <x:v>D06</x:v>
      </x:c>
      <x:c r="B2051" s="5" t="str">
        <x:v>D06-T01</x:v>
      </x:c>
      <x:c r="C2051" s="5" t="str">
        <x:v>5. Complete Company Financial Table (135 Facilities Analyzed)</x:v>
      </x:c>
      <x:c r="D2051" s="5" t="n">
        <x:v>281</x:v>
      </x:c>
      <x:c r="E2051" s="5" t="n">
        <x:v>3</x:v>
      </x:c>
      <x:c r="F2051" s="5" t="str">
        <x:v>Location</x:v>
      </x:c>
      <x:c r="G2051" s="5" t="n">
        <x:v>1</x:v>
      </x:c>
      <x:c r="H2051" s="5" t="n">
        <x:v>1</x:v>
      </x:c>
      <x:c r="I2051" s="5" t="str">
        <x:v>Stockholm, Sweden</x:v>
      </x:c>
      <x:c r="J2051" s="5" t="str">
        <x:v>SOURCE QUOTE; unvalidated / superseded assessments</x:v>
      </x:c>
      <x:c r="L2051" s="31" t="str">
        <x:v>D06, Markdown line 281; http://nas-1.tail55d152.ts.net:4100/static/MEDICAL_NORDICS_FINANCIALS_DOSSIER.html</x:v>
      </x:c>
    </x:row>
    <x:row r="2052" ht="42" customHeight="1">
      <x:c r="A2052" s="5" t="str">
        <x:v>D06</x:v>
      </x:c>
      <x:c r="B2052" s="5" t="str">
        <x:v>D06-T01</x:v>
      </x:c>
      <x:c r="C2052" s="5" t="str">
        <x:v>5. Complete Company Financial Table (135 Facilities Analyzed)</x:v>
      </x:c>
      <x:c r="D2052" s="5" t="n">
        <x:v>281</x:v>
      </x:c>
      <x:c r="E2052" s="5" t="n">
        <x:v>4</x:v>
      </x:c>
      <x:c r="F2052" s="5" t="str">
        <x:v>Focus Area</x:v>
      </x:c>
      <x:c r="G2052" s="5" t="n">
        <x:v>1</x:v>
      </x:c>
      <x:c r="H2052" s="5" t="n">
        <x:v>1</x:v>
      </x:c>
      <x:c r="I2052" s="5" t="str">
        <x:v>Plasma Fractionation &amp; Factor VIII</x:v>
      </x:c>
      <x:c r="J2052" s="5" t="str">
        <x:v>SOURCE QUOTE; unvalidated / superseded assessments</x:v>
      </x:c>
      <x:c r="L2052" s="31" t="str">
        <x:v>D06, Markdown line 281; http://nas-1.tail55d152.ts.net:4100/static/MEDICAL_NORDICS_FINANCIALS_DOSSIER.html</x:v>
      </x:c>
    </x:row>
    <x:row r="2053" ht="42" customHeight="1">
      <x:c r="A2053" s="5" t="str">
        <x:v>D06</x:v>
      </x:c>
      <x:c r="B2053" s="5" t="str">
        <x:v>D06-T01</x:v>
      </x:c>
      <x:c r="C2053" s="5" t="str">
        <x:v>5. Complete Company Financial Table (135 Facilities Analyzed)</x:v>
      </x:c>
      <x:c r="D2053" s="5" t="n">
        <x:v>281</x:v>
      </x:c>
      <x:c r="E2053" s="5" t="n">
        <x:v>5</x:v>
      </x:c>
      <x:c r="F2053" s="5" t="str">
        <x:v>Revenue / Net Sales</x:v>
      </x:c>
      <x:c r="G2053" s="5" t="n">
        <x:v>1</x:v>
      </x:c>
      <x:c r="H2053" s="5" t="n">
        <x:v>1</x:v>
      </x:c>
      <x:c r="I2053" s="5" t="str">
        <x:v>EUR 3,466.0M (Sweden ~SEK 4.6B)</x:v>
      </x:c>
      <x:c r="J2053" s="5" t="str">
        <x:v>SOURCE QUOTE; unvalidated / superseded assessments</x:v>
      </x:c>
      <x:c r="L2053" s="31" t="str">
        <x:v>D06, Markdown line 281; http://nas-1.tail55d152.ts.net:4100/static/MEDICAL_NORDICS_FINANCIALS_DOSSIER.html</x:v>
      </x:c>
    </x:row>
    <x:row r="2054" ht="42" customHeight="1">
      <x:c r="A2054" s="5" t="str">
        <x:v>D06</x:v>
      </x:c>
      <x:c r="B2054" s="5" t="str">
        <x:v>D06-T01</x:v>
      </x:c>
      <x:c r="C2054" s="5" t="str">
        <x:v>5. Complete Company Financial Table (135 Facilities Analyzed)</x:v>
      </x:c>
      <x:c r="D2054" s="5" t="n">
        <x:v>281</x:v>
      </x:c>
      <x:c r="E2054" s="5" t="n">
        <x:v>6</x:v>
      </x:c>
      <x:c r="F2054" s="5" t="str">
        <x:v>R&amp;D Spend</x:v>
      </x:c>
      <x:c r="G2054" s="5" t="n">
        <x:v>1</x:v>
      </x:c>
      <x:c r="H2054" s="5" t="n">
        <x:v>1</x:v>
      </x:c>
      <x:c r="I2054" s="5" t="str">
        <x:v>EUR 108.0M (~SEK 1,220M)</x:v>
      </x:c>
      <x:c r="J2054" s="5" t="str">
        <x:v>SOURCE QUOTE; unvalidated / superseded assessments</x:v>
      </x:c>
      <x:c r="L2054" s="31" t="str">
        <x:v>D06, Markdown line 281; http://nas-1.tail55d152.ts.net:4100/static/MEDICAL_NORDICS_FINANCIALS_DOSSIER.html</x:v>
      </x:c>
    </x:row>
    <x:row r="2055" ht="42" customHeight="1">
      <x:c r="A2055" s="5" t="str">
        <x:v>D06</x:v>
      </x:c>
      <x:c r="B2055" s="5" t="str">
        <x:v>D06-T01</x:v>
      </x:c>
      <x:c r="C2055" s="5" t="str">
        <x:v>5. Complete Company Financial Table (135 Facilities Analyzed)</x:v>
      </x:c>
      <x:c r="D2055" s="5" t="n">
        <x:v>281</x:v>
      </x:c>
      <x:c r="E2055" s="5" t="n">
        <x:v>7</x:v>
      </x:c>
      <x:c r="F2055" s="5" t="str">
        <x:v>Currency</x:v>
      </x:c>
      <x:c r="G2055" s="5" t="n">
        <x:v>1</x:v>
      </x:c>
      <x:c r="H2055" s="5" t="n">
        <x:v>1</x:v>
      </x:c>
      <x:c r="I2055" s="5" t="str">
        <x:v>EUR</x:v>
      </x:c>
      <x:c r="J2055" s="5" t="str">
        <x:v>SOURCE QUOTE; unvalidated / superseded assessments</x:v>
      </x:c>
      <x:c r="L2055" s="31" t="str">
        <x:v>D06, Markdown line 281; http://nas-1.tail55d152.ts.net:4100/static/MEDICAL_NORDICS_FINANCIALS_DOSSIER.html</x:v>
      </x:c>
    </x:row>
    <x:row r="2056" ht="42" customHeight="1">
      <x:c r="A2056" s="5" t="str">
        <x:v>D06</x:v>
      </x:c>
      <x:c r="B2056" s="5" t="str">
        <x:v>D06-T01</x:v>
      </x:c>
      <x:c r="C2056" s="5" t="str">
        <x:v>5. Complete Company Financial Table (135 Facilities Analyzed)</x:v>
      </x:c>
      <x:c r="D2056" s="5" t="n">
        <x:v>281</x:v>
      </x:c>
      <x:c r="E2056" s="5" t="n">
        <x:v>8</x:v>
      </x:c>
      <x:c r="F2056" s="5" t="str">
        <x:v>Fiscal Year</x:v>
      </x:c>
      <x:c r="G2056" s="5" t="n">
        <x:v>1</x:v>
      </x:c>
      <x:c r="H2056" s="5" t="n">
        <x:v>1</x:v>
      </x:c>
      <x:c r="I2056" s="5" t="str">
        <x:v>FY2024</x:v>
      </x:c>
      <x:c r="J2056" s="5" t="str">
        <x:v>SOURCE QUOTE; unvalidated / superseded assessments</x:v>
      </x:c>
      <x:c r="L2056" s="31" t="str">
        <x:v>D06, Markdown line 281; http://nas-1.tail55d152.ts.net:4100/static/MEDICAL_NORDICS_FINANCIALS_DOSSIER.html</x:v>
      </x:c>
    </x:row>
    <x:row r="2057" ht="42" customHeight="1">
      <x:c r="A2057" s="5" t="str">
        <x:v>D06</x:v>
      </x:c>
      <x:c r="B2057" s="5" t="str">
        <x:v>D06-T01</x:v>
      </x:c>
      <x:c r="C2057" s="5" t="str">
        <x:v>5. Complete Company Financial Table (135 Facilities Analyzed)</x:v>
      </x:c>
      <x:c r="D2057" s="5" t="n">
        <x:v>281</x:v>
      </x:c>
      <x:c r="E2057" s="5" t="n">
        <x:v>9</x:v>
      </x:c>
      <x:c r="F2057" s="5" t="str">
        <x:v>Status / Ownership / Strategic Service Alignment</x:v>
      </x:c>
      <x:c r="G2057" s="5" t="n">
        <x:v>1</x:v>
      </x:c>
      <x:c r="H2057" s="5" t="n">
        <x:v>1</x:v>
      </x:c>
      <x:c r="I2057" s="5" t="str">
        <x:v>Private biopharma flagship; Package D (Plasma yield fractionation batch optimization)</x:v>
      </x:c>
      <x:c r="J2057" s="5" t="str">
        <x:v>SOURCE QUOTE; unvalidated / superseded assessments</x:v>
      </x:c>
      <x:c r="L2057" s="31" t="str">
        <x:v>D06, Markdown line 281; http://nas-1.tail55d152.ts.net:4100/static/MEDICAL_NORDICS_FINANCIALS_DOSSIER.html</x:v>
      </x:c>
    </x:row>
    <x:row r="2058" ht="42" customHeight="1">
      <x:c r="A2058" s="5" t="str">
        <x:v>D06</x:v>
      </x:c>
      <x:c r="B2058" s="5" t="str">
        <x:v>D06-T01</x:v>
      </x:c>
      <x:c r="C2058" s="5" t="str">
        <x:v>5. Complete Company Financial Table (135 Facilities Analyzed)</x:v>
      </x:c>
      <x:c r="D2058" s="5" t="n">
        <x:v>282</x:v>
      </x:c>
      <x:c r="E2058" s="5" t="n">
        <x:v>1</x:v>
      </x:c>
      <x:c r="F2058" s="5" t="str">
        <x:v>#</x:v>
      </x:c>
      <x:c r="G2058" s="5" t="n">
        <x:v>1</x:v>
      </x:c>
      <x:c r="H2058" s="5" t="n">
        <x:v>1</x:v>
      </x:c>
      <x:c r="I2058" s="5" t="str">
        <x:v>101</x:v>
      </x:c>
      <x:c r="J2058" s="5" t="str">
        <x:v>SOURCE QUOTE; unvalidated / superseded assessments</x:v>
      </x:c>
      <x:c r="L2058" s="31" t="str">
        <x:v>D06, Markdown line 282; http://nas-1.tail55d152.ts.net:4100/static/MEDICAL_NORDICS_FINANCIALS_DOSSIER.html</x:v>
      </x:c>
    </x:row>
    <x:row r="2059" ht="42" customHeight="1">
      <x:c r="A2059" s="5" t="str">
        <x:v>D06</x:v>
      </x:c>
      <x:c r="B2059" s="5" t="str">
        <x:v>D06-T01</x:v>
      </x:c>
      <x:c r="C2059" s="5" t="str">
        <x:v>5. Complete Company Financial Table (135 Facilities Analyzed)</x:v>
      </x:c>
      <x:c r="D2059" s="5" t="n">
        <x:v>282</x:v>
      </x:c>
      <x:c r="E2059" s="5" t="n">
        <x:v>2</x:v>
      </x:c>
      <x:c r="F2059" s="5" t="str">
        <x:v>Company</x:v>
      </x:c>
      <x:c r="G2059" s="5" t="n">
        <x:v>1</x:v>
      </x:c>
      <x:c r="H2059" s="5" t="n">
        <x:v>1</x:v>
      </x:c>
      <x:c r="I2059" s="5" t="str">
        <x:v>Oncopeptides</x:v>
      </x:c>
      <x:c r="J2059" s="5" t="str">
        <x:v>SOURCE QUOTE; unvalidated / superseded assessments</x:v>
      </x:c>
      <x:c r="L2059" s="31" t="str">
        <x:v>D06, Markdown line 282; http://nas-1.tail55d152.ts.net:4100/static/MEDICAL_NORDICS_FINANCIALS_DOSSIER.html</x:v>
      </x:c>
    </x:row>
    <x:row r="2060" ht="42" customHeight="1">
      <x:c r="A2060" s="5" t="str">
        <x:v>D06</x:v>
      </x:c>
      <x:c r="B2060" s="5" t="str">
        <x:v>D06-T01</x:v>
      </x:c>
      <x:c r="C2060" s="5" t="str">
        <x:v>5. Complete Company Financial Table (135 Facilities Analyzed)</x:v>
      </x:c>
      <x:c r="D2060" s="5" t="n">
        <x:v>282</x:v>
      </x:c>
      <x:c r="E2060" s="5" t="n">
        <x:v>3</x:v>
      </x:c>
      <x:c r="F2060" s="5" t="str">
        <x:v>Location</x:v>
      </x:c>
      <x:c r="G2060" s="5" t="n">
        <x:v>1</x:v>
      </x:c>
      <x:c r="H2060" s="5" t="n">
        <x:v>1</x:v>
      </x:c>
      <x:c r="I2060" s="5" t="str">
        <x:v>Stockholm, Sweden</x:v>
      </x:c>
      <x:c r="J2060" s="5" t="str">
        <x:v>SOURCE QUOTE; unvalidated / superseded assessments</x:v>
      </x:c>
      <x:c r="L2060" s="31" t="str">
        <x:v>D06, Markdown line 282; http://nas-1.tail55d152.ts.net:4100/static/MEDICAL_NORDICS_FINANCIALS_DOSSIER.html</x:v>
      </x:c>
    </x:row>
    <x:row r="2061" ht="42" customHeight="1">
      <x:c r="A2061" s="5" t="str">
        <x:v>D06</x:v>
      </x:c>
      <x:c r="B2061" s="5" t="str">
        <x:v>D06-T01</x:v>
      </x:c>
      <x:c r="C2061" s="5" t="str">
        <x:v>5. Complete Company Financial Table (135 Facilities Analyzed)</x:v>
      </x:c>
      <x:c r="D2061" s="5" t="n">
        <x:v>282</x:v>
      </x:c>
      <x:c r="E2061" s="5" t="n">
        <x:v>4</x:v>
      </x:c>
      <x:c r="F2061" s="5" t="str">
        <x:v>Focus Area</x:v>
      </x:c>
      <x:c r="G2061" s="5" t="n">
        <x:v>1</x:v>
      </x:c>
      <x:c r="H2061" s="5" t="n">
        <x:v>1</x:v>
      </x:c>
      <x:c r="I2061" s="5" t="str">
        <x:v>Pepaxti PDC for Multiple Myeloma</x:v>
      </x:c>
      <x:c r="J2061" s="5" t="str">
        <x:v>SOURCE QUOTE; unvalidated / superseded assessments</x:v>
      </x:c>
      <x:c r="L2061" s="31" t="str">
        <x:v>D06, Markdown line 282; http://nas-1.tail55d152.ts.net:4100/static/MEDICAL_NORDICS_FINANCIALS_DOSSIER.html</x:v>
      </x:c>
    </x:row>
    <x:row r="2062" ht="42" customHeight="1">
      <x:c r="A2062" s="5" t="str">
        <x:v>D06</x:v>
      </x:c>
      <x:c r="B2062" s="5" t="str">
        <x:v>D06-T01</x:v>
      </x:c>
      <x:c r="C2062" s="5" t="str">
        <x:v>5. Complete Company Financial Table (135 Facilities Analyzed)</x:v>
      </x:c>
      <x:c r="D2062" s="5" t="n">
        <x:v>282</x:v>
      </x:c>
      <x:c r="E2062" s="5" t="n">
        <x:v>5</x:v>
      </x:c>
      <x:c r="F2062" s="5" t="str">
        <x:v>Revenue / Net Sales</x:v>
      </x:c>
      <x:c r="G2062" s="5" t="n">
        <x:v>1</x:v>
      </x:c>
      <x:c r="H2062" s="5" t="n">
        <x:v>1</x:v>
      </x:c>
      <x:c r="I2062" s="5" t="str">
        <x:v>SEK 31.65M</x:v>
      </x:c>
      <x:c r="J2062" s="5" t="str">
        <x:v>SOURCE QUOTE; unvalidated / superseded assessments</x:v>
      </x:c>
      <x:c r="L2062" s="31" t="str">
        <x:v>D06, Markdown line 282; http://nas-1.tail55d152.ts.net:4100/static/MEDICAL_NORDICS_FINANCIALS_DOSSIER.html</x:v>
      </x:c>
    </x:row>
    <x:row r="2063" ht="42" customHeight="1">
      <x:c r="A2063" s="5" t="str">
        <x:v>D06</x:v>
      </x:c>
      <x:c r="B2063" s="5" t="str">
        <x:v>D06-T01</x:v>
      </x:c>
      <x:c r="C2063" s="5" t="str">
        <x:v>5. Complete Company Financial Table (135 Facilities Analyzed)</x:v>
      </x:c>
      <x:c r="D2063" s="5" t="n">
        <x:v>282</x:v>
      </x:c>
      <x:c r="E2063" s="5" t="n">
        <x:v>6</x:v>
      </x:c>
      <x:c r="F2063" s="5" t="str">
        <x:v>R&amp;D Spend</x:v>
      </x:c>
      <x:c r="G2063" s="5" t="n">
        <x:v>1</x:v>
      </x:c>
      <x:c r="H2063" s="5" t="n">
        <x:v>1</x:v>
      </x:c>
      <x:c r="I2063" s="5" t="str">
        <x:v>SEK 184.2M</x:v>
      </x:c>
      <x:c r="J2063" s="5" t="str">
        <x:v>SOURCE QUOTE; unvalidated / superseded assessments</x:v>
      </x:c>
      <x:c r="L2063" s="31" t="str">
        <x:v>D06, Markdown line 282; http://nas-1.tail55d152.ts.net:4100/static/MEDICAL_NORDICS_FINANCIALS_DOSSIER.html</x:v>
      </x:c>
    </x:row>
    <x:row r="2064" ht="42" customHeight="1">
      <x:c r="A2064" s="5" t="str">
        <x:v>D06</x:v>
      </x:c>
      <x:c r="B2064" s="5" t="str">
        <x:v>D06-T01</x:v>
      </x:c>
      <x:c r="C2064" s="5" t="str">
        <x:v>5. Complete Company Financial Table (135 Facilities Analyzed)</x:v>
      </x:c>
      <x:c r="D2064" s="5" t="n">
        <x:v>282</x:v>
      </x:c>
      <x:c r="E2064" s="5" t="n">
        <x:v>7</x:v>
      </x:c>
      <x:c r="F2064" s="5" t="str">
        <x:v>Currency</x:v>
      </x:c>
      <x:c r="G2064" s="5" t="n">
        <x:v>1</x:v>
      </x:c>
      <x:c r="H2064" s="5" t="n">
        <x:v>1</x:v>
      </x:c>
      <x:c r="I2064" s="5" t="str">
        <x:v>SEK</x:v>
      </x:c>
      <x:c r="J2064" s="5" t="str">
        <x:v>SOURCE QUOTE; unvalidated / superseded assessments</x:v>
      </x:c>
      <x:c r="L2064" s="31" t="str">
        <x:v>D06, Markdown line 282; http://nas-1.tail55d152.ts.net:4100/static/MEDICAL_NORDICS_FINANCIALS_DOSSIER.html</x:v>
      </x:c>
    </x:row>
    <x:row r="2065" ht="42" customHeight="1">
      <x:c r="A2065" s="5" t="str">
        <x:v>D06</x:v>
      </x:c>
      <x:c r="B2065" s="5" t="str">
        <x:v>D06-T01</x:v>
      </x:c>
      <x:c r="C2065" s="5" t="str">
        <x:v>5. Complete Company Financial Table (135 Facilities Analyzed)</x:v>
      </x:c>
      <x:c r="D2065" s="5" t="n">
        <x:v>282</x:v>
      </x:c>
      <x:c r="E2065" s="5" t="n">
        <x:v>8</x:v>
      </x:c>
      <x:c r="F2065" s="5" t="str">
        <x:v>Fiscal Year</x:v>
      </x:c>
      <x:c r="G2065" s="5" t="n">
        <x:v>1</x:v>
      </x:c>
      <x:c r="H2065" s="5" t="n">
        <x:v>1</x:v>
      </x:c>
      <x:c r="I2065" s="5" t="str">
        <x:v>FY2024</x:v>
      </x:c>
      <x:c r="J2065" s="5" t="str">
        <x:v>SOURCE QUOTE; unvalidated / superseded assessments</x:v>
      </x:c>
      <x:c r="L2065" s="31" t="str">
        <x:v>D06, Markdown line 282; http://nas-1.tail55d152.ts.net:4100/static/MEDICAL_NORDICS_FINANCIALS_DOSSIER.html</x:v>
      </x:c>
    </x:row>
    <x:row r="2066" ht="42" customHeight="1">
      <x:c r="A2066" s="5" t="str">
        <x:v>D06</x:v>
      </x:c>
      <x:c r="B2066" s="5" t="str">
        <x:v>D06-T01</x:v>
      </x:c>
      <x:c r="C2066" s="5" t="str">
        <x:v>5. Complete Company Financial Table (135 Facilities Analyzed)</x:v>
      </x:c>
      <x:c r="D2066" s="5" t="n">
        <x:v>282</x:v>
      </x:c>
      <x:c r="E2066" s="5" t="n">
        <x:v>9</x:v>
      </x:c>
      <x:c r="F2066" s="5" t="str">
        <x:v>Status / Ownership / Strategic Service Alignment</x:v>
      </x:c>
      <x:c r="G2066" s="5" t="n">
        <x:v>1</x:v>
      </x:c>
      <x:c r="H2066" s="5" t="n">
        <x:v>1</x:v>
      </x:c>
      <x:c r="I2066" s="5" t="str">
        <x:v>Listed (Nasdaq: ONCO); Package C (European hematology hospital launch analytics)</x:v>
      </x:c>
      <x:c r="J2066" s="5" t="str">
        <x:v>SOURCE QUOTE; unvalidated / superseded assessments</x:v>
      </x:c>
      <x:c r="L2066" s="31" t="str">
        <x:v>D06, Markdown line 282; http://nas-1.tail55d152.ts.net:4100/static/MEDICAL_NORDICS_FINANCIALS_DOSSIER.html</x:v>
      </x:c>
    </x:row>
    <x:row r="2067" ht="42" customHeight="1">
      <x:c r="A2067" s="5" t="str">
        <x:v>D06</x:v>
      </x:c>
      <x:c r="B2067" s="5" t="str">
        <x:v>D06-T01</x:v>
      </x:c>
      <x:c r="C2067" s="5" t="str">
        <x:v>5. Complete Company Financial Table (135 Facilities Analyzed)</x:v>
      </x:c>
      <x:c r="D2067" s="5" t="n">
        <x:v>283</x:v>
      </x:c>
      <x:c r="E2067" s="5" t="n">
        <x:v>1</x:v>
      </x:c>
      <x:c r="F2067" s="5" t="str">
        <x:v>#</x:v>
      </x:c>
      <x:c r="G2067" s="5" t="n">
        <x:v>1</x:v>
      </x:c>
      <x:c r="H2067" s="5" t="n">
        <x:v>1</x:v>
      </x:c>
      <x:c r="I2067" s="5" t="str">
        <x:v>102</x:v>
      </x:c>
      <x:c r="J2067" s="5" t="str">
        <x:v>SOURCE QUOTE; unvalidated / superseded assessments</x:v>
      </x:c>
      <x:c r="L2067" s="31" t="str">
        <x:v>D06, Markdown line 283; http://nas-1.tail55d152.ts.net:4100/static/MEDICAL_NORDICS_FINANCIALS_DOSSIER.html</x:v>
      </x:c>
    </x:row>
    <x:row r="2068" ht="42" customHeight="1">
      <x:c r="A2068" s="5" t="str">
        <x:v>D06</x:v>
      </x:c>
      <x:c r="B2068" s="5" t="str">
        <x:v>D06-T01</x:v>
      </x:c>
      <x:c r="C2068" s="5" t="str">
        <x:v>5. Complete Company Financial Table (135 Facilities Analyzed)</x:v>
      </x:c>
      <x:c r="D2068" s="5" t="n">
        <x:v>283</x:v>
      </x:c>
      <x:c r="E2068" s="5" t="n">
        <x:v>2</x:v>
      </x:c>
      <x:c r="F2068" s="5" t="str">
        <x:v>Company</x:v>
      </x:c>
      <x:c r="G2068" s="5" t="n">
        <x:v>1</x:v>
      </x:c>
      <x:c r="H2068" s="5" t="n">
        <x:v>1</x:v>
      </x:c>
      <x:c r="I2068" s="5" t="str">
        <x:v>Optimapharm</x:v>
      </x:c>
      <x:c r="J2068" s="5" t="str">
        <x:v>SOURCE QUOTE; unvalidated / superseded assessments</x:v>
      </x:c>
      <x:c r="L2068" s="31" t="str">
        <x:v>D06, Markdown line 283; http://nas-1.tail55d152.ts.net:4100/static/MEDICAL_NORDICS_FINANCIALS_DOSSIER.html</x:v>
      </x:c>
    </x:row>
    <x:row r="2069" ht="42" customHeight="1">
      <x:c r="A2069" s="5" t="str">
        <x:v>D06</x:v>
      </x:c>
      <x:c r="B2069" s="5" t="str">
        <x:v>D06-T01</x:v>
      </x:c>
      <x:c r="C2069" s="5" t="str">
        <x:v>5. Complete Company Financial Table (135 Facilities Analyzed)</x:v>
      </x:c>
      <x:c r="D2069" s="5" t="n">
        <x:v>283</x:v>
      </x:c>
      <x:c r="E2069" s="5" t="n">
        <x:v>3</x:v>
      </x:c>
      <x:c r="F2069" s="5" t="str">
        <x:v>Location</x:v>
      </x:c>
      <x:c r="G2069" s="5" t="n">
        <x:v>1</x:v>
      </x:c>
      <x:c r="H2069" s="5" t="n">
        <x:v>1</x:v>
      </x:c>
      <x:c r="I2069" s="5" t="str">
        <x:v>Stockholm, Sweden</x:v>
      </x:c>
      <x:c r="J2069" s="5" t="str">
        <x:v>SOURCE QUOTE; unvalidated / superseded assessments</x:v>
      </x:c>
      <x:c r="L2069" s="31" t="str">
        <x:v>D06, Markdown line 283; http://nas-1.tail55d152.ts.net:4100/static/MEDICAL_NORDICS_FINANCIALS_DOSSIER.html</x:v>
      </x:c>
    </x:row>
    <x:row r="2070" ht="42" customHeight="1">
      <x:c r="A2070" s="5" t="str">
        <x:v>D06</x:v>
      </x:c>
      <x:c r="B2070" s="5" t="str">
        <x:v>D06-T01</x:v>
      </x:c>
      <x:c r="C2070" s="5" t="str">
        <x:v>5. Complete Company Financial Table (135 Facilities Analyzed)</x:v>
      </x:c>
      <x:c r="D2070" s="5" t="n">
        <x:v>283</x:v>
      </x:c>
      <x:c r="E2070" s="5" t="n">
        <x:v>4</x:v>
      </x:c>
      <x:c r="F2070" s="5" t="str">
        <x:v>Focus Area</x:v>
      </x:c>
      <x:c r="G2070" s="5" t="n">
        <x:v>1</x:v>
      </x:c>
      <x:c r="H2070" s="5" t="n">
        <x:v>1</x:v>
      </x:c>
      <x:c r="I2070" s="5" t="str">
        <x:v>Full-Service European CRO Operations</x:v>
      </x:c>
      <x:c r="J2070" s="5" t="str">
        <x:v>SOURCE QUOTE; unvalidated / superseded assessments</x:v>
      </x:c>
      <x:c r="L2070" s="31" t="str">
        <x:v>D06, Markdown line 283; http://nas-1.tail55d152.ts.net:4100/static/MEDICAL_NORDICS_FINANCIALS_DOSSIER.html</x:v>
      </x:c>
    </x:row>
    <x:row r="2071" ht="42" customHeight="1">
      <x:c r="A2071" s="5" t="str">
        <x:v>D06</x:v>
      </x:c>
      <x:c r="B2071" s="5" t="str">
        <x:v>D06-T01</x:v>
      </x:c>
      <x:c r="C2071" s="5" t="str">
        <x:v>5. Complete Company Financial Table (135 Facilities Analyzed)</x:v>
      </x:c>
      <x:c r="D2071" s="5" t="n">
        <x:v>283</x:v>
      </x:c>
      <x:c r="E2071" s="5" t="n">
        <x:v>5</x:v>
      </x:c>
      <x:c r="F2071" s="5" t="str">
        <x:v>Revenue / Net Sales</x:v>
      </x:c>
      <x:c r="G2071" s="5" t="n">
        <x:v>1</x:v>
      </x:c>
      <x:c r="H2071" s="5" t="n">
        <x:v>1</x:v>
      </x:c>
      <x:c r="I2071" s="5" t="str">
        <x:v>EUR 52.0M est. (~SEK 590M)</x:v>
      </x:c>
      <x:c r="J2071" s="5" t="str">
        <x:v>SOURCE QUOTE; unvalidated / superseded assessments</x:v>
      </x:c>
      <x:c r="L2071" s="31" t="str">
        <x:v>D06, Markdown line 283; http://nas-1.tail55d152.ts.net:4100/static/MEDICAL_NORDICS_FINANCIALS_DOSSIER.html</x:v>
      </x:c>
    </x:row>
    <x:row r="2072" ht="42" customHeight="1">
      <x:c r="A2072" s="5" t="str">
        <x:v>D06</x:v>
      </x:c>
      <x:c r="B2072" s="5" t="str">
        <x:v>D06-T01</x:v>
      </x:c>
      <x:c r="C2072" s="5" t="str">
        <x:v>5. Complete Company Financial Table (135 Facilities Analyzed)</x:v>
      </x:c>
      <x:c r="D2072" s="5" t="n">
        <x:v>283</x:v>
      </x:c>
      <x:c r="E2072" s="5" t="n">
        <x:v>6</x:v>
      </x:c>
      <x:c r="F2072" s="5" t="str">
        <x:v>R&amp;D Spend</x:v>
      </x:c>
      <x:c r="G2072" s="5" t="n">
        <x:v>1</x:v>
      </x:c>
      <x:c r="H2072" s="5" t="n">
        <x:v>1</x:v>
      </x:c>
      <x:c r="I2072" s="5" t="str">
        <x:v>EUR 4.8M (~SEK 55M)</x:v>
      </x:c>
      <x:c r="J2072" s="5" t="str">
        <x:v>SOURCE QUOTE; unvalidated / superseded assessments</x:v>
      </x:c>
      <x:c r="L2072" s="31" t="str">
        <x:v>D06, Markdown line 283; http://nas-1.tail55d152.ts.net:4100/static/MEDICAL_NORDICS_FINANCIALS_DOSSIER.html</x:v>
      </x:c>
    </x:row>
    <x:row r="2073" ht="42" customHeight="1">
      <x:c r="A2073" s="5" t="str">
        <x:v>D06</x:v>
      </x:c>
      <x:c r="B2073" s="5" t="str">
        <x:v>D06-T01</x:v>
      </x:c>
      <x:c r="C2073" s="5" t="str">
        <x:v>5. Complete Company Financial Table (135 Facilities Analyzed)</x:v>
      </x:c>
      <x:c r="D2073" s="5" t="n">
        <x:v>283</x:v>
      </x:c>
      <x:c r="E2073" s="5" t="n">
        <x:v>7</x:v>
      </x:c>
      <x:c r="F2073" s="5" t="str">
        <x:v>Currency</x:v>
      </x:c>
      <x:c r="G2073" s="5" t="n">
        <x:v>1</x:v>
      </x:c>
      <x:c r="H2073" s="5" t="n">
        <x:v>1</x:v>
      </x:c>
      <x:c r="I2073" s="5" t="str">
        <x:v>EUR</x:v>
      </x:c>
      <x:c r="J2073" s="5" t="str">
        <x:v>SOURCE QUOTE; unvalidated / superseded assessments</x:v>
      </x:c>
      <x:c r="L2073" s="31" t="str">
        <x:v>D06, Markdown line 283; http://nas-1.tail55d152.ts.net:4100/static/MEDICAL_NORDICS_FINANCIALS_DOSSIER.html</x:v>
      </x:c>
    </x:row>
    <x:row r="2074" ht="42" customHeight="1">
      <x:c r="A2074" s="5" t="str">
        <x:v>D06</x:v>
      </x:c>
      <x:c r="B2074" s="5" t="str">
        <x:v>D06-T01</x:v>
      </x:c>
      <x:c r="C2074" s="5" t="str">
        <x:v>5. Complete Company Financial Table (135 Facilities Analyzed)</x:v>
      </x:c>
      <x:c r="D2074" s="5" t="n">
        <x:v>283</x:v>
      </x:c>
      <x:c r="E2074" s="5" t="n">
        <x:v>8</x:v>
      </x:c>
      <x:c r="F2074" s="5" t="str">
        <x:v>Fiscal Year</x:v>
      </x:c>
      <x:c r="G2074" s="5" t="n">
        <x:v>1</x:v>
      </x:c>
      <x:c r="H2074" s="5" t="n">
        <x:v>1</x:v>
      </x:c>
      <x:c r="I2074" s="5" t="str">
        <x:v>FY2023/24</x:v>
      </x:c>
      <x:c r="J2074" s="5" t="str">
        <x:v>SOURCE QUOTE; unvalidated / superseded assessments</x:v>
      </x:c>
      <x:c r="L2074" s="31" t="str">
        <x:v>D06, Markdown line 283; http://nas-1.tail55d152.ts.net:4100/static/MEDICAL_NORDICS_FINANCIALS_DOSSIER.html</x:v>
      </x:c>
    </x:row>
    <x:row r="2075" ht="42" customHeight="1">
      <x:c r="A2075" s="5" t="str">
        <x:v>D06</x:v>
      </x:c>
      <x:c r="B2075" s="5" t="str">
        <x:v>D06-T01</x:v>
      </x:c>
      <x:c r="C2075" s="5" t="str">
        <x:v>5. Complete Company Financial Table (135 Facilities Analyzed)</x:v>
      </x:c>
      <x:c r="D2075" s="5" t="n">
        <x:v>283</x:v>
      </x:c>
      <x:c r="E2075" s="5" t="n">
        <x:v>9</x:v>
      </x:c>
      <x:c r="F2075" s="5" t="str">
        <x:v>Status / Ownership / Strategic Service Alignment</x:v>
      </x:c>
      <x:c r="G2075" s="5" t="n">
        <x:v>1</x:v>
      </x:c>
      <x:c r="H2075" s="5" t="n">
        <x:v>1</x:v>
      </x:c>
      <x:c r="I2075" s="5" t="str">
        <x:v>Private CRO (400+ staff); Co-Opetition (Subcontracting 2S NLP trial screening software)</x:v>
      </x:c>
      <x:c r="J2075" s="5" t="str">
        <x:v>SOURCE QUOTE; unvalidated / superseded assessments</x:v>
      </x:c>
      <x:c r="L2075" s="31" t="str">
        <x:v>D06, Markdown line 283; http://nas-1.tail55d152.ts.net:4100/static/MEDICAL_NORDICS_FINANCIALS_DOSSIER.html</x:v>
      </x:c>
    </x:row>
    <x:row r="2076" ht="42" customHeight="1">
      <x:c r="A2076" s="5" t="str">
        <x:v>D06</x:v>
      </x:c>
      <x:c r="B2076" s="5" t="str">
        <x:v>D06-T01</x:v>
      </x:c>
      <x:c r="C2076" s="5" t="str">
        <x:v>5. Complete Company Financial Table (135 Facilities Analyzed)</x:v>
      </x:c>
      <x:c r="D2076" s="5" t="n">
        <x:v>284</x:v>
      </x:c>
      <x:c r="E2076" s="5" t="n">
        <x:v>1</x:v>
      </x:c>
      <x:c r="F2076" s="5" t="str">
        <x:v>#</x:v>
      </x:c>
      <x:c r="G2076" s="5" t="n">
        <x:v>1</x:v>
      </x:c>
      <x:c r="H2076" s="5" t="n">
        <x:v>1</x:v>
      </x:c>
      <x:c r="I2076" s="5" t="str">
        <x:v>103</x:v>
      </x:c>
      <x:c r="J2076" s="5" t="str">
        <x:v>SOURCE QUOTE; unvalidated / superseded assessments</x:v>
      </x:c>
      <x:c r="L2076" s="31" t="str">
        <x:v>D06, Markdown line 284; http://nas-1.tail55d152.ts.net:4100/static/MEDICAL_NORDICS_FINANCIALS_DOSSIER.html</x:v>
      </x:c>
    </x:row>
    <x:row r="2077" ht="42" customHeight="1">
      <x:c r="A2077" s="5" t="str">
        <x:v>D06</x:v>
      </x:c>
      <x:c r="B2077" s="5" t="str">
        <x:v>D06-T01</x:v>
      </x:c>
      <x:c r="C2077" s="5" t="str">
        <x:v>5. Complete Company Financial Table (135 Facilities Analyzed)</x:v>
      </x:c>
      <x:c r="D2077" s="5" t="n">
        <x:v>284</x:v>
      </x:c>
      <x:c r="E2077" s="5" t="n">
        <x:v>2</x:v>
      </x:c>
      <x:c r="F2077" s="5" t="str">
        <x:v>Company</x:v>
      </x:c>
      <x:c r="G2077" s="5" t="n">
        <x:v>1</x:v>
      </x:c>
      <x:c r="H2077" s="5" t="n">
        <x:v>1</x:v>
      </x:c>
      <x:c r="I2077" s="5" t="str">
        <x:v>Peptonic Medical</x:v>
      </x:c>
      <x:c r="J2077" s="5" t="str">
        <x:v>SOURCE QUOTE; unvalidated / superseded assessments</x:v>
      </x:c>
      <x:c r="L2077" s="31" t="str">
        <x:v>D06, Markdown line 284; http://nas-1.tail55d152.ts.net:4100/static/MEDICAL_NORDICS_FINANCIALS_DOSSIER.html</x:v>
      </x:c>
    </x:row>
    <x:row r="2078" ht="42" customHeight="1">
      <x:c r="A2078" s="5" t="str">
        <x:v>D06</x:v>
      </x:c>
      <x:c r="B2078" s="5" t="str">
        <x:v>D06-T01</x:v>
      </x:c>
      <x:c r="C2078" s="5" t="str">
        <x:v>5. Complete Company Financial Table (135 Facilities Analyzed)</x:v>
      </x:c>
      <x:c r="D2078" s="5" t="n">
        <x:v>284</x:v>
      </x:c>
      <x:c r="E2078" s="5" t="n">
        <x:v>3</x:v>
      </x:c>
      <x:c r="F2078" s="5" t="str">
        <x:v>Location</x:v>
      </x:c>
      <x:c r="G2078" s="5" t="n">
        <x:v>1</x:v>
      </x:c>
      <x:c r="H2078" s="5" t="n">
        <x:v>1</x:v>
      </x:c>
      <x:c r="I2078" s="5" t="str">
        <x:v>Stockholm, Sweden</x:v>
      </x:c>
      <x:c r="J2078" s="5" t="str">
        <x:v>SOURCE QUOTE; unvalidated / superseded assessments</x:v>
      </x:c>
      <x:c r="L2078" s="31" t="str">
        <x:v>D06, Markdown line 284; http://nas-1.tail55d152.ts.net:4100/static/MEDICAL_NORDICS_FINANCIALS_DOSSIER.html</x:v>
      </x:c>
    </x:row>
    <x:row r="2079" ht="42" customHeight="1">
      <x:c r="A2079" s="5" t="str">
        <x:v>D06</x:v>
      </x:c>
      <x:c r="B2079" s="5" t="str">
        <x:v>D06-T01</x:v>
      </x:c>
      <x:c r="C2079" s="5" t="str">
        <x:v>5. Complete Company Financial Table (135 Facilities Analyzed)</x:v>
      </x:c>
      <x:c r="D2079" s="5" t="n">
        <x:v>284</x:v>
      </x:c>
      <x:c r="E2079" s="5" t="n">
        <x:v>4</x:v>
      </x:c>
      <x:c r="F2079" s="5" t="str">
        <x:v>Focus Area</x:v>
      </x:c>
      <x:c r="G2079" s="5" t="n">
        <x:v>1</x:v>
      </x:c>
      <x:c r="H2079" s="5" t="n">
        <x:v>1</x:v>
      </x:c>
      <x:c r="I2079" s="5" t="str">
        <x:v>VagiVital Non-Hormonal Women's Health</x:v>
      </x:c>
      <x:c r="J2079" s="5" t="str">
        <x:v>SOURCE QUOTE; unvalidated / superseded assessments</x:v>
      </x:c>
      <x:c r="L2079" s="31" t="str">
        <x:v>D06, Markdown line 284; http://nas-1.tail55d152.ts.net:4100/static/MEDICAL_NORDICS_FINANCIALS_DOSSIER.html</x:v>
      </x:c>
    </x:row>
    <x:row r="2080" ht="42" customHeight="1">
      <x:c r="A2080" s="5" t="str">
        <x:v>D06</x:v>
      </x:c>
      <x:c r="B2080" s="5" t="str">
        <x:v>D06-T01</x:v>
      </x:c>
      <x:c r="C2080" s="5" t="str">
        <x:v>5. Complete Company Financial Table (135 Facilities Analyzed)</x:v>
      </x:c>
      <x:c r="D2080" s="5" t="n">
        <x:v>284</x:v>
      </x:c>
      <x:c r="E2080" s="5" t="n">
        <x:v>5</x:v>
      </x:c>
      <x:c r="F2080" s="5" t="str">
        <x:v>Revenue / Net Sales</x:v>
      </x:c>
      <x:c r="G2080" s="5" t="n">
        <x:v>1</x:v>
      </x:c>
      <x:c r="H2080" s="5" t="n">
        <x:v>1</x:v>
      </x:c>
      <x:c r="I2080" s="5" t="str">
        <x:v>SEK 26.9M</x:v>
      </x:c>
      <x:c r="J2080" s="5" t="str">
        <x:v>SOURCE QUOTE; unvalidated / superseded assessments</x:v>
      </x:c>
      <x:c r="L2080" s="31" t="str">
        <x:v>D06, Markdown line 284; http://nas-1.tail55d152.ts.net:4100/static/MEDICAL_NORDICS_FINANCIALS_DOSSIER.html</x:v>
      </x:c>
    </x:row>
    <x:row r="2081" ht="42" customHeight="1">
      <x:c r="A2081" s="5" t="str">
        <x:v>D06</x:v>
      </x:c>
      <x:c r="B2081" s="5" t="str">
        <x:v>D06-T01</x:v>
      </x:c>
      <x:c r="C2081" s="5" t="str">
        <x:v>5. Complete Company Financial Table (135 Facilities Analyzed)</x:v>
      </x:c>
      <x:c r="D2081" s="5" t="n">
        <x:v>284</x:v>
      </x:c>
      <x:c r="E2081" s="5" t="n">
        <x:v>6</x:v>
      </x:c>
      <x:c r="F2081" s="5" t="str">
        <x:v>R&amp;D Spend</x:v>
      </x:c>
      <x:c r="G2081" s="5" t="n">
        <x:v>1</x:v>
      </x:c>
      <x:c r="H2081" s="5" t="n">
        <x:v>1</x:v>
      </x:c>
      <x:c r="I2081" s="5" t="str">
        <x:v>SEK 18.2M</x:v>
      </x:c>
      <x:c r="J2081" s="5" t="str">
        <x:v>SOURCE QUOTE; unvalidated / superseded assessments</x:v>
      </x:c>
      <x:c r="L2081" s="31" t="str">
        <x:v>D06, Markdown line 284; http://nas-1.tail55d152.ts.net:4100/static/MEDICAL_NORDICS_FINANCIALS_DOSSIER.html</x:v>
      </x:c>
    </x:row>
    <x:row r="2082" ht="42" customHeight="1">
      <x:c r="A2082" s="5" t="str">
        <x:v>D06</x:v>
      </x:c>
      <x:c r="B2082" s="5" t="str">
        <x:v>D06-T01</x:v>
      </x:c>
      <x:c r="C2082" s="5" t="str">
        <x:v>5. Complete Company Financial Table (135 Facilities Analyzed)</x:v>
      </x:c>
      <x:c r="D2082" s="5" t="n">
        <x:v>284</x:v>
      </x:c>
      <x:c r="E2082" s="5" t="n">
        <x:v>7</x:v>
      </x:c>
      <x:c r="F2082" s="5" t="str">
        <x:v>Currency</x:v>
      </x:c>
      <x:c r="G2082" s="5" t="n">
        <x:v>1</x:v>
      </x:c>
      <x:c r="H2082" s="5" t="n">
        <x:v>1</x:v>
      </x:c>
      <x:c r="I2082" s="5" t="str">
        <x:v>SEK</x:v>
      </x:c>
      <x:c r="J2082" s="5" t="str">
        <x:v>SOURCE QUOTE; unvalidated / superseded assessments</x:v>
      </x:c>
      <x:c r="L2082" s="31" t="str">
        <x:v>D06, Markdown line 284; http://nas-1.tail55d152.ts.net:4100/static/MEDICAL_NORDICS_FINANCIALS_DOSSIER.html</x:v>
      </x:c>
    </x:row>
    <x:row r="2083" ht="42" customHeight="1">
      <x:c r="A2083" s="5" t="str">
        <x:v>D06</x:v>
      </x:c>
      <x:c r="B2083" s="5" t="str">
        <x:v>D06-T01</x:v>
      </x:c>
      <x:c r="C2083" s="5" t="str">
        <x:v>5. Complete Company Financial Table (135 Facilities Analyzed)</x:v>
      </x:c>
      <x:c r="D2083" s="5" t="n">
        <x:v>284</x:v>
      </x:c>
      <x:c r="E2083" s="5" t="n">
        <x:v>8</x:v>
      </x:c>
      <x:c r="F2083" s="5" t="str">
        <x:v>Fiscal Year</x:v>
      </x:c>
      <x:c r="G2083" s="5" t="n">
        <x:v>1</x:v>
      </x:c>
      <x:c r="H2083" s="5" t="n">
        <x:v>1</x:v>
      </x:c>
      <x:c r="I2083" s="5" t="str">
        <x:v>FY2023</x:v>
      </x:c>
      <x:c r="J2083" s="5" t="str">
        <x:v>SOURCE QUOTE; unvalidated / superseded assessments</x:v>
      </x:c>
      <x:c r="L2083" s="31" t="str">
        <x:v>D06, Markdown line 284; http://nas-1.tail55d152.ts.net:4100/static/MEDICAL_NORDICS_FINANCIALS_DOSSIER.html</x:v>
      </x:c>
    </x:row>
    <x:row r="2084" ht="42" customHeight="1">
      <x:c r="A2084" s="5" t="str">
        <x:v>D06</x:v>
      </x:c>
      <x:c r="B2084" s="5" t="str">
        <x:v>D06-T01</x:v>
      </x:c>
      <x:c r="C2084" s="5" t="str">
        <x:v>5. Complete Company Financial Table (135 Facilities Analyzed)</x:v>
      </x:c>
      <x:c r="D2084" s="5" t="n">
        <x:v>284</x:v>
      </x:c>
      <x:c r="E2084" s="5" t="n">
        <x:v>9</x:v>
      </x:c>
      <x:c r="F2084" s="5" t="str">
        <x:v>Status / Ownership / Strategic Service Alignment</x:v>
      </x:c>
      <x:c r="G2084" s="5" t="n">
        <x:v>1</x:v>
      </x:c>
      <x:c r="H2084" s="5" t="n">
        <x:v>1</x:v>
      </x:c>
      <x:c r="I2084" s="5" t="str">
        <x:v>Listed (Spotlight: PMED); Package C (Pharmacy OTC retail channel distribution tracking)</x:v>
      </x:c>
      <x:c r="J2084" s="5" t="str">
        <x:v>SOURCE QUOTE; unvalidated / superseded assessments</x:v>
      </x:c>
      <x:c r="L2084" s="31" t="str">
        <x:v>D06, Markdown line 284; http://nas-1.tail55d152.ts.net:4100/static/MEDICAL_NORDICS_FINANCIALS_DOSSIER.html</x:v>
      </x:c>
    </x:row>
    <x:row r="2085" ht="42" customHeight="1">
      <x:c r="A2085" s="5" t="str">
        <x:v>D06</x:v>
      </x:c>
      <x:c r="B2085" s="5" t="str">
        <x:v>D06-T01</x:v>
      </x:c>
      <x:c r="C2085" s="5" t="str">
        <x:v>5. Complete Company Financial Table (135 Facilities Analyzed)</x:v>
      </x:c>
      <x:c r="D2085" s="5" t="n">
        <x:v>285</x:v>
      </x:c>
      <x:c r="E2085" s="5" t="n">
        <x:v>1</x:v>
      </x:c>
      <x:c r="F2085" s="5" t="str">
        <x:v>#</x:v>
      </x:c>
      <x:c r="G2085" s="5" t="n">
        <x:v>1</x:v>
      </x:c>
      <x:c r="H2085" s="5" t="n">
        <x:v>1</x:v>
      </x:c>
      <x:c r="I2085" s="5" t="str">
        <x:v>104</x:v>
      </x:c>
      <x:c r="J2085" s="5" t="str">
        <x:v>SOURCE QUOTE; unvalidated / superseded assessments</x:v>
      </x:c>
      <x:c r="L2085" s="31" t="str">
        <x:v>D06, Markdown line 285; http://nas-1.tail55d152.ts.net:4100/static/MEDICAL_NORDICS_FINANCIALS_DOSSIER.html</x:v>
      </x:c>
    </x:row>
    <x:row r="2086" ht="42" customHeight="1">
      <x:c r="A2086" s="5" t="str">
        <x:v>D06</x:v>
      </x:c>
      <x:c r="B2086" s="5" t="str">
        <x:v>D06-T01</x:v>
      </x:c>
      <x:c r="C2086" s="5" t="str">
        <x:v>5. Complete Company Financial Table (135 Facilities Analyzed)</x:v>
      </x:c>
      <x:c r="D2086" s="5" t="n">
        <x:v>285</x:v>
      </x:c>
      <x:c r="E2086" s="5" t="n">
        <x:v>2</x:v>
      </x:c>
      <x:c r="F2086" s="5" t="str">
        <x:v>Company</x:v>
      </x:c>
      <x:c r="G2086" s="5" t="n">
        <x:v>1</x:v>
      </x:c>
      <x:c r="H2086" s="5" t="n">
        <x:v>1</x:v>
      </x:c>
      <x:c r="I2086" s="5" t="str">
        <x:v>Pharmadule Morimatsu</x:v>
      </x:c>
      <x:c r="J2086" s="5" t="str">
        <x:v>SOURCE QUOTE; unvalidated / superseded assessments</x:v>
      </x:c>
      <x:c r="L2086" s="31" t="str">
        <x:v>D06, Markdown line 285; http://nas-1.tail55d152.ts.net:4100/static/MEDICAL_NORDICS_FINANCIALS_DOSSIER.html</x:v>
      </x:c>
    </x:row>
    <x:row r="2087" ht="42" customHeight="1">
      <x:c r="A2087" s="5" t="str">
        <x:v>D06</x:v>
      </x:c>
      <x:c r="B2087" s="5" t="str">
        <x:v>D06-T01</x:v>
      </x:c>
      <x:c r="C2087" s="5" t="str">
        <x:v>5. Complete Company Financial Table (135 Facilities Analyzed)</x:v>
      </x:c>
      <x:c r="D2087" s="5" t="n">
        <x:v>285</x:v>
      </x:c>
      <x:c r="E2087" s="5" t="n">
        <x:v>3</x:v>
      </x:c>
      <x:c r="F2087" s="5" t="str">
        <x:v>Location</x:v>
      </x:c>
      <x:c r="G2087" s="5" t="n">
        <x:v>1</x:v>
      </x:c>
      <x:c r="H2087" s="5" t="n">
        <x:v>1</x:v>
      </x:c>
      <x:c r="I2087" s="5" t="str">
        <x:v>Stockholm, Sweden</x:v>
      </x:c>
      <x:c r="J2087" s="5" t="str">
        <x:v>SOURCE QUOTE; unvalidated / superseded assessments</x:v>
      </x:c>
      <x:c r="L2087" s="31" t="str">
        <x:v>D06, Markdown line 285; http://nas-1.tail55d152.ts.net:4100/static/MEDICAL_NORDICS_FINANCIALS_DOSSIER.html</x:v>
      </x:c>
    </x:row>
    <x:row r="2088" ht="42" customHeight="1">
      <x:c r="A2088" s="5" t="str">
        <x:v>D06</x:v>
      </x:c>
      <x:c r="B2088" s="5" t="str">
        <x:v>D06-T01</x:v>
      </x:c>
      <x:c r="C2088" s="5" t="str">
        <x:v>5. Complete Company Financial Table (135 Facilities Analyzed)</x:v>
      </x:c>
      <x:c r="D2088" s="5" t="n">
        <x:v>285</x:v>
      </x:c>
      <x:c r="E2088" s="5" t="n">
        <x:v>4</x:v>
      </x:c>
      <x:c r="F2088" s="5" t="str">
        <x:v>Focus Area</x:v>
      </x:c>
      <x:c r="G2088" s="5" t="n">
        <x:v>1</x:v>
      </x:c>
      <x:c r="H2088" s="5" t="n">
        <x:v>1</x:v>
      </x:c>
      <x:c r="I2088" s="5" t="str">
        <x:v>Modular Cleanroom Facilities</x:v>
      </x:c>
      <x:c r="J2088" s="5" t="str">
        <x:v>SOURCE QUOTE; unvalidated / superseded assessments</x:v>
      </x:c>
      <x:c r="L2088" s="31" t="str">
        <x:v>D06, Markdown line 285; http://nas-1.tail55d152.ts.net:4100/static/MEDICAL_NORDICS_FINANCIALS_DOSSIER.html</x:v>
      </x:c>
    </x:row>
    <x:row r="2089" ht="42" customHeight="1">
      <x:c r="A2089" s="5" t="str">
        <x:v>D06</x:v>
      </x:c>
      <x:c r="B2089" s="5" t="str">
        <x:v>D06-T01</x:v>
      </x:c>
      <x:c r="C2089" s="5" t="str">
        <x:v>5. Complete Company Financial Table (135 Facilities Analyzed)</x:v>
      </x:c>
      <x:c r="D2089" s="5" t="n">
        <x:v>285</x:v>
      </x:c>
      <x:c r="E2089" s="5" t="n">
        <x:v>5</x:v>
      </x:c>
      <x:c r="F2089" s="5" t="str">
        <x:v>Revenue / Net Sales</x:v>
      </x:c>
      <x:c r="G2089" s="5" t="n">
        <x:v>1</x:v>
      </x:c>
      <x:c r="H2089" s="5" t="n">
        <x:v>1</x:v>
      </x:c>
      <x:c r="I2089" s="5" t="str">
        <x:v>SEK 520.0M est. (Morimatsu RMB 4.8B)</x:v>
      </x:c>
      <x:c r="J2089" s="5" t="str">
        <x:v>SOURCE QUOTE; unvalidated / superseded assessments</x:v>
      </x:c>
      <x:c r="L2089" s="31" t="str">
        <x:v>D06, Markdown line 285; http://nas-1.tail55d152.ts.net:4100/static/MEDICAL_NORDICS_FINANCIALS_DOSSIER.html</x:v>
      </x:c>
    </x:row>
    <x:row r="2090" ht="42" customHeight="1">
      <x:c r="A2090" s="5" t="str">
        <x:v>D06</x:v>
      </x:c>
      <x:c r="B2090" s="5" t="str">
        <x:v>D06-T01</x:v>
      </x:c>
      <x:c r="C2090" s="5" t="str">
        <x:v>5. Complete Company Financial Table (135 Facilities Analyzed)</x:v>
      </x:c>
      <x:c r="D2090" s="5" t="n">
        <x:v>285</x:v>
      </x:c>
      <x:c r="E2090" s="5" t="n">
        <x:v>6</x:v>
      </x:c>
      <x:c r="F2090" s="5" t="str">
        <x:v>R&amp;D Spend</x:v>
      </x:c>
      <x:c r="G2090" s="5" t="n">
        <x:v>1</x:v>
      </x:c>
      <x:c r="H2090" s="5" t="n">
        <x:v>1</x:v>
      </x:c>
      <x:c r="I2090" s="5" t="str">
        <x:v>SEK 28.0M</x:v>
      </x:c>
      <x:c r="J2090" s="5" t="str">
        <x:v>SOURCE QUOTE; unvalidated / superseded assessments</x:v>
      </x:c>
      <x:c r="L2090" s="31" t="str">
        <x:v>D06, Markdown line 285; http://nas-1.tail55d152.ts.net:4100/static/MEDICAL_NORDICS_FINANCIALS_DOSSIER.html</x:v>
      </x:c>
    </x:row>
    <x:row r="2091" ht="42" customHeight="1">
      <x:c r="A2091" s="5" t="str">
        <x:v>D06</x:v>
      </x:c>
      <x:c r="B2091" s="5" t="str">
        <x:v>D06-T01</x:v>
      </x:c>
      <x:c r="C2091" s="5" t="str">
        <x:v>5. Complete Company Financial Table (135 Facilities Analyzed)</x:v>
      </x:c>
      <x:c r="D2091" s="5" t="n">
        <x:v>285</x:v>
      </x:c>
      <x:c r="E2091" s="5" t="n">
        <x:v>7</x:v>
      </x:c>
      <x:c r="F2091" s="5" t="str">
        <x:v>Currency</x:v>
      </x:c>
      <x:c r="G2091" s="5" t="n">
        <x:v>1</x:v>
      </x:c>
      <x:c r="H2091" s="5" t="n">
        <x:v>1</x:v>
      </x:c>
      <x:c r="I2091" s="5" t="str">
        <x:v>SEK</x:v>
      </x:c>
      <x:c r="J2091" s="5" t="str">
        <x:v>SOURCE QUOTE; unvalidated / superseded assessments</x:v>
      </x:c>
      <x:c r="L2091" s="31" t="str">
        <x:v>D06, Markdown line 285; http://nas-1.tail55d152.ts.net:4100/static/MEDICAL_NORDICS_FINANCIALS_DOSSIER.html</x:v>
      </x:c>
    </x:row>
    <x:row r="2092" ht="42" customHeight="1">
      <x:c r="A2092" s="5" t="str">
        <x:v>D06</x:v>
      </x:c>
      <x:c r="B2092" s="5" t="str">
        <x:v>D06-T01</x:v>
      </x:c>
      <x:c r="C2092" s="5" t="str">
        <x:v>5. Complete Company Financial Table (135 Facilities Analyzed)</x:v>
      </x:c>
      <x:c r="D2092" s="5" t="n">
        <x:v>285</x:v>
      </x:c>
      <x:c r="E2092" s="5" t="n">
        <x:v>8</x:v>
      </x:c>
      <x:c r="F2092" s="5" t="str">
        <x:v>Fiscal Year</x:v>
      </x:c>
      <x:c r="G2092" s="5" t="n">
        <x:v>1</x:v>
      </x:c>
      <x:c r="H2092" s="5" t="n">
        <x:v>1</x:v>
      </x:c>
      <x:c r="I2092" s="5" t="str">
        <x:v>FY2023/24</x:v>
      </x:c>
      <x:c r="J2092" s="5" t="str">
        <x:v>SOURCE QUOTE; unvalidated / superseded assessments</x:v>
      </x:c>
      <x:c r="L2092" s="31" t="str">
        <x:v>D06, Markdown line 285; http://nas-1.tail55d152.ts.net:4100/static/MEDICAL_NORDICS_FINANCIALS_DOSSIER.html</x:v>
      </x:c>
    </x:row>
    <x:row r="2093" ht="42" customHeight="1">
      <x:c r="A2093" s="5" t="str">
        <x:v>D06</x:v>
      </x:c>
      <x:c r="B2093" s="5" t="str">
        <x:v>D06-T01</x:v>
      </x:c>
      <x:c r="C2093" s="5" t="str">
        <x:v>5. Complete Company Financial Table (135 Facilities Analyzed)</x:v>
      </x:c>
      <x:c r="D2093" s="5" t="n">
        <x:v>285</x:v>
      </x:c>
      <x:c r="E2093" s="5" t="n">
        <x:v>9</x:v>
      </x:c>
      <x:c r="F2093" s="5" t="str">
        <x:v>Status / Ownership / Strategic Service Alignment</x:v>
      </x:c>
      <x:c r="G2093" s="5" t="n">
        <x:v>1</x:v>
      </x:c>
      <x:c r="H2093" s="5" t="n">
        <x:v>1</x:v>
      </x:c>
      <x:c r="I2093" s="5" t="str">
        <x:v>Morimatsu (HKEX: 2155); Package D (Modular facility FAT/SAT digital commissioning)</x:v>
      </x:c>
      <x:c r="J2093" s="5" t="str">
        <x:v>SOURCE QUOTE; unvalidated / superseded assessments</x:v>
      </x:c>
      <x:c r="L2093" s="31" t="str">
        <x:v>D06, Markdown line 285; http://nas-1.tail55d152.ts.net:4100/static/MEDICAL_NORDICS_FINANCIALS_DOSSIER.html</x:v>
      </x:c>
    </x:row>
    <x:row r="2094" ht="42" customHeight="1">
      <x:c r="A2094" s="5" t="str">
        <x:v>D06</x:v>
      </x:c>
      <x:c r="B2094" s="5" t="str">
        <x:v>D06-T01</x:v>
      </x:c>
      <x:c r="C2094" s="5" t="str">
        <x:v>5. Complete Company Financial Table (135 Facilities Analyzed)</x:v>
      </x:c>
      <x:c r="D2094" s="5" t="n">
        <x:v>286</x:v>
      </x:c>
      <x:c r="E2094" s="5" t="n">
        <x:v>1</x:v>
      </x:c>
      <x:c r="F2094" s="5" t="str">
        <x:v>#</x:v>
      </x:c>
      <x:c r="G2094" s="5" t="n">
        <x:v>1</x:v>
      </x:c>
      <x:c r="H2094" s="5" t="n">
        <x:v>1</x:v>
      </x:c>
      <x:c r="I2094" s="5" t="str">
        <x:v>105</x:v>
      </x:c>
      <x:c r="J2094" s="5" t="str">
        <x:v>SOURCE QUOTE; unvalidated / superseded assessments</x:v>
      </x:c>
      <x:c r="L2094" s="31" t="str">
        <x:v>D06, Markdown line 286; http://nas-1.tail55d152.ts.net:4100/static/MEDICAL_NORDICS_FINANCIALS_DOSSIER.html</x:v>
      </x:c>
    </x:row>
    <x:row r="2095" ht="42" customHeight="1">
      <x:c r="A2095" s="5" t="str">
        <x:v>D06</x:v>
      </x:c>
      <x:c r="B2095" s="5" t="str">
        <x:v>D06-T01</x:v>
      </x:c>
      <x:c r="C2095" s="5" t="str">
        <x:v>5. Complete Company Financial Table (135 Facilities Analyzed)</x:v>
      </x:c>
      <x:c r="D2095" s="5" t="n">
        <x:v>286</x:v>
      </x:c>
      <x:c r="E2095" s="5" t="n">
        <x:v>2</x:v>
      </x:c>
      <x:c r="F2095" s="5" t="str">
        <x:v>Company</x:v>
      </x:c>
      <x:c r="G2095" s="5" t="n">
        <x:v>1</x:v>
      </x:c>
      <x:c r="H2095" s="5" t="n">
        <x:v>1</x:v>
      </x:c>
      <x:c r="I2095" s="5" t="str">
        <x:v>Pixelgen Technologies</x:v>
      </x:c>
      <x:c r="J2095" s="5" t="str">
        <x:v>SOURCE QUOTE; unvalidated / superseded assessments</x:v>
      </x:c>
      <x:c r="L2095" s="31" t="str">
        <x:v>D06, Markdown line 286; http://nas-1.tail55d152.ts.net:4100/static/MEDICAL_NORDICS_FINANCIALS_DOSSIER.html</x:v>
      </x:c>
    </x:row>
    <x:row r="2096" ht="42" customHeight="1">
      <x:c r="A2096" s="5" t="str">
        <x:v>D06</x:v>
      </x:c>
      <x:c r="B2096" s="5" t="str">
        <x:v>D06-T01</x:v>
      </x:c>
      <x:c r="C2096" s="5" t="str">
        <x:v>5. Complete Company Financial Table (135 Facilities Analyzed)</x:v>
      </x:c>
      <x:c r="D2096" s="5" t="n">
        <x:v>286</x:v>
      </x:c>
      <x:c r="E2096" s="5" t="n">
        <x:v>3</x:v>
      </x:c>
      <x:c r="F2096" s="5" t="str">
        <x:v>Location</x:v>
      </x:c>
      <x:c r="G2096" s="5" t="n">
        <x:v>1</x:v>
      </x:c>
      <x:c r="H2096" s="5" t="n">
        <x:v>1</x:v>
      </x:c>
      <x:c r="I2096" s="5" t="str">
        <x:v>Stockholm, Sweden</x:v>
      </x:c>
      <x:c r="J2096" s="5" t="str">
        <x:v>SOURCE QUOTE; unvalidated / superseded assessments</x:v>
      </x:c>
      <x:c r="L2096" s="31" t="str">
        <x:v>D06, Markdown line 286; http://nas-1.tail55d152.ts.net:4100/static/MEDICAL_NORDICS_FINANCIALS_DOSSIER.html</x:v>
      </x:c>
    </x:row>
    <x:row r="2097" ht="42" customHeight="1">
      <x:c r="A2097" s="5" t="str">
        <x:v>D06</x:v>
      </x:c>
      <x:c r="B2097" s="5" t="str">
        <x:v>D06-T01</x:v>
      </x:c>
      <x:c r="C2097" s="5" t="str">
        <x:v>5. Complete Company Financial Table (135 Facilities Analyzed)</x:v>
      </x:c>
      <x:c r="D2097" s="5" t="n">
        <x:v>286</x:v>
      </x:c>
      <x:c r="E2097" s="5" t="n">
        <x:v>4</x:v>
      </x:c>
      <x:c r="F2097" s="5" t="str">
        <x:v>Focus Area</x:v>
      </x:c>
      <x:c r="G2097" s="5" t="n">
        <x:v>1</x:v>
      </x:c>
      <x:c r="H2097" s="5" t="n">
        <x:v>1</x:v>
      </x:c>
      <x:c r="I2097" s="5" t="str">
        <x:v>Molecular Pixelation 3D Spatial Maps</x:v>
      </x:c>
      <x:c r="J2097" s="5" t="str">
        <x:v>SOURCE QUOTE; unvalidated / superseded assessments</x:v>
      </x:c>
      <x:c r="L2097" s="31" t="str">
        <x:v>D06, Markdown line 286; http://nas-1.tail55d152.ts.net:4100/static/MEDICAL_NORDICS_FINANCIALS_DOSSIER.html</x:v>
      </x:c>
    </x:row>
    <x:row r="2098" ht="42" customHeight="1">
      <x:c r="A2098" s="5" t="str">
        <x:v>D06</x:v>
      </x:c>
      <x:c r="B2098" s="5" t="str">
        <x:v>D06-T01</x:v>
      </x:c>
      <x:c r="C2098" s="5" t="str">
        <x:v>5. Complete Company Financial Table (135 Facilities Analyzed)</x:v>
      </x:c>
      <x:c r="D2098" s="5" t="n">
        <x:v>286</x:v>
      </x:c>
      <x:c r="E2098" s="5" t="n">
        <x:v>5</x:v>
      </x:c>
      <x:c r="F2098" s="5" t="str">
        <x:v>Revenue / Net Sales</x:v>
      </x:c>
      <x:c r="G2098" s="5" t="n">
        <x:v>1</x:v>
      </x:c>
      <x:c r="H2098" s="5" t="n">
        <x:v>1</x:v>
      </x:c>
      <x:c r="I2098" s="5" t="str">
        <x:v>SEK 7.5M est.</x:v>
      </x:c>
      <x:c r="J2098" s="5" t="str">
        <x:v>SOURCE QUOTE; unvalidated / superseded assessments</x:v>
      </x:c>
      <x:c r="L2098" s="31" t="str">
        <x:v>D06, Markdown line 286; http://nas-1.tail55d152.ts.net:4100/static/MEDICAL_NORDICS_FINANCIALS_DOSSIER.html</x:v>
      </x:c>
    </x:row>
    <x:row r="2099" ht="42" customHeight="1">
      <x:c r="A2099" s="5" t="str">
        <x:v>D06</x:v>
      </x:c>
      <x:c r="B2099" s="5" t="str">
        <x:v>D06-T01</x:v>
      </x:c>
      <x:c r="C2099" s="5" t="str">
        <x:v>5. Complete Company Financial Table (135 Facilities Analyzed)</x:v>
      </x:c>
      <x:c r="D2099" s="5" t="n">
        <x:v>286</x:v>
      </x:c>
      <x:c r="E2099" s="5" t="n">
        <x:v>6</x:v>
      </x:c>
      <x:c r="F2099" s="5" t="str">
        <x:v>R&amp;D Spend</x:v>
      </x:c>
      <x:c r="G2099" s="5" t="n">
        <x:v>1</x:v>
      </x:c>
      <x:c r="H2099" s="5" t="n">
        <x:v>1</x:v>
      </x:c>
      <x:c r="I2099" s="5" t="str">
        <x:v>SEK 65.0M</x:v>
      </x:c>
      <x:c r="J2099" s="5" t="str">
        <x:v>SOURCE QUOTE; unvalidated / superseded assessments</x:v>
      </x:c>
      <x:c r="L2099" s="31" t="str">
        <x:v>D06, Markdown line 286; http://nas-1.tail55d152.ts.net:4100/static/MEDICAL_NORDICS_FINANCIALS_DOSSIER.html</x:v>
      </x:c>
    </x:row>
    <x:row r="2100" ht="42" customHeight="1">
      <x:c r="A2100" s="5" t="str">
        <x:v>D06</x:v>
      </x:c>
      <x:c r="B2100" s="5" t="str">
        <x:v>D06-T01</x:v>
      </x:c>
      <x:c r="C2100" s="5" t="str">
        <x:v>5. Complete Company Financial Table (135 Facilities Analyzed)</x:v>
      </x:c>
      <x:c r="D2100" s="5" t="n">
        <x:v>286</x:v>
      </x:c>
      <x:c r="E2100" s="5" t="n">
        <x:v>7</x:v>
      </x:c>
      <x:c r="F2100" s="5" t="str">
        <x:v>Currency</x:v>
      </x:c>
      <x:c r="G2100" s="5" t="n">
        <x:v>1</x:v>
      </x:c>
      <x:c r="H2100" s="5" t="n">
        <x:v>1</x:v>
      </x:c>
      <x:c r="I2100" s="5" t="str">
        <x:v>SEK</x:v>
      </x:c>
      <x:c r="J2100" s="5" t="str">
        <x:v>SOURCE QUOTE; unvalidated / superseded assessments</x:v>
      </x:c>
      <x:c r="L2100" s="31" t="str">
        <x:v>D06, Markdown line 286; http://nas-1.tail55d152.ts.net:4100/static/MEDICAL_NORDICS_FINANCIALS_DOSSIER.html</x:v>
      </x:c>
    </x:row>
    <x:row r="2101" ht="42" customHeight="1">
      <x:c r="A2101" s="5" t="str">
        <x:v>D06</x:v>
      </x:c>
      <x:c r="B2101" s="5" t="str">
        <x:v>D06-T01</x:v>
      </x:c>
      <x:c r="C2101" s="5" t="str">
        <x:v>5. Complete Company Financial Table (135 Facilities Analyzed)</x:v>
      </x:c>
      <x:c r="D2101" s="5" t="n">
        <x:v>286</x:v>
      </x:c>
      <x:c r="E2101" s="5" t="n">
        <x:v>8</x:v>
      </x:c>
      <x:c r="F2101" s="5" t="str">
        <x:v>Fiscal Year</x:v>
      </x:c>
      <x:c r="G2101" s="5" t="n">
        <x:v>1</x:v>
      </x:c>
      <x:c r="H2101" s="5" t="n">
        <x:v>1</x:v>
      </x:c>
      <x:c r="I2101" s="5" t="str">
        <x:v>FY2024</x:v>
      </x:c>
      <x:c r="J2101" s="5" t="str">
        <x:v>SOURCE QUOTE; unvalidated / superseded assessments</x:v>
      </x:c>
      <x:c r="L2101" s="31" t="str">
        <x:v>D06, Markdown line 286; http://nas-1.tail55d152.ts.net:4100/static/MEDICAL_NORDICS_FINANCIALS_DOSSIER.html</x:v>
      </x:c>
    </x:row>
    <x:row r="2102" ht="42" customHeight="1">
      <x:c r="A2102" s="5" t="str">
        <x:v>D06</x:v>
      </x:c>
      <x:c r="B2102" s="5" t="str">
        <x:v>D06-T01</x:v>
      </x:c>
      <x:c r="C2102" s="5" t="str">
        <x:v>5. Complete Company Financial Table (135 Facilities Analyzed)</x:v>
      </x:c>
      <x:c r="D2102" s="5" t="n">
        <x:v>286</x:v>
      </x:c>
      <x:c r="E2102" s="5" t="n">
        <x:v>9</x:v>
      </x:c>
      <x:c r="F2102" s="5" t="str">
        <x:v>Status / Ownership / Strategic Service Alignment</x:v>
      </x:c>
      <x:c r="G2102" s="5" t="n">
        <x:v>1</x:v>
      </x:c>
      <x:c r="H2102" s="5" t="n">
        <x:v>1</x:v>
      </x:c>
      <x:c r="I2102" s="5" t="str">
        <x:v>Private ($15.5M Series B); Package E (High-dimensional spatial proteomics cloud backend)</x:v>
      </x:c>
      <x:c r="J2102" s="5" t="str">
        <x:v>SOURCE QUOTE; unvalidated / superseded assessments</x:v>
      </x:c>
      <x:c r="L2102" s="31" t="str">
        <x:v>D06, Markdown line 286; http://nas-1.tail55d152.ts.net:4100/static/MEDICAL_NORDICS_FINANCIALS_DOSSIER.html</x:v>
      </x:c>
    </x:row>
    <x:row r="2103" ht="42" customHeight="1">
      <x:c r="A2103" s="5" t="str">
        <x:v>D06</x:v>
      </x:c>
      <x:c r="B2103" s="5" t="str">
        <x:v>D06-T01</x:v>
      </x:c>
      <x:c r="C2103" s="5" t="str">
        <x:v>5. Complete Company Financial Table (135 Facilities Analyzed)</x:v>
      </x:c>
      <x:c r="D2103" s="5" t="n">
        <x:v>287</x:v>
      </x:c>
      <x:c r="E2103" s="5" t="n">
        <x:v>1</x:v>
      </x:c>
      <x:c r="F2103" s="5" t="str">
        <x:v>#</x:v>
      </x:c>
      <x:c r="G2103" s="5" t="n">
        <x:v>1</x:v>
      </x:c>
      <x:c r="H2103" s="5" t="n">
        <x:v>1</x:v>
      </x:c>
      <x:c r="I2103" s="5" t="str">
        <x:v>106</x:v>
      </x:c>
      <x:c r="J2103" s="5" t="str">
        <x:v>SOURCE QUOTE; unvalidated / superseded assessments</x:v>
      </x:c>
      <x:c r="L2103" s="31" t="str">
        <x:v>D06, Markdown line 287; http://nas-1.tail55d152.ts.net:4100/static/MEDICAL_NORDICS_FINANCIALS_DOSSIER.html</x:v>
      </x:c>
    </x:row>
    <x:row r="2104" ht="42" customHeight="1">
      <x:c r="A2104" s="5" t="str">
        <x:v>D06</x:v>
      </x:c>
      <x:c r="B2104" s="5" t="str">
        <x:v>D06-T01</x:v>
      </x:c>
      <x:c r="C2104" s="5" t="str">
        <x:v>5. Complete Company Financial Table (135 Facilities Analyzed)</x:v>
      </x:c>
      <x:c r="D2104" s="5" t="n">
        <x:v>287</x:v>
      </x:c>
      <x:c r="E2104" s="5" t="n">
        <x:v>2</x:v>
      </x:c>
      <x:c r="F2104" s="5" t="str">
        <x:v>Company</x:v>
      </x:c>
      <x:c r="G2104" s="5" t="n">
        <x:v>1</x:v>
      </x:c>
      <x:c r="H2104" s="5" t="n">
        <x:v>1</x:v>
      </x:c>
      <x:c r="I2104" s="5" t="str">
        <x:v>RaySearch Laboratories</x:v>
      </x:c>
      <x:c r="J2104" s="5" t="str">
        <x:v>SOURCE QUOTE; unvalidated / superseded assessments</x:v>
      </x:c>
      <x:c r="L2104" s="31" t="str">
        <x:v>D06, Markdown line 287; http://nas-1.tail55d152.ts.net:4100/static/MEDICAL_NORDICS_FINANCIALS_DOSSIER.html</x:v>
      </x:c>
    </x:row>
    <x:row r="2105" ht="42" customHeight="1">
      <x:c r="A2105" s="5" t="str">
        <x:v>D06</x:v>
      </x:c>
      <x:c r="B2105" s="5" t="str">
        <x:v>D06-T01</x:v>
      </x:c>
      <x:c r="C2105" s="5" t="str">
        <x:v>5. Complete Company Financial Table (135 Facilities Analyzed)</x:v>
      </x:c>
      <x:c r="D2105" s="5" t="n">
        <x:v>287</x:v>
      </x:c>
      <x:c r="E2105" s="5" t="n">
        <x:v>3</x:v>
      </x:c>
      <x:c r="F2105" s="5" t="str">
        <x:v>Location</x:v>
      </x:c>
      <x:c r="G2105" s="5" t="n">
        <x:v>1</x:v>
      </x:c>
      <x:c r="H2105" s="5" t="n">
        <x:v>1</x:v>
      </x:c>
      <x:c r="I2105" s="5" t="str">
        <x:v>Stockholm, Sweden</x:v>
      </x:c>
      <x:c r="J2105" s="5" t="str">
        <x:v>SOURCE QUOTE; unvalidated / superseded assessments</x:v>
      </x:c>
      <x:c r="L2105" s="31" t="str">
        <x:v>D06, Markdown line 287; http://nas-1.tail55d152.ts.net:4100/static/MEDICAL_NORDICS_FINANCIALS_DOSSIER.html</x:v>
      </x:c>
    </x:row>
    <x:row r="2106" ht="42" customHeight="1">
      <x:c r="A2106" s="5" t="str">
        <x:v>D06</x:v>
      </x:c>
      <x:c r="B2106" s="5" t="str">
        <x:v>D06-T01</x:v>
      </x:c>
      <x:c r="C2106" s="5" t="str">
        <x:v>5. Complete Company Financial Table (135 Facilities Analyzed)</x:v>
      </x:c>
      <x:c r="D2106" s="5" t="n">
        <x:v>287</x:v>
      </x:c>
      <x:c r="E2106" s="5" t="n">
        <x:v>4</x:v>
      </x:c>
      <x:c r="F2106" s="5" t="str">
        <x:v>Focus Area</x:v>
      </x:c>
      <x:c r="G2106" s="5" t="n">
        <x:v>1</x:v>
      </x:c>
      <x:c r="H2106" s="5" t="n">
        <x:v>1</x:v>
      </x:c>
      <x:c r="I2106" s="5" t="str">
        <x:v>RayStation Treatment Planning Software</x:v>
      </x:c>
      <x:c r="J2106" s="5" t="str">
        <x:v>SOURCE QUOTE; unvalidated / superseded assessments</x:v>
      </x:c>
      <x:c r="L2106" s="31" t="str">
        <x:v>D06, Markdown line 287; http://nas-1.tail55d152.ts.net:4100/static/MEDICAL_NORDICS_FINANCIALS_DOSSIER.html</x:v>
      </x:c>
    </x:row>
    <x:row r="2107" ht="42" customHeight="1">
      <x:c r="A2107" s="5" t="str">
        <x:v>D06</x:v>
      </x:c>
      <x:c r="B2107" s="5" t="str">
        <x:v>D06-T01</x:v>
      </x:c>
      <x:c r="C2107" s="5" t="str">
        <x:v>5. Complete Company Financial Table (135 Facilities Analyzed)</x:v>
      </x:c>
      <x:c r="D2107" s="5" t="n">
        <x:v>287</x:v>
      </x:c>
      <x:c r="E2107" s="5" t="n">
        <x:v>5</x:v>
      </x:c>
      <x:c r="F2107" s="5" t="str">
        <x:v>Revenue / Net Sales</x:v>
      </x:c>
      <x:c r="G2107" s="5" t="n">
        <x:v>1</x:v>
      </x:c>
      <x:c r="H2107" s="5" t="n">
        <x:v>1</x:v>
      </x:c>
      <x:c r="I2107" s="5" t="str">
        <x:v>SEK 1,192.0M (SEK 1,022M FY23)</x:v>
      </x:c>
      <x:c r="J2107" s="5" t="str">
        <x:v>SOURCE QUOTE; unvalidated / superseded assessments</x:v>
      </x:c>
      <x:c r="L2107" s="31" t="str">
        <x:v>D06, Markdown line 287; http://nas-1.tail55d152.ts.net:4100/static/MEDICAL_NORDICS_FINANCIALS_DOSSIER.html</x:v>
      </x:c>
    </x:row>
    <x:row r="2108" ht="42" customHeight="1">
      <x:c r="A2108" s="5" t="str">
        <x:v>D06</x:v>
      </x:c>
      <x:c r="B2108" s="5" t="str">
        <x:v>D06-T01</x:v>
      </x:c>
      <x:c r="C2108" s="5" t="str">
        <x:v>5. Complete Company Financial Table (135 Facilities Analyzed)</x:v>
      </x:c>
      <x:c r="D2108" s="5" t="n">
        <x:v>287</x:v>
      </x:c>
      <x:c r="E2108" s="5" t="n">
        <x:v>6</x:v>
      </x:c>
      <x:c r="F2108" s="5" t="str">
        <x:v>R&amp;D Spend</x:v>
      </x:c>
      <x:c r="G2108" s="5" t="n">
        <x:v>1</x:v>
      </x:c>
      <x:c r="H2108" s="5" t="n">
        <x:v>1</x:v>
      </x:c>
      <x:c r="I2108" s="5" t="str">
        <x:v>SEK 174.5M</x:v>
      </x:c>
      <x:c r="J2108" s="5" t="str">
        <x:v>SOURCE QUOTE; unvalidated / superseded assessments</x:v>
      </x:c>
      <x:c r="L2108" s="31" t="str">
        <x:v>D06, Markdown line 287; http://nas-1.tail55d152.ts.net:4100/static/MEDICAL_NORDICS_FINANCIALS_DOSSIER.html</x:v>
      </x:c>
    </x:row>
    <x:row r="2109" ht="42" customHeight="1">
      <x:c r="A2109" s="5" t="str">
        <x:v>D06</x:v>
      </x:c>
      <x:c r="B2109" s="5" t="str">
        <x:v>D06-T01</x:v>
      </x:c>
      <x:c r="C2109" s="5" t="str">
        <x:v>5. Complete Company Financial Table (135 Facilities Analyzed)</x:v>
      </x:c>
      <x:c r="D2109" s="5" t="n">
        <x:v>287</x:v>
      </x:c>
      <x:c r="E2109" s="5" t="n">
        <x:v>7</x:v>
      </x:c>
      <x:c r="F2109" s="5" t="str">
        <x:v>Currency</x:v>
      </x:c>
      <x:c r="G2109" s="5" t="n">
        <x:v>1</x:v>
      </x:c>
      <x:c r="H2109" s="5" t="n">
        <x:v>1</x:v>
      </x:c>
      <x:c r="I2109" s="5" t="str">
        <x:v>SEK</x:v>
      </x:c>
      <x:c r="J2109" s="5" t="str">
        <x:v>SOURCE QUOTE; unvalidated / superseded assessments</x:v>
      </x:c>
      <x:c r="L2109" s="31" t="str">
        <x:v>D06, Markdown line 287; http://nas-1.tail55d152.ts.net:4100/static/MEDICAL_NORDICS_FINANCIALS_DOSSIER.html</x:v>
      </x:c>
    </x:row>
    <x:row r="2110" ht="42" customHeight="1">
      <x:c r="A2110" s="5" t="str">
        <x:v>D06</x:v>
      </x:c>
      <x:c r="B2110" s="5" t="str">
        <x:v>D06-T01</x:v>
      </x:c>
      <x:c r="C2110" s="5" t="str">
        <x:v>5. Complete Company Financial Table (135 Facilities Analyzed)</x:v>
      </x:c>
      <x:c r="D2110" s="5" t="n">
        <x:v>287</x:v>
      </x:c>
      <x:c r="E2110" s="5" t="n">
        <x:v>8</x:v>
      </x:c>
      <x:c r="F2110" s="5" t="str">
        <x:v>Fiscal Year</x:v>
      </x:c>
      <x:c r="G2110" s="5" t="n">
        <x:v>1</x:v>
      </x:c>
      <x:c r="H2110" s="5" t="n">
        <x:v>1</x:v>
      </x:c>
      <x:c r="I2110" s="5" t="str">
        <x:v>FY2024</x:v>
      </x:c>
      <x:c r="J2110" s="5" t="str">
        <x:v>SOURCE QUOTE; unvalidated / superseded assessments</x:v>
      </x:c>
      <x:c r="L2110" s="31" t="str">
        <x:v>D06, Markdown line 287; http://nas-1.tail55d152.ts.net:4100/static/MEDICAL_NORDICS_FINANCIALS_DOSSIER.html</x:v>
      </x:c>
    </x:row>
    <x:row r="2111" ht="42" customHeight="1">
      <x:c r="A2111" s="5" t="str">
        <x:v>D06</x:v>
      </x:c>
      <x:c r="B2111" s="5" t="str">
        <x:v>D06-T01</x:v>
      </x:c>
      <x:c r="C2111" s="5" t="str">
        <x:v>5. Complete Company Financial Table (135 Facilities Analyzed)</x:v>
      </x:c>
      <x:c r="D2111" s="5" t="n">
        <x:v>287</x:v>
      </x:c>
      <x:c r="E2111" s="5" t="n">
        <x:v>9</x:v>
      </x:c>
      <x:c r="F2111" s="5" t="str">
        <x:v>Status / Ownership / Strategic Service Alignment</x:v>
      </x:c>
      <x:c r="G2111" s="5" t="n">
        <x:v>1</x:v>
      </x:c>
      <x:c r="H2111" s="5" t="n">
        <x:v>1</x:v>
      </x:c>
      <x:c r="I2111" s="5" t="str">
        <x:v>Listed (Nasdaq: RAY B); Package A &amp; E (Oncology clinic software adoption &amp; AI QA files)</x:v>
      </x:c>
      <x:c r="J2111" s="5" t="str">
        <x:v>SOURCE QUOTE; unvalidated / superseded assessments</x:v>
      </x:c>
      <x:c r="L2111" s="31" t="str">
        <x:v>D06, Markdown line 287; http://nas-1.tail55d152.ts.net:4100/static/MEDICAL_NORDICS_FINANCIALS_DOSSIER.html</x:v>
      </x:c>
    </x:row>
    <x:row r="2112" ht="42" customHeight="1">
      <x:c r="A2112" s="5" t="str">
        <x:v>D06</x:v>
      </x:c>
      <x:c r="B2112" s="5" t="str">
        <x:v>D06-T01</x:v>
      </x:c>
      <x:c r="C2112" s="5" t="str">
        <x:v>5. Complete Company Financial Table (135 Facilities Analyzed)</x:v>
      </x:c>
      <x:c r="D2112" s="5" t="n">
        <x:v>288</x:v>
      </x:c>
      <x:c r="E2112" s="5" t="n">
        <x:v>1</x:v>
      </x:c>
      <x:c r="F2112" s="5" t="str">
        <x:v>#</x:v>
      </x:c>
      <x:c r="G2112" s="5" t="n">
        <x:v>1</x:v>
      </x:c>
      <x:c r="H2112" s="5" t="n">
        <x:v>1</x:v>
      </x:c>
      <x:c r="I2112" s="5" t="str">
        <x:v>107</x:v>
      </x:c>
      <x:c r="J2112" s="5" t="str">
        <x:v>SOURCE QUOTE; unvalidated / superseded assessments</x:v>
      </x:c>
      <x:c r="L2112" s="31" t="str">
        <x:v>D06, Markdown line 288; http://nas-1.tail55d152.ts.net:4100/static/MEDICAL_NORDICS_FINANCIALS_DOSSIER.html</x:v>
      </x:c>
    </x:row>
    <x:row r="2113" ht="42" customHeight="1">
      <x:c r="A2113" s="5" t="str">
        <x:v>D06</x:v>
      </x:c>
      <x:c r="B2113" s="5" t="str">
        <x:v>D06-T01</x:v>
      </x:c>
      <x:c r="C2113" s="5" t="str">
        <x:v>5. Complete Company Financial Table (135 Facilities Analyzed)</x:v>
      </x:c>
      <x:c r="D2113" s="5" t="n">
        <x:v>288</x:v>
      </x:c>
      <x:c r="E2113" s="5" t="n">
        <x:v>2</x:v>
      </x:c>
      <x:c r="F2113" s="5" t="str">
        <x:v>Company</x:v>
      </x:c>
      <x:c r="G2113" s="5" t="n">
        <x:v>1</x:v>
      </x:c>
      <x:c r="H2113" s="5" t="n">
        <x:v>1</x:v>
      </x:c>
      <x:c r="I2113" s="5" t="str">
        <x:v>Recipharm</x:v>
      </x:c>
      <x:c r="J2113" s="5" t="str">
        <x:v>SOURCE QUOTE; unvalidated / superseded assessments</x:v>
      </x:c>
      <x:c r="L2113" s="31" t="str">
        <x:v>D06, Markdown line 288; http://nas-1.tail55d152.ts.net:4100/static/MEDICAL_NORDICS_FINANCIALS_DOSSIER.html</x:v>
      </x:c>
    </x:row>
    <x:row r="2114" ht="42" customHeight="1">
      <x:c r="A2114" s="5" t="str">
        <x:v>D06</x:v>
      </x:c>
      <x:c r="B2114" s="5" t="str">
        <x:v>D06-T01</x:v>
      </x:c>
      <x:c r="C2114" s="5" t="str">
        <x:v>5. Complete Company Financial Table (135 Facilities Analyzed)</x:v>
      </x:c>
      <x:c r="D2114" s="5" t="n">
        <x:v>288</x:v>
      </x:c>
      <x:c r="E2114" s="5" t="n">
        <x:v>3</x:v>
      </x:c>
      <x:c r="F2114" s="5" t="str">
        <x:v>Location</x:v>
      </x:c>
      <x:c r="G2114" s="5" t="n">
        <x:v>1</x:v>
      </x:c>
      <x:c r="H2114" s="5" t="n">
        <x:v>1</x:v>
      </x:c>
      <x:c r="I2114" s="5" t="str">
        <x:v>Stockholm, Sweden</x:v>
      </x:c>
      <x:c r="J2114" s="5" t="str">
        <x:v>SOURCE QUOTE; unvalidated / superseded assessments</x:v>
      </x:c>
      <x:c r="L2114" s="31" t="str">
        <x:v>D06, Markdown line 288; http://nas-1.tail55d152.ts.net:4100/static/MEDICAL_NORDICS_FINANCIALS_DOSSIER.html</x:v>
      </x:c>
    </x:row>
    <x:row r="2115" ht="42" customHeight="1">
      <x:c r="A2115" s="5" t="str">
        <x:v>D06</x:v>
      </x:c>
      <x:c r="B2115" s="5" t="str">
        <x:v>D06-T01</x:v>
      </x:c>
      <x:c r="C2115" s="5" t="str">
        <x:v>5. Complete Company Financial Table (135 Facilities Analyzed)</x:v>
      </x:c>
      <x:c r="D2115" s="5" t="n">
        <x:v>288</x:v>
      </x:c>
      <x:c r="E2115" s="5" t="n">
        <x:v>4</x:v>
      </x:c>
      <x:c r="F2115" s="5" t="str">
        <x:v>Focus Area</x:v>
      </x:c>
      <x:c r="G2115" s="5" t="n">
        <x:v>1</x:v>
      </x:c>
      <x:c r="H2115" s="5" t="n">
        <x:v>1</x:v>
      </x:c>
      <x:c r="I2115" s="5" t="str">
        <x:v>Global Sterile Injectable &amp; Solid CDMO</x:v>
      </x:c>
      <x:c r="J2115" s="5" t="str">
        <x:v>SOURCE QUOTE; unvalidated / superseded assessments</x:v>
      </x:c>
      <x:c r="L2115" s="31" t="str">
        <x:v>D06, Markdown line 288; http://nas-1.tail55d152.ts.net:4100/static/MEDICAL_NORDICS_FINANCIALS_DOSSIER.html</x:v>
      </x:c>
    </x:row>
    <x:row r="2116" ht="42" customHeight="1">
      <x:c r="A2116" s="5" t="str">
        <x:v>D06</x:v>
      </x:c>
      <x:c r="B2116" s="5" t="str">
        <x:v>D06-T01</x:v>
      </x:c>
      <x:c r="C2116" s="5" t="str">
        <x:v>5. Complete Company Financial Table (135 Facilities Analyzed)</x:v>
      </x:c>
      <x:c r="D2116" s="5" t="n">
        <x:v>288</x:v>
      </x:c>
      <x:c r="E2116" s="5" t="n">
        <x:v>5</x:v>
      </x:c>
      <x:c r="F2116" s="5" t="str">
        <x:v>Revenue / Net Sales</x:v>
      </x:c>
      <x:c r="G2116" s="5" t="n">
        <x:v>1</x:v>
      </x:c>
      <x:c r="H2116" s="5" t="n">
        <x:v>1</x:v>
      </x:c>
      <x:c r="I2116" s="5" t="str">
        <x:v>SEK 12,400.0M est. (~EUR 1.1B)</x:v>
      </x:c>
      <x:c r="J2116" s="5" t="str">
        <x:v>SOURCE QUOTE; unvalidated / superseded assessments</x:v>
      </x:c>
      <x:c r="L2116" s="31" t="str">
        <x:v>D06, Markdown line 288; http://nas-1.tail55d152.ts.net:4100/static/MEDICAL_NORDICS_FINANCIALS_DOSSIER.html</x:v>
      </x:c>
    </x:row>
    <x:row r="2117" ht="42" customHeight="1">
      <x:c r="A2117" s="5" t="str">
        <x:v>D06</x:v>
      </x:c>
      <x:c r="B2117" s="5" t="str">
        <x:v>D06-T01</x:v>
      </x:c>
      <x:c r="C2117" s="5" t="str">
        <x:v>5. Complete Company Financial Table (135 Facilities Analyzed)</x:v>
      </x:c>
      <x:c r="D2117" s="5" t="n">
        <x:v>288</x:v>
      </x:c>
      <x:c r="E2117" s="5" t="n">
        <x:v>6</x:v>
      </x:c>
      <x:c r="F2117" s="5" t="str">
        <x:v>R&amp;D Spend</x:v>
      </x:c>
      <x:c r="G2117" s="5" t="n">
        <x:v>1</x:v>
      </x:c>
      <x:c r="H2117" s="5" t="n">
        <x:v>1</x:v>
      </x:c>
      <x:c r="I2117" s="5" t="str">
        <x:v>SEK 380.0M est.</x:v>
      </x:c>
      <x:c r="J2117" s="5" t="str">
        <x:v>SOURCE QUOTE; unvalidated / superseded assessments</x:v>
      </x:c>
      <x:c r="L2117" s="31" t="str">
        <x:v>D06, Markdown line 288; http://nas-1.tail55d152.ts.net:4100/static/MEDICAL_NORDICS_FINANCIALS_DOSSIER.html</x:v>
      </x:c>
    </x:row>
    <x:row r="2118" ht="42" customHeight="1">
      <x:c r="A2118" s="5" t="str">
        <x:v>D06</x:v>
      </x:c>
      <x:c r="B2118" s="5" t="str">
        <x:v>D06-T01</x:v>
      </x:c>
      <x:c r="C2118" s="5" t="str">
        <x:v>5. Complete Company Financial Table (135 Facilities Analyzed)</x:v>
      </x:c>
      <x:c r="D2118" s="5" t="n">
        <x:v>288</x:v>
      </x:c>
      <x:c r="E2118" s="5" t="n">
        <x:v>7</x:v>
      </x:c>
      <x:c r="F2118" s="5" t="str">
        <x:v>Currency</x:v>
      </x:c>
      <x:c r="G2118" s="5" t="n">
        <x:v>1</x:v>
      </x:c>
      <x:c r="H2118" s="5" t="n">
        <x:v>1</x:v>
      </x:c>
      <x:c r="I2118" s="5" t="str">
        <x:v>SEK</x:v>
      </x:c>
      <x:c r="J2118" s="5" t="str">
        <x:v>SOURCE QUOTE; unvalidated / superseded assessments</x:v>
      </x:c>
      <x:c r="L2118" s="31" t="str">
        <x:v>D06, Markdown line 288; http://nas-1.tail55d152.ts.net:4100/static/MEDICAL_NORDICS_FINANCIALS_DOSSIER.html</x:v>
      </x:c>
    </x:row>
    <x:row r="2119" ht="42" customHeight="1">
      <x:c r="A2119" s="5" t="str">
        <x:v>D06</x:v>
      </x:c>
      <x:c r="B2119" s="5" t="str">
        <x:v>D06-T01</x:v>
      </x:c>
      <x:c r="C2119" s="5" t="str">
        <x:v>5. Complete Company Financial Table (135 Facilities Analyzed)</x:v>
      </x:c>
      <x:c r="D2119" s="5" t="n">
        <x:v>288</x:v>
      </x:c>
      <x:c r="E2119" s="5" t="n">
        <x:v>8</x:v>
      </x:c>
      <x:c r="F2119" s="5" t="str">
        <x:v>Fiscal Year</x:v>
      </x:c>
      <x:c r="G2119" s="5" t="n">
        <x:v>1</x:v>
      </x:c>
      <x:c r="H2119" s="5" t="n">
        <x:v>1</x:v>
      </x:c>
      <x:c r="I2119" s="5" t="str">
        <x:v>FY2023/24</x:v>
      </x:c>
      <x:c r="J2119" s="5" t="str">
        <x:v>SOURCE QUOTE; unvalidated / superseded assessments</x:v>
      </x:c>
      <x:c r="L2119" s="31" t="str">
        <x:v>D06, Markdown line 288; http://nas-1.tail55d152.ts.net:4100/static/MEDICAL_NORDICS_FINANCIALS_DOSSIER.html</x:v>
      </x:c>
    </x:row>
    <x:row r="2120" ht="42" customHeight="1">
      <x:c r="A2120" s="5" t="str">
        <x:v>D06</x:v>
      </x:c>
      <x:c r="B2120" s="5" t="str">
        <x:v>D06-T01</x:v>
      </x:c>
      <x:c r="C2120" s="5" t="str">
        <x:v>5. Complete Company Financial Table (135 Facilities Analyzed)</x:v>
      </x:c>
      <x:c r="D2120" s="5" t="n">
        <x:v>288</x:v>
      </x:c>
      <x:c r="E2120" s="5" t="n">
        <x:v>9</x:v>
      </x:c>
      <x:c r="F2120" s="5" t="str">
        <x:v>Status / Ownership / Strategic Service Alignment</x:v>
      </x:c>
      <x:c r="G2120" s="5" t="n">
        <x:v>1</x:v>
      </x:c>
      <x:c r="H2120" s="5" t="n">
        <x:v>1</x:v>
      </x:c>
      <x:c r="I2120" s="5" t="str">
        <x:v>EQT owned; Package D (Multisite CDMO batch turnaround &amp; changeover optimization)</x:v>
      </x:c>
      <x:c r="J2120" s="5" t="str">
        <x:v>SOURCE QUOTE; unvalidated / superseded assessments</x:v>
      </x:c>
      <x:c r="L2120" s="31" t="str">
        <x:v>D06, Markdown line 288; http://nas-1.tail55d152.ts.net:4100/static/MEDICAL_NORDICS_FINANCIALS_DOSSIER.html</x:v>
      </x:c>
    </x:row>
    <x:row r="2121" ht="42" customHeight="1">
      <x:c r="A2121" s="5" t="str">
        <x:v>D06</x:v>
      </x:c>
      <x:c r="B2121" s="5" t="str">
        <x:v>D06-T01</x:v>
      </x:c>
      <x:c r="C2121" s="5" t="str">
        <x:v>5. Complete Company Financial Table (135 Facilities Analyzed)</x:v>
      </x:c>
      <x:c r="D2121" s="5" t="n">
        <x:v>289</x:v>
      </x:c>
      <x:c r="E2121" s="5" t="n">
        <x:v>1</x:v>
      </x:c>
      <x:c r="F2121" s="5" t="str">
        <x:v>#</x:v>
      </x:c>
      <x:c r="G2121" s="5" t="n">
        <x:v>1</x:v>
      </x:c>
      <x:c r="H2121" s="5" t="n">
        <x:v>1</x:v>
      </x:c>
      <x:c r="I2121" s="5" t="str">
        <x:v>108</x:v>
      </x:c>
      <x:c r="J2121" s="5" t="str">
        <x:v>SOURCE QUOTE; unvalidated / superseded assessments</x:v>
      </x:c>
      <x:c r="L2121" s="31" t="str">
        <x:v>D06, Markdown line 289; http://nas-1.tail55d152.ts.net:4100/static/MEDICAL_NORDICS_FINANCIALS_DOSSIER.html</x:v>
      </x:c>
    </x:row>
    <x:row r="2122" ht="42" customHeight="1">
      <x:c r="A2122" s="5" t="str">
        <x:v>D06</x:v>
      </x:c>
      <x:c r="B2122" s="5" t="str">
        <x:v>D06-T01</x:v>
      </x:c>
      <x:c r="C2122" s="5" t="str">
        <x:v>5. Complete Company Financial Table (135 Facilities Analyzed)</x:v>
      </x:c>
      <x:c r="D2122" s="5" t="n">
        <x:v>289</x:v>
      </x:c>
      <x:c r="E2122" s="5" t="n">
        <x:v>2</x:v>
      </x:c>
      <x:c r="F2122" s="5" t="str">
        <x:v>Company</x:v>
      </x:c>
      <x:c r="G2122" s="5" t="n">
        <x:v>1</x:v>
      </x:c>
      <x:c r="H2122" s="5" t="n">
        <x:v>1</x:v>
      </x:c>
      <x:c r="I2122" s="5" t="str">
        <x:v>Salipro Biotech</x:v>
      </x:c>
      <x:c r="J2122" s="5" t="str">
        <x:v>SOURCE QUOTE; unvalidated / superseded assessments</x:v>
      </x:c>
      <x:c r="L2122" s="31" t="str">
        <x:v>D06, Markdown line 289; http://nas-1.tail55d152.ts.net:4100/static/MEDICAL_NORDICS_FINANCIALS_DOSSIER.html</x:v>
      </x:c>
    </x:row>
    <x:row r="2123" ht="42" customHeight="1">
      <x:c r="A2123" s="5" t="str">
        <x:v>D06</x:v>
      </x:c>
      <x:c r="B2123" s="5" t="str">
        <x:v>D06-T01</x:v>
      </x:c>
      <x:c r="C2123" s="5" t="str">
        <x:v>5. Complete Company Financial Table (135 Facilities Analyzed)</x:v>
      </x:c>
      <x:c r="D2123" s="5" t="n">
        <x:v>289</x:v>
      </x:c>
      <x:c r="E2123" s="5" t="n">
        <x:v>3</x:v>
      </x:c>
      <x:c r="F2123" s="5" t="str">
        <x:v>Location</x:v>
      </x:c>
      <x:c r="G2123" s="5" t="n">
        <x:v>1</x:v>
      </x:c>
      <x:c r="H2123" s="5" t="n">
        <x:v>1</x:v>
      </x:c>
      <x:c r="I2123" s="5" t="str">
        <x:v>Stockholm, Sweden</x:v>
      </x:c>
      <x:c r="J2123" s="5" t="str">
        <x:v>SOURCE QUOTE; unvalidated / superseded assessments</x:v>
      </x:c>
      <x:c r="L2123" s="31" t="str">
        <x:v>D06, Markdown line 289; http://nas-1.tail55d152.ts.net:4100/static/MEDICAL_NORDICS_FINANCIALS_DOSSIER.html</x:v>
      </x:c>
    </x:row>
    <x:row r="2124" ht="42" customHeight="1">
      <x:c r="A2124" s="5" t="str">
        <x:v>D06</x:v>
      </x:c>
      <x:c r="B2124" s="5" t="str">
        <x:v>D06-T01</x:v>
      </x:c>
      <x:c r="C2124" s="5" t="str">
        <x:v>5. Complete Company Financial Table (135 Facilities Analyzed)</x:v>
      </x:c>
      <x:c r="D2124" s="5" t="n">
        <x:v>289</x:v>
      </x:c>
      <x:c r="E2124" s="5" t="n">
        <x:v>4</x:v>
      </x:c>
      <x:c r="F2124" s="5" t="str">
        <x:v>Focus Area</x:v>
      </x:c>
      <x:c r="G2124" s="5" t="n">
        <x:v>1</x:v>
      </x:c>
      <x:c r="H2124" s="5" t="n">
        <x:v>1</x:v>
      </x:c>
      <x:c r="I2124" s="5" t="str">
        <x:v>Direct MX Membrane Protein Tech</x:v>
      </x:c>
      <x:c r="J2124" s="5" t="str">
        <x:v>SOURCE QUOTE; unvalidated / superseded assessments</x:v>
      </x:c>
      <x:c r="L2124" s="31" t="str">
        <x:v>D06, Markdown line 289; http://nas-1.tail55d152.ts.net:4100/static/MEDICAL_NORDICS_FINANCIALS_DOSSIER.html</x:v>
      </x:c>
    </x:row>
    <x:row r="2125" ht="42" customHeight="1">
      <x:c r="A2125" s="5" t="str">
        <x:v>D06</x:v>
      </x:c>
      <x:c r="B2125" s="5" t="str">
        <x:v>D06-T01</x:v>
      </x:c>
      <x:c r="C2125" s="5" t="str">
        <x:v>5. Complete Company Financial Table (135 Facilities Analyzed)</x:v>
      </x:c>
      <x:c r="D2125" s="5" t="n">
        <x:v>289</x:v>
      </x:c>
      <x:c r="E2125" s="5" t="n">
        <x:v>5</x:v>
      </x:c>
      <x:c r="F2125" s="5" t="str">
        <x:v>Revenue / Net Sales</x:v>
      </x:c>
      <x:c r="G2125" s="5" t="n">
        <x:v>1</x:v>
      </x:c>
      <x:c r="H2125" s="5" t="n">
        <x:v>1</x:v>
      </x:c>
      <x:c r="I2125" s="5" t="str">
        <x:v>SEK 35.0M</x:v>
      </x:c>
      <x:c r="J2125" s="5" t="str">
        <x:v>SOURCE QUOTE; unvalidated / superseded assessments</x:v>
      </x:c>
      <x:c r="L2125" s="31" t="str">
        <x:v>D06, Markdown line 289; http://nas-1.tail55d152.ts.net:4100/static/MEDICAL_NORDICS_FINANCIALS_DOSSIER.html</x:v>
      </x:c>
    </x:row>
    <x:row r="2126" ht="42" customHeight="1">
      <x:c r="A2126" s="5" t="str">
        <x:v>D06</x:v>
      </x:c>
      <x:c r="B2126" s="5" t="str">
        <x:v>D06-T01</x:v>
      </x:c>
      <x:c r="C2126" s="5" t="str">
        <x:v>5. Complete Company Financial Table (135 Facilities Analyzed)</x:v>
      </x:c>
      <x:c r="D2126" s="5" t="n">
        <x:v>289</x:v>
      </x:c>
      <x:c r="E2126" s="5" t="n">
        <x:v>6</x:v>
      </x:c>
      <x:c r="F2126" s="5" t="str">
        <x:v>R&amp;D Spend</x:v>
      </x:c>
      <x:c r="G2126" s="5" t="n">
        <x:v>1</x:v>
      </x:c>
      <x:c r="H2126" s="5" t="n">
        <x:v>1</x:v>
      </x:c>
      <x:c r="I2126" s="5" t="str">
        <x:v>SEK 24.0M</x:v>
      </x:c>
      <x:c r="J2126" s="5" t="str">
        <x:v>SOURCE QUOTE; unvalidated / superseded assessments</x:v>
      </x:c>
      <x:c r="L2126" s="31" t="str">
        <x:v>D06, Markdown line 289; http://nas-1.tail55d152.ts.net:4100/static/MEDICAL_NORDICS_FINANCIALS_DOSSIER.html</x:v>
      </x:c>
    </x:row>
    <x:row r="2127" ht="42" customHeight="1">
      <x:c r="A2127" s="5" t="str">
        <x:v>D06</x:v>
      </x:c>
      <x:c r="B2127" s="5" t="str">
        <x:v>D06-T01</x:v>
      </x:c>
      <x:c r="C2127" s="5" t="str">
        <x:v>5. Complete Company Financial Table (135 Facilities Analyzed)</x:v>
      </x:c>
      <x:c r="D2127" s="5" t="n">
        <x:v>289</x:v>
      </x:c>
      <x:c r="E2127" s="5" t="n">
        <x:v>7</x:v>
      </x:c>
      <x:c r="F2127" s="5" t="str">
        <x:v>Currency</x:v>
      </x:c>
      <x:c r="G2127" s="5" t="n">
        <x:v>1</x:v>
      </x:c>
      <x:c r="H2127" s="5" t="n">
        <x:v>1</x:v>
      </x:c>
      <x:c r="I2127" s="5" t="str">
        <x:v>SEK</x:v>
      </x:c>
      <x:c r="J2127" s="5" t="str">
        <x:v>SOURCE QUOTE; unvalidated / superseded assessments</x:v>
      </x:c>
      <x:c r="L2127" s="31" t="str">
        <x:v>D06, Markdown line 289; http://nas-1.tail55d152.ts.net:4100/static/MEDICAL_NORDICS_FINANCIALS_DOSSIER.html</x:v>
      </x:c>
    </x:row>
    <x:row r="2128" ht="42" customHeight="1">
      <x:c r="A2128" s="5" t="str">
        <x:v>D06</x:v>
      </x:c>
      <x:c r="B2128" s="5" t="str">
        <x:v>D06-T01</x:v>
      </x:c>
      <x:c r="C2128" s="5" t="str">
        <x:v>5. Complete Company Financial Table (135 Facilities Analyzed)</x:v>
      </x:c>
      <x:c r="D2128" s="5" t="n">
        <x:v>289</x:v>
      </x:c>
      <x:c r="E2128" s="5" t="n">
        <x:v>8</x:v>
      </x:c>
      <x:c r="F2128" s="5" t="str">
        <x:v>Fiscal Year</x:v>
      </x:c>
      <x:c r="G2128" s="5" t="n">
        <x:v>1</x:v>
      </x:c>
      <x:c r="H2128" s="5" t="n">
        <x:v>1</x:v>
      </x:c>
      <x:c r="I2128" s="5" t="str">
        <x:v>FY2023/24</x:v>
      </x:c>
      <x:c r="J2128" s="5" t="str">
        <x:v>SOURCE QUOTE; unvalidated / superseded assessments</x:v>
      </x:c>
      <x:c r="L2128" s="31" t="str">
        <x:v>D06, Markdown line 289; http://nas-1.tail55d152.ts.net:4100/static/MEDICAL_NORDICS_FINANCIALS_DOSSIER.html</x:v>
      </x:c>
    </x:row>
    <x:row r="2129" ht="42" customHeight="1">
      <x:c r="A2129" s="5" t="str">
        <x:v>D06</x:v>
      </x:c>
      <x:c r="B2129" s="5" t="str">
        <x:v>D06-T01</x:v>
      </x:c>
      <x:c r="C2129" s="5" t="str">
        <x:v>5. Complete Company Financial Table (135 Facilities Analyzed)</x:v>
      </x:c>
      <x:c r="D2129" s="5" t="n">
        <x:v>289</x:v>
      </x:c>
      <x:c r="E2129" s="5" t="n">
        <x:v>9</x:v>
      </x:c>
      <x:c r="F2129" s="5" t="str">
        <x:v>Status / Ownership / Strategic Service Alignment</x:v>
      </x:c>
      <x:c r="G2129" s="5" t="n">
        <x:v>1</x:v>
      </x:c>
      <x:c r="H2129" s="5" t="n">
        <x:v>1</x:v>
      </x:c>
      <x:c r="I2129" s="5" t="str">
        <x:v>Partnered with Sanofi; Package B (Pharma collaboration data management portal)</x:v>
      </x:c>
      <x:c r="J2129" s="5" t="str">
        <x:v>SOURCE QUOTE; unvalidated / superseded assessments</x:v>
      </x:c>
      <x:c r="L2129" s="31" t="str">
        <x:v>D06, Markdown line 289; http://nas-1.tail55d152.ts.net:4100/static/MEDICAL_NORDICS_FINANCIALS_DOSSIER.html</x:v>
      </x:c>
    </x:row>
    <x:row r="2130" ht="42" customHeight="1">
      <x:c r="A2130" s="5" t="str">
        <x:v>D06</x:v>
      </x:c>
      <x:c r="B2130" s="5" t="str">
        <x:v>D06-T01</x:v>
      </x:c>
      <x:c r="C2130" s="5" t="str">
        <x:v>5. Complete Company Financial Table (135 Facilities Analyzed)</x:v>
      </x:c>
      <x:c r="D2130" s="5" t="n">
        <x:v>290</x:v>
      </x:c>
      <x:c r="E2130" s="5" t="n">
        <x:v>1</x:v>
      </x:c>
      <x:c r="F2130" s="5" t="str">
        <x:v>#</x:v>
      </x:c>
      <x:c r="G2130" s="5" t="n">
        <x:v>1</x:v>
      </x:c>
      <x:c r="H2130" s="5" t="n">
        <x:v>1</x:v>
      </x:c>
      <x:c r="I2130" s="5" t="str">
        <x:v>109</x:v>
      </x:c>
      <x:c r="J2130" s="5" t="str">
        <x:v>SOURCE QUOTE; unvalidated / superseded assessments</x:v>
      </x:c>
      <x:c r="L2130" s="31" t="str">
        <x:v>D06, Markdown line 290; http://nas-1.tail55d152.ts.net:4100/static/MEDICAL_NORDICS_FINANCIALS_DOSSIER.html</x:v>
      </x:c>
    </x:row>
    <x:row r="2131" ht="42" customHeight="1">
      <x:c r="A2131" s="5" t="str">
        <x:v>D06</x:v>
      </x:c>
      <x:c r="B2131" s="5" t="str">
        <x:v>D06-T01</x:v>
      </x:c>
      <x:c r="C2131" s="5" t="str">
        <x:v>5. Complete Company Financial Table (135 Facilities Analyzed)</x:v>
      </x:c>
      <x:c r="D2131" s="5" t="n">
        <x:v>290</x:v>
      </x:c>
      <x:c r="E2131" s="5" t="n">
        <x:v>2</x:v>
      </x:c>
      <x:c r="F2131" s="5" t="str">
        <x:v>Company</x:v>
      </x:c>
      <x:c r="G2131" s="5" t="n">
        <x:v>1</x:v>
      </x:c>
      <x:c r="H2131" s="5" t="n">
        <x:v>1</x:v>
      </x:c>
      <x:c r="I2131" s="5" t="str">
        <x:v>Scibase</x:v>
      </x:c>
      <x:c r="J2131" s="5" t="str">
        <x:v>SOURCE QUOTE; unvalidated / superseded assessments</x:v>
      </x:c>
      <x:c r="L2131" s="31" t="str">
        <x:v>D06, Markdown line 290; http://nas-1.tail55d152.ts.net:4100/static/MEDICAL_NORDICS_FINANCIALS_DOSSIER.html</x:v>
      </x:c>
    </x:row>
    <x:row r="2132" ht="42" customHeight="1">
      <x:c r="A2132" s="5" t="str">
        <x:v>D06</x:v>
      </x:c>
      <x:c r="B2132" s="5" t="str">
        <x:v>D06-T01</x:v>
      </x:c>
      <x:c r="C2132" s="5" t="str">
        <x:v>5. Complete Company Financial Table (135 Facilities Analyzed)</x:v>
      </x:c>
      <x:c r="D2132" s="5" t="n">
        <x:v>290</x:v>
      </x:c>
      <x:c r="E2132" s="5" t="n">
        <x:v>3</x:v>
      </x:c>
      <x:c r="F2132" s="5" t="str">
        <x:v>Location</x:v>
      </x:c>
      <x:c r="G2132" s="5" t="n">
        <x:v>1</x:v>
      </x:c>
      <x:c r="H2132" s="5" t="n">
        <x:v>1</x:v>
      </x:c>
      <x:c r="I2132" s="5" t="str">
        <x:v>Stockholm, Sweden</x:v>
      </x:c>
      <x:c r="J2132" s="5" t="str">
        <x:v>SOURCE QUOTE; unvalidated / superseded assessments</x:v>
      </x:c>
      <x:c r="L2132" s="31" t="str">
        <x:v>D06, Markdown line 290; http://nas-1.tail55d152.ts.net:4100/static/MEDICAL_NORDICS_FINANCIALS_DOSSIER.html</x:v>
      </x:c>
    </x:row>
    <x:row r="2133" ht="42" customHeight="1">
      <x:c r="A2133" s="5" t="str">
        <x:v>D06</x:v>
      </x:c>
      <x:c r="B2133" s="5" t="str">
        <x:v>D06-T01</x:v>
      </x:c>
      <x:c r="C2133" s="5" t="str">
        <x:v>5. Complete Company Financial Table (135 Facilities Analyzed)</x:v>
      </x:c>
      <x:c r="D2133" s="5" t="n">
        <x:v>290</x:v>
      </x:c>
      <x:c r="E2133" s="5" t="n">
        <x:v>4</x:v>
      </x:c>
      <x:c r="F2133" s="5" t="str">
        <x:v>Focus Area</x:v>
      </x:c>
      <x:c r="G2133" s="5" t="n">
        <x:v>1</x:v>
      </x:c>
      <x:c r="H2133" s="5" t="n">
        <x:v>1</x:v>
      </x:c>
      <x:c r="I2133" s="5" t="str">
        <x:v>Nevisense Melanoma Impedance Devices</x:v>
      </x:c>
      <x:c r="J2133" s="5" t="str">
        <x:v>SOURCE QUOTE; unvalidated / superseded assessments</x:v>
      </x:c>
      <x:c r="L2133" s="31" t="str">
        <x:v>D06, Markdown line 290; http://nas-1.tail55d152.ts.net:4100/static/MEDICAL_NORDICS_FINANCIALS_DOSSIER.html</x:v>
      </x:c>
    </x:row>
    <x:row r="2134" ht="42" customHeight="1">
      <x:c r="A2134" s="5" t="str">
        <x:v>D06</x:v>
      </x:c>
      <x:c r="B2134" s="5" t="str">
        <x:v>D06-T01</x:v>
      </x:c>
      <x:c r="C2134" s="5" t="str">
        <x:v>5. Complete Company Financial Table (135 Facilities Analyzed)</x:v>
      </x:c>
      <x:c r="D2134" s="5" t="n">
        <x:v>290</x:v>
      </x:c>
      <x:c r="E2134" s="5" t="n">
        <x:v>5</x:v>
      </x:c>
      <x:c r="F2134" s="5" t="str">
        <x:v>Revenue / Net Sales</x:v>
      </x:c>
      <x:c r="G2134" s="5" t="n">
        <x:v>1</x:v>
      </x:c>
      <x:c r="H2134" s="5" t="n">
        <x:v>1</x:v>
      </x:c>
      <x:c r="I2134" s="5" t="str">
        <x:v>SEK 29.71M</x:v>
      </x:c>
      <x:c r="J2134" s="5" t="str">
        <x:v>SOURCE QUOTE; unvalidated / superseded assessments</x:v>
      </x:c>
      <x:c r="L2134" s="31" t="str">
        <x:v>D06, Markdown line 290; http://nas-1.tail55d152.ts.net:4100/static/MEDICAL_NORDICS_FINANCIALS_DOSSIER.html</x:v>
      </x:c>
    </x:row>
    <x:row r="2135" ht="42" customHeight="1">
      <x:c r="A2135" s="5" t="str">
        <x:v>D06</x:v>
      </x:c>
      <x:c r="B2135" s="5" t="str">
        <x:v>D06-T01</x:v>
      </x:c>
      <x:c r="C2135" s="5" t="str">
        <x:v>5. Complete Company Financial Table (135 Facilities Analyzed)</x:v>
      </x:c>
      <x:c r="D2135" s="5" t="n">
        <x:v>290</x:v>
      </x:c>
      <x:c r="E2135" s="5" t="n">
        <x:v>6</x:v>
      </x:c>
      <x:c r="F2135" s="5" t="str">
        <x:v>R&amp;D Spend</x:v>
      </x:c>
      <x:c r="G2135" s="5" t="n">
        <x:v>1</x:v>
      </x:c>
      <x:c r="H2135" s="5" t="n">
        <x:v>1</x:v>
      </x:c>
      <x:c r="I2135" s="5" t="str">
        <x:v>SEK 38.6M</x:v>
      </x:c>
      <x:c r="J2135" s="5" t="str">
        <x:v>SOURCE QUOTE; unvalidated / superseded assessments</x:v>
      </x:c>
      <x:c r="L2135" s="31" t="str">
        <x:v>D06, Markdown line 290; http://nas-1.tail55d152.ts.net:4100/static/MEDICAL_NORDICS_FINANCIALS_DOSSIER.html</x:v>
      </x:c>
    </x:row>
    <x:row r="2136" ht="42" customHeight="1">
      <x:c r="A2136" s="5" t="str">
        <x:v>D06</x:v>
      </x:c>
      <x:c r="B2136" s="5" t="str">
        <x:v>D06-T01</x:v>
      </x:c>
      <x:c r="C2136" s="5" t="str">
        <x:v>5. Complete Company Financial Table (135 Facilities Analyzed)</x:v>
      </x:c>
      <x:c r="D2136" s="5" t="n">
        <x:v>290</x:v>
      </x:c>
      <x:c r="E2136" s="5" t="n">
        <x:v>7</x:v>
      </x:c>
      <x:c r="F2136" s="5" t="str">
        <x:v>Currency</x:v>
      </x:c>
      <x:c r="G2136" s="5" t="n">
        <x:v>1</x:v>
      </x:c>
      <x:c r="H2136" s="5" t="n">
        <x:v>1</x:v>
      </x:c>
      <x:c r="I2136" s="5" t="str">
        <x:v>SEK</x:v>
      </x:c>
      <x:c r="J2136" s="5" t="str">
        <x:v>SOURCE QUOTE; unvalidated / superseded assessments</x:v>
      </x:c>
      <x:c r="L2136" s="31" t="str">
        <x:v>D06, Markdown line 290; http://nas-1.tail55d152.ts.net:4100/static/MEDICAL_NORDICS_FINANCIALS_DOSSIER.html</x:v>
      </x:c>
    </x:row>
    <x:row r="2137" ht="42" customHeight="1">
      <x:c r="A2137" s="5" t="str">
        <x:v>D06</x:v>
      </x:c>
      <x:c r="B2137" s="5" t="str">
        <x:v>D06-T01</x:v>
      </x:c>
      <x:c r="C2137" s="5" t="str">
        <x:v>5. Complete Company Financial Table (135 Facilities Analyzed)</x:v>
      </x:c>
      <x:c r="D2137" s="5" t="n">
        <x:v>290</x:v>
      </x:c>
      <x:c r="E2137" s="5" t="n">
        <x:v>8</x:v>
      </x:c>
      <x:c r="F2137" s="5" t="str">
        <x:v>Fiscal Year</x:v>
      </x:c>
      <x:c r="G2137" s="5" t="n">
        <x:v>1</x:v>
      </x:c>
      <x:c r="H2137" s="5" t="n">
        <x:v>1</x:v>
      </x:c>
      <x:c r="I2137" s="5" t="str">
        <x:v>FY2024</x:v>
      </x:c>
      <x:c r="J2137" s="5" t="str">
        <x:v>SOURCE QUOTE; unvalidated / superseded assessments</x:v>
      </x:c>
      <x:c r="L2137" s="31" t="str">
        <x:v>D06, Markdown line 290; http://nas-1.tail55d152.ts.net:4100/static/MEDICAL_NORDICS_FINANCIALS_DOSSIER.html</x:v>
      </x:c>
    </x:row>
    <x:row r="2138" ht="42" customHeight="1">
      <x:c r="A2138" s="5" t="str">
        <x:v>D06</x:v>
      </x:c>
      <x:c r="B2138" s="5" t="str">
        <x:v>D06-T01</x:v>
      </x:c>
      <x:c r="C2138" s="5" t="str">
        <x:v>5. Complete Company Financial Table (135 Facilities Analyzed)</x:v>
      </x:c>
      <x:c r="D2138" s="5" t="n">
        <x:v>290</x:v>
      </x:c>
      <x:c r="E2138" s="5" t="n">
        <x:v>9</x:v>
      </x:c>
      <x:c r="F2138" s="5" t="str">
        <x:v>Status / Ownership / Strategic Service Alignment</x:v>
      </x:c>
      <x:c r="G2138" s="5" t="n">
        <x:v>1</x:v>
      </x:c>
      <x:c r="H2138" s="5" t="n">
        <x:v>1</x:v>
      </x:c>
      <x:c r="I2138" s="5" t="str">
        <x:v>Listed (First North: SCIB); Package A (Dermatology clinic reimbursement economics model)</x:v>
      </x:c>
      <x:c r="J2138" s="5" t="str">
        <x:v>SOURCE QUOTE; unvalidated / superseded assessments</x:v>
      </x:c>
      <x:c r="L2138" s="31" t="str">
        <x:v>D06, Markdown line 290; http://nas-1.tail55d152.ts.net:4100/static/MEDICAL_NORDICS_FINANCIALS_DOSSIER.html</x:v>
      </x:c>
    </x:row>
    <x:row r="2139" ht="42" customHeight="1">
      <x:c r="A2139" s="5" t="str">
        <x:v>D06</x:v>
      </x:c>
      <x:c r="B2139" s="5" t="str">
        <x:v>D06-T01</x:v>
      </x:c>
      <x:c r="C2139" s="5" t="str">
        <x:v>5. Complete Company Financial Table (135 Facilities Analyzed)</x:v>
      </x:c>
      <x:c r="D2139" s="5" t="n">
        <x:v>291</x:v>
      </x:c>
      <x:c r="E2139" s="5" t="n">
        <x:v>1</x:v>
      </x:c>
      <x:c r="F2139" s="5" t="str">
        <x:v>#</x:v>
      </x:c>
      <x:c r="G2139" s="5" t="n">
        <x:v>1</x:v>
      </x:c>
      <x:c r="H2139" s="5" t="n">
        <x:v>1</x:v>
      </x:c>
      <x:c r="I2139" s="5" t="str">
        <x:v>110</x:v>
      </x:c>
      <x:c r="J2139" s="5" t="str">
        <x:v>SOURCE QUOTE; unvalidated / superseded assessments</x:v>
      </x:c>
      <x:c r="L2139" s="31" t="str">
        <x:v>D06, Markdown line 291; http://nas-1.tail55d152.ts.net:4100/static/MEDICAL_NORDICS_FINANCIALS_DOSSIER.html</x:v>
      </x:c>
    </x:row>
    <x:row r="2140" ht="42" customHeight="1">
      <x:c r="A2140" s="5" t="str">
        <x:v>D06</x:v>
      </x:c>
      <x:c r="B2140" s="5" t="str">
        <x:v>D06-T01</x:v>
      </x:c>
      <x:c r="C2140" s="5" t="str">
        <x:v>5. Complete Company Financial Table (135 Facilities Analyzed)</x:v>
      </x:c>
      <x:c r="D2140" s="5" t="n">
        <x:v>291</x:v>
      </x:c>
      <x:c r="E2140" s="5" t="n">
        <x:v>2</x:v>
      </x:c>
      <x:c r="F2140" s="5" t="str">
        <x:v>Company</x:v>
      </x:c>
      <x:c r="G2140" s="5" t="n">
        <x:v>1</x:v>
      </x:c>
      <x:c r="H2140" s="5" t="n">
        <x:v>1</x:v>
      </x:c>
      <x:c r="I2140" s="5" t="str">
        <x:v>SHL Medical</x:v>
      </x:c>
      <x:c r="J2140" s="5" t="str">
        <x:v>SOURCE QUOTE; unvalidated / superseded assessments</x:v>
      </x:c>
      <x:c r="L2140" s="31" t="str">
        <x:v>D06, Markdown line 291; http://nas-1.tail55d152.ts.net:4100/static/MEDICAL_NORDICS_FINANCIALS_DOSSIER.html</x:v>
      </x:c>
    </x:row>
    <x:row r="2141" ht="42" customHeight="1">
      <x:c r="A2141" s="5" t="str">
        <x:v>D06</x:v>
      </x:c>
      <x:c r="B2141" s="5" t="str">
        <x:v>D06-T01</x:v>
      </x:c>
      <x:c r="C2141" s="5" t="str">
        <x:v>5. Complete Company Financial Table (135 Facilities Analyzed)</x:v>
      </x:c>
      <x:c r="D2141" s="5" t="n">
        <x:v>291</x:v>
      </x:c>
      <x:c r="E2141" s="5" t="n">
        <x:v>3</x:v>
      </x:c>
      <x:c r="F2141" s="5" t="str">
        <x:v>Location</x:v>
      </x:c>
      <x:c r="G2141" s="5" t="n">
        <x:v>1</x:v>
      </x:c>
      <x:c r="H2141" s="5" t="n">
        <x:v>1</x:v>
      </x:c>
      <x:c r="I2141" s="5" t="str">
        <x:v>Stockholm, Sweden</x:v>
      </x:c>
      <x:c r="J2141" s="5" t="str">
        <x:v>SOURCE QUOTE; unvalidated / superseded assessments</x:v>
      </x:c>
      <x:c r="L2141" s="31" t="str">
        <x:v>D06, Markdown line 291; http://nas-1.tail55d152.ts.net:4100/static/MEDICAL_NORDICS_FINANCIALS_DOSSIER.html</x:v>
      </x:c>
    </x:row>
    <x:row r="2142" ht="42" customHeight="1">
      <x:c r="A2142" s="5" t="str">
        <x:v>D06</x:v>
      </x:c>
      <x:c r="B2142" s="5" t="str">
        <x:v>D06-T01</x:v>
      </x:c>
      <x:c r="C2142" s="5" t="str">
        <x:v>5. Complete Company Financial Table (135 Facilities Analyzed)</x:v>
      </x:c>
      <x:c r="D2142" s="5" t="n">
        <x:v>291</x:v>
      </x:c>
      <x:c r="E2142" s="5" t="n">
        <x:v>4</x:v>
      </x:c>
      <x:c r="F2142" s="5" t="str">
        <x:v>Focus Area</x:v>
      </x:c>
      <x:c r="G2142" s="5" t="n">
        <x:v>1</x:v>
      </x:c>
      <x:c r="H2142" s="5" t="n">
        <x:v>1</x:v>
      </x:c>
      <x:c r="I2142" s="5" t="str">
        <x:v>Autoinjector Design &amp; Assembly</x:v>
      </x:c>
      <x:c r="J2142" s="5" t="str">
        <x:v>SOURCE QUOTE; unvalidated / superseded assessments</x:v>
      </x:c>
      <x:c r="L2142" s="31" t="str">
        <x:v>D06, Markdown line 291; http://nas-1.tail55d152.ts.net:4100/static/MEDICAL_NORDICS_FINANCIALS_DOSSIER.html</x:v>
      </x:c>
    </x:row>
    <x:row r="2143" ht="42" customHeight="1">
      <x:c r="A2143" s="5" t="str">
        <x:v>D06</x:v>
      </x:c>
      <x:c r="B2143" s="5" t="str">
        <x:v>D06-T01</x:v>
      </x:c>
      <x:c r="C2143" s="5" t="str">
        <x:v>5. Complete Company Financial Table (135 Facilities Analyzed)</x:v>
      </x:c>
      <x:c r="D2143" s="5" t="n">
        <x:v>291</x:v>
      </x:c>
      <x:c r="E2143" s="5" t="n">
        <x:v>5</x:v>
      </x:c>
      <x:c r="F2143" s="5" t="str">
        <x:v>Revenue / Net Sales</x:v>
      </x:c>
      <x:c r="G2143" s="5" t="n">
        <x:v>1</x:v>
      </x:c>
      <x:c r="H2143" s="5" t="n">
        <x:v>1</x:v>
      </x:c>
      <x:c r="I2143" s="5" t="str">
        <x:v>USD 720.0M est. (~SEK 7.5B)</x:v>
      </x:c>
      <x:c r="J2143" s="5" t="str">
        <x:v>SOURCE QUOTE; unvalidated / superseded assessments</x:v>
      </x:c>
      <x:c r="L2143" s="31" t="str">
        <x:v>D06, Markdown line 291; http://nas-1.tail55d152.ts.net:4100/static/MEDICAL_NORDICS_FINANCIALS_DOSSIER.html</x:v>
      </x:c>
    </x:row>
    <x:row r="2144" ht="42" customHeight="1">
      <x:c r="A2144" s="5" t="str">
        <x:v>D06</x:v>
      </x:c>
      <x:c r="B2144" s="5" t="str">
        <x:v>D06-T01</x:v>
      </x:c>
      <x:c r="C2144" s="5" t="str">
        <x:v>5. Complete Company Financial Table (135 Facilities Analyzed)</x:v>
      </x:c>
      <x:c r="D2144" s="5" t="n">
        <x:v>291</x:v>
      </x:c>
      <x:c r="E2144" s="5" t="n">
        <x:v>6</x:v>
      </x:c>
      <x:c r="F2144" s="5" t="str">
        <x:v>R&amp;D Spend</x:v>
      </x:c>
      <x:c r="G2144" s="5" t="n">
        <x:v>1</x:v>
      </x:c>
      <x:c r="H2144" s="5" t="n">
        <x:v>1</x:v>
      </x:c>
      <x:c r="I2144" s="5" t="str">
        <x:v>USD 58.0M (~SEK 600M)</x:v>
      </x:c>
      <x:c r="J2144" s="5" t="str">
        <x:v>SOURCE QUOTE; unvalidated / superseded assessments</x:v>
      </x:c>
      <x:c r="L2144" s="31" t="str">
        <x:v>D06, Markdown line 291; http://nas-1.tail55d152.ts.net:4100/static/MEDICAL_NORDICS_FINANCIALS_DOSSIER.html</x:v>
      </x:c>
    </x:row>
    <x:row r="2145" ht="42" customHeight="1">
      <x:c r="A2145" s="5" t="str">
        <x:v>D06</x:v>
      </x:c>
      <x:c r="B2145" s="5" t="str">
        <x:v>D06-T01</x:v>
      </x:c>
      <x:c r="C2145" s="5" t="str">
        <x:v>5. Complete Company Financial Table (135 Facilities Analyzed)</x:v>
      </x:c>
      <x:c r="D2145" s="5" t="n">
        <x:v>291</x:v>
      </x:c>
      <x:c r="E2145" s="5" t="n">
        <x:v>7</x:v>
      </x:c>
      <x:c r="F2145" s="5" t="str">
        <x:v>Currency</x:v>
      </x:c>
      <x:c r="G2145" s="5" t="n">
        <x:v>1</x:v>
      </x:c>
      <x:c r="H2145" s="5" t="n">
        <x:v>1</x:v>
      </x:c>
      <x:c r="I2145" s="5" t="str">
        <x:v>USD</x:v>
      </x:c>
      <x:c r="J2145" s="5" t="str">
        <x:v>SOURCE QUOTE; unvalidated / superseded assessments</x:v>
      </x:c>
      <x:c r="L2145" s="31" t="str">
        <x:v>D06, Markdown line 291; http://nas-1.tail55d152.ts.net:4100/static/MEDICAL_NORDICS_FINANCIALS_DOSSIER.html</x:v>
      </x:c>
    </x:row>
    <x:row r="2146" ht="42" customHeight="1">
      <x:c r="A2146" s="5" t="str">
        <x:v>D06</x:v>
      </x:c>
      <x:c r="B2146" s="5" t="str">
        <x:v>D06-T01</x:v>
      </x:c>
      <x:c r="C2146" s="5" t="str">
        <x:v>5. Complete Company Financial Table (135 Facilities Analyzed)</x:v>
      </x:c>
      <x:c r="D2146" s="5" t="n">
        <x:v>291</x:v>
      </x:c>
      <x:c r="E2146" s="5" t="n">
        <x:v>8</x:v>
      </x:c>
      <x:c r="F2146" s="5" t="str">
        <x:v>Fiscal Year</x:v>
      </x:c>
      <x:c r="G2146" s="5" t="n">
        <x:v>1</x:v>
      </x:c>
      <x:c r="H2146" s="5" t="n">
        <x:v>1</x:v>
      </x:c>
      <x:c r="I2146" s="5" t="str">
        <x:v>FY2023/24</x:v>
      </x:c>
      <x:c r="J2146" s="5" t="str">
        <x:v>SOURCE QUOTE; unvalidated / superseded assessments</x:v>
      </x:c>
      <x:c r="L2146" s="31" t="str">
        <x:v>D06, Markdown line 291; http://nas-1.tail55d152.ts.net:4100/static/MEDICAL_NORDICS_FINANCIALS_DOSSIER.html</x:v>
      </x:c>
    </x:row>
    <x:row r="2147" ht="42" customHeight="1">
      <x:c r="A2147" s="5" t="str">
        <x:v>D06</x:v>
      </x:c>
      <x:c r="B2147" s="5" t="str">
        <x:v>D06-T01</x:v>
      </x:c>
      <x:c r="C2147" s="5" t="str">
        <x:v>5. Complete Company Financial Table (135 Facilities Analyzed)</x:v>
      </x:c>
      <x:c r="D2147" s="5" t="n">
        <x:v>291</x:v>
      </x:c>
      <x:c r="E2147" s="5" t="n">
        <x:v>9</x:v>
      </x:c>
      <x:c r="F2147" s="5" t="str">
        <x:v>Status / Ownership / Strategic Service Alignment</x:v>
      </x:c>
      <x:c r="G2147" s="5" t="n">
        <x:v>1</x:v>
      </x:c>
      <x:c r="H2147" s="5" t="n">
        <x:v>1</x:v>
      </x:c>
      <x:c r="I2147" s="5" t="str">
        <x:v>EQT backed; Package A &amp; D (Device assembly line yield &amp; automated GxP documentation)</x:v>
      </x:c>
      <x:c r="J2147" s="5" t="str">
        <x:v>SOURCE QUOTE; unvalidated / superseded assessments</x:v>
      </x:c>
      <x:c r="L2147" s="31" t="str">
        <x:v>D06, Markdown line 291; http://nas-1.tail55d152.ts.net:4100/static/MEDICAL_NORDICS_FINANCIALS_DOSSIER.html</x:v>
      </x:c>
    </x:row>
    <x:row r="2148" ht="42" customHeight="1">
      <x:c r="A2148" s="5" t="str">
        <x:v>D06</x:v>
      </x:c>
      <x:c r="B2148" s="5" t="str">
        <x:v>D06-T01</x:v>
      </x:c>
      <x:c r="C2148" s="5" t="str">
        <x:v>5. Complete Company Financial Table (135 Facilities Analyzed)</x:v>
      </x:c>
      <x:c r="D2148" s="5" t="n">
        <x:v>292</x:v>
      </x:c>
      <x:c r="E2148" s="5" t="n">
        <x:v>1</x:v>
      </x:c>
      <x:c r="F2148" s="5" t="str">
        <x:v>#</x:v>
      </x:c>
      <x:c r="G2148" s="5" t="n">
        <x:v>1</x:v>
      </x:c>
      <x:c r="H2148" s="5" t="n">
        <x:v>1</x:v>
      </x:c>
      <x:c r="I2148" s="5" t="str">
        <x:v>111</x:v>
      </x:c>
      <x:c r="J2148" s="5" t="str">
        <x:v>SOURCE QUOTE; unvalidated / superseded assessments</x:v>
      </x:c>
      <x:c r="L2148" s="31" t="str">
        <x:v>D06, Markdown line 292; http://nas-1.tail55d152.ts.net:4100/static/MEDICAL_NORDICS_FINANCIALS_DOSSIER.html</x:v>
      </x:c>
    </x:row>
    <x:row r="2149" ht="42" customHeight="1">
      <x:c r="A2149" s="5" t="str">
        <x:v>D06</x:v>
      </x:c>
      <x:c r="B2149" s="5" t="str">
        <x:v>D06-T01</x:v>
      </x:c>
      <x:c r="C2149" s="5" t="str">
        <x:v>5. Complete Company Financial Table (135 Facilities Analyzed)</x:v>
      </x:c>
      <x:c r="D2149" s="5" t="n">
        <x:v>292</x:v>
      </x:c>
      <x:c r="E2149" s="5" t="n">
        <x:v>2</x:v>
      </x:c>
      <x:c r="F2149" s="5" t="str">
        <x:v>Company</x:v>
      </x:c>
      <x:c r="G2149" s="5" t="n">
        <x:v>1</x:v>
      </x:c>
      <x:c r="H2149" s="5" t="n">
        <x:v>1</x:v>
      </x:c>
      <x:c r="I2149" s="5" t="str">
        <x:v>Single Technologies</x:v>
      </x:c>
      <x:c r="J2149" s="5" t="str">
        <x:v>SOURCE QUOTE; unvalidated / superseded assessments</x:v>
      </x:c>
      <x:c r="L2149" s="31" t="str">
        <x:v>D06, Markdown line 292; http://nas-1.tail55d152.ts.net:4100/static/MEDICAL_NORDICS_FINANCIALS_DOSSIER.html</x:v>
      </x:c>
    </x:row>
    <x:row r="2150" ht="42" customHeight="1">
      <x:c r="A2150" s="5" t="str">
        <x:v>D06</x:v>
      </x:c>
      <x:c r="B2150" s="5" t="str">
        <x:v>D06-T01</x:v>
      </x:c>
      <x:c r="C2150" s="5" t="str">
        <x:v>5. Complete Company Financial Table (135 Facilities Analyzed)</x:v>
      </x:c>
      <x:c r="D2150" s="5" t="n">
        <x:v>292</x:v>
      </x:c>
      <x:c r="E2150" s="5" t="n">
        <x:v>3</x:v>
      </x:c>
      <x:c r="F2150" s="5" t="str">
        <x:v>Location</x:v>
      </x:c>
      <x:c r="G2150" s="5" t="n">
        <x:v>1</x:v>
      </x:c>
      <x:c r="H2150" s="5" t="n">
        <x:v>1</x:v>
      </x:c>
      <x:c r="I2150" s="5" t="str">
        <x:v>Stockholm, Sweden</x:v>
      </x:c>
      <x:c r="J2150" s="5" t="str">
        <x:v>SOURCE QUOTE; unvalidated / superseded assessments</x:v>
      </x:c>
      <x:c r="L2150" s="31" t="str">
        <x:v>D06, Markdown line 292; http://nas-1.tail55d152.ts.net:4100/static/MEDICAL_NORDICS_FINANCIALS_DOSSIER.html</x:v>
      </x:c>
    </x:row>
    <x:row r="2151" ht="42" customHeight="1">
      <x:c r="A2151" s="5" t="str">
        <x:v>D06</x:v>
      </x:c>
      <x:c r="B2151" s="5" t="str">
        <x:v>D06-T01</x:v>
      </x:c>
      <x:c r="C2151" s="5" t="str">
        <x:v>5. Complete Company Financial Table (135 Facilities Analyzed)</x:v>
      </x:c>
      <x:c r="D2151" s="5" t="n">
        <x:v>292</x:v>
      </x:c>
      <x:c r="E2151" s="5" t="n">
        <x:v>4</x:v>
      </x:c>
      <x:c r="F2151" s="5" t="str">
        <x:v>Focus Area</x:v>
      </x:c>
      <x:c r="G2151" s="5" t="n">
        <x:v>1</x:v>
      </x:c>
      <x:c r="H2151" s="5" t="n">
        <x:v>1</x:v>
      </x:c>
      <x:c r="I2151" s="5" t="str">
        <x:v>Theta High-Throughput 3D Sequencing</x:v>
      </x:c>
      <x:c r="J2151" s="5" t="str">
        <x:v>SOURCE QUOTE; unvalidated / superseded assessments</x:v>
      </x:c>
      <x:c r="L2151" s="31" t="str">
        <x:v>D06, Markdown line 292; http://nas-1.tail55d152.ts.net:4100/static/MEDICAL_NORDICS_FINANCIALS_DOSSIER.html</x:v>
      </x:c>
    </x:row>
    <x:row r="2152" ht="42" customHeight="1">
      <x:c r="A2152" s="5" t="str">
        <x:v>D06</x:v>
      </x:c>
      <x:c r="B2152" s="5" t="str">
        <x:v>D06-T01</x:v>
      </x:c>
      <x:c r="C2152" s="5" t="str">
        <x:v>5. Complete Company Financial Table (135 Facilities Analyzed)</x:v>
      </x:c>
      <x:c r="D2152" s="5" t="n">
        <x:v>292</x:v>
      </x:c>
      <x:c r="E2152" s="5" t="n">
        <x:v>5</x:v>
      </x:c>
      <x:c r="F2152" s="5" t="str">
        <x:v>Revenue / Net Sales</x:v>
      </x:c>
      <x:c r="G2152" s="5" t="n">
        <x:v>1</x:v>
      </x:c>
      <x:c r="H2152" s="5" t="n">
        <x:v>1</x:v>
      </x:c>
      <x:c r="I2152" s="5" t="str">
        <x:v>SEK 21.2M</x:v>
      </x:c>
      <x:c r="J2152" s="5" t="str">
        <x:v>SOURCE QUOTE; unvalidated / superseded assessments</x:v>
      </x:c>
      <x:c r="L2152" s="31" t="str">
        <x:v>D06, Markdown line 292; http://nas-1.tail55d152.ts.net:4100/static/MEDICAL_NORDICS_FINANCIALS_DOSSIER.html</x:v>
      </x:c>
    </x:row>
    <x:row r="2153" ht="42" customHeight="1">
      <x:c r="A2153" s="5" t="str">
        <x:v>D06</x:v>
      </x:c>
      <x:c r="B2153" s="5" t="str">
        <x:v>D06-T01</x:v>
      </x:c>
      <x:c r="C2153" s="5" t="str">
        <x:v>5. Complete Company Financial Table (135 Facilities Analyzed)</x:v>
      </x:c>
      <x:c r="D2153" s="5" t="n">
        <x:v>292</x:v>
      </x:c>
      <x:c r="E2153" s="5" t="n">
        <x:v>6</x:v>
      </x:c>
      <x:c r="F2153" s="5" t="str">
        <x:v>R&amp;D Spend</x:v>
      </x:c>
      <x:c r="G2153" s="5" t="n">
        <x:v>1</x:v>
      </x:c>
      <x:c r="H2153" s="5" t="n">
        <x:v>1</x:v>
      </x:c>
      <x:c r="I2153" s="5" t="str">
        <x:v>SEK 52.0M</x:v>
      </x:c>
      <x:c r="J2153" s="5" t="str">
        <x:v>SOURCE QUOTE; unvalidated / superseded assessments</x:v>
      </x:c>
      <x:c r="L2153" s="31" t="str">
        <x:v>D06, Markdown line 292; http://nas-1.tail55d152.ts.net:4100/static/MEDICAL_NORDICS_FINANCIALS_DOSSIER.html</x:v>
      </x:c>
    </x:row>
    <x:row r="2154" ht="42" customHeight="1">
      <x:c r="A2154" s="5" t="str">
        <x:v>D06</x:v>
      </x:c>
      <x:c r="B2154" s="5" t="str">
        <x:v>D06-T01</x:v>
      </x:c>
      <x:c r="C2154" s="5" t="str">
        <x:v>5. Complete Company Financial Table (135 Facilities Analyzed)</x:v>
      </x:c>
      <x:c r="D2154" s="5" t="n">
        <x:v>292</x:v>
      </x:c>
      <x:c r="E2154" s="5" t="n">
        <x:v>7</x:v>
      </x:c>
      <x:c r="F2154" s="5" t="str">
        <x:v>Currency</x:v>
      </x:c>
      <x:c r="G2154" s="5" t="n">
        <x:v>1</x:v>
      </x:c>
      <x:c r="H2154" s="5" t="n">
        <x:v>1</x:v>
      </x:c>
      <x:c r="I2154" s="5" t="str">
        <x:v>SEK</x:v>
      </x:c>
      <x:c r="J2154" s="5" t="str">
        <x:v>SOURCE QUOTE; unvalidated / superseded assessments</x:v>
      </x:c>
      <x:c r="L2154" s="31" t="str">
        <x:v>D06, Markdown line 292; http://nas-1.tail55d152.ts.net:4100/static/MEDICAL_NORDICS_FINANCIALS_DOSSIER.html</x:v>
      </x:c>
    </x:row>
    <x:row r="2155" ht="42" customHeight="1">
      <x:c r="A2155" s="5" t="str">
        <x:v>D06</x:v>
      </x:c>
      <x:c r="B2155" s="5" t="str">
        <x:v>D06-T01</x:v>
      </x:c>
      <x:c r="C2155" s="5" t="str">
        <x:v>5. Complete Company Financial Table (135 Facilities Analyzed)</x:v>
      </x:c>
      <x:c r="D2155" s="5" t="n">
        <x:v>292</x:v>
      </x:c>
      <x:c r="E2155" s="5" t="n">
        <x:v>8</x:v>
      </x:c>
      <x:c r="F2155" s="5" t="str">
        <x:v>Fiscal Year</x:v>
      </x:c>
      <x:c r="G2155" s="5" t="n">
        <x:v>1</x:v>
      </x:c>
      <x:c r="H2155" s="5" t="n">
        <x:v>1</x:v>
      </x:c>
      <x:c r="I2155" s="5" t="str">
        <x:v>FY2024</x:v>
      </x:c>
      <x:c r="J2155" s="5" t="str">
        <x:v>SOURCE QUOTE; unvalidated / superseded assessments</x:v>
      </x:c>
      <x:c r="L2155" s="31" t="str">
        <x:v>D06, Markdown line 292; http://nas-1.tail55d152.ts.net:4100/static/MEDICAL_NORDICS_FINANCIALS_DOSSIER.html</x:v>
      </x:c>
    </x:row>
    <x:row r="2156" ht="42" customHeight="1">
      <x:c r="A2156" s="5" t="str">
        <x:v>D06</x:v>
      </x:c>
      <x:c r="B2156" s="5" t="str">
        <x:v>D06-T01</x:v>
      </x:c>
      <x:c r="C2156" s="5" t="str">
        <x:v>5. Complete Company Financial Table (135 Facilities Analyzed)</x:v>
      </x:c>
      <x:c r="D2156" s="5" t="n">
        <x:v>292</x:v>
      </x:c>
      <x:c r="E2156" s="5" t="n">
        <x:v>9</x:v>
      </x:c>
      <x:c r="F2156" s="5" t="str">
        <x:v>Status / Ownership / Strategic Service Alignment</x:v>
      </x:c>
      <x:c r="G2156" s="5" t="n">
        <x:v>1</x:v>
      </x:c>
      <x:c r="H2156" s="5" t="n">
        <x:v>1</x:v>
      </x:c>
      <x:c r="I2156" s="5" t="str">
        <x:v>Private (€12.5M EIC); Package A &amp; E (Genomic sequencing hardware-to-cloud DaaS)</x:v>
      </x:c>
      <x:c r="J2156" s="5" t="str">
        <x:v>SOURCE QUOTE; unvalidated / superseded assessments</x:v>
      </x:c>
      <x:c r="L2156" s="31" t="str">
        <x:v>D06, Markdown line 292; http://nas-1.tail55d152.ts.net:4100/static/MEDICAL_NORDICS_FINANCIALS_DOSSIER.html</x:v>
      </x:c>
    </x:row>
    <x:row r="2157" ht="42" customHeight="1">
      <x:c r="A2157" s="5" t="str">
        <x:v>D06</x:v>
      </x:c>
      <x:c r="B2157" s="5" t="str">
        <x:v>D06-T01</x:v>
      </x:c>
      <x:c r="C2157" s="5" t="str">
        <x:v>5. Complete Company Financial Table (135 Facilities Analyzed)</x:v>
      </x:c>
      <x:c r="D2157" s="5" t="n">
        <x:v>293</x:v>
      </x:c>
      <x:c r="E2157" s="5" t="n">
        <x:v>1</x:v>
      </x:c>
      <x:c r="F2157" s="5" t="str">
        <x:v>#</x:v>
      </x:c>
      <x:c r="G2157" s="5" t="n">
        <x:v>1</x:v>
      </x:c>
      <x:c r="H2157" s="5" t="n">
        <x:v>1</x:v>
      </x:c>
      <x:c r="I2157" s="5" t="str">
        <x:v>112</x:v>
      </x:c>
      <x:c r="J2157" s="5" t="str">
        <x:v>SOURCE QUOTE; unvalidated / superseded assessments</x:v>
      </x:c>
      <x:c r="L2157" s="31" t="str">
        <x:v>D06, Markdown line 293; http://nas-1.tail55d152.ts.net:4100/static/MEDICAL_NORDICS_FINANCIALS_DOSSIER.html</x:v>
      </x:c>
    </x:row>
    <x:row r="2158" ht="42" customHeight="1">
      <x:c r="A2158" s="5" t="str">
        <x:v>D06</x:v>
      </x:c>
      <x:c r="B2158" s="5" t="str">
        <x:v>D06-T01</x:v>
      </x:c>
      <x:c r="C2158" s="5" t="str">
        <x:v>5. Complete Company Financial Table (135 Facilities Analyzed)</x:v>
      </x:c>
      <x:c r="D2158" s="5" t="n">
        <x:v>293</x:v>
      </x:c>
      <x:c r="E2158" s="5" t="n">
        <x:v>2</x:v>
      </x:c>
      <x:c r="F2158" s="5" t="str">
        <x:v>Company</x:v>
      </x:c>
      <x:c r="G2158" s="5" t="n">
        <x:v>1</x:v>
      </x:c>
      <x:c r="H2158" s="5" t="n">
        <x:v>1</x:v>
      </x:c>
      <x:c r="I2158" s="5" t="str">
        <x:v>Swedish Orphan Biovitrum</x:v>
      </x:c>
      <x:c r="J2158" s="5" t="str">
        <x:v>SOURCE QUOTE; unvalidated / superseded assessments</x:v>
      </x:c>
      <x:c r="L2158" s="31" t="str">
        <x:v>D06, Markdown line 293; http://nas-1.tail55d152.ts.net:4100/static/MEDICAL_NORDICS_FINANCIALS_DOSSIER.html</x:v>
      </x:c>
    </x:row>
    <x:row r="2159" ht="42" customHeight="1">
      <x:c r="A2159" s="5" t="str">
        <x:v>D06</x:v>
      </x:c>
      <x:c r="B2159" s="5" t="str">
        <x:v>D06-T01</x:v>
      </x:c>
      <x:c r="C2159" s="5" t="str">
        <x:v>5. Complete Company Financial Table (135 Facilities Analyzed)</x:v>
      </x:c>
      <x:c r="D2159" s="5" t="n">
        <x:v>293</x:v>
      </x:c>
      <x:c r="E2159" s="5" t="n">
        <x:v>3</x:v>
      </x:c>
      <x:c r="F2159" s="5" t="str">
        <x:v>Location</x:v>
      </x:c>
      <x:c r="G2159" s="5" t="n">
        <x:v>1</x:v>
      </x:c>
      <x:c r="H2159" s="5" t="n">
        <x:v>1</x:v>
      </x:c>
      <x:c r="I2159" s="5" t="str">
        <x:v>Stockholm, Sweden</x:v>
      </x:c>
      <x:c r="J2159" s="5" t="str">
        <x:v>SOURCE QUOTE; unvalidated / superseded assessments</x:v>
      </x:c>
      <x:c r="L2159" s="31" t="str">
        <x:v>D06, Markdown line 293; http://nas-1.tail55d152.ts.net:4100/static/MEDICAL_NORDICS_FINANCIALS_DOSSIER.html</x:v>
      </x:c>
    </x:row>
    <x:row r="2160" ht="42" customHeight="1">
      <x:c r="A2160" s="5" t="str">
        <x:v>D06</x:v>
      </x:c>
      <x:c r="B2160" s="5" t="str">
        <x:v>D06-T01</x:v>
      </x:c>
      <x:c r="C2160" s="5" t="str">
        <x:v>5. Complete Company Financial Table (135 Facilities Analyzed)</x:v>
      </x:c>
      <x:c r="D2160" s="5" t="n">
        <x:v>293</x:v>
      </x:c>
      <x:c r="E2160" s="5" t="n">
        <x:v>4</x:v>
      </x:c>
      <x:c r="F2160" s="5" t="str">
        <x:v>Focus Area</x:v>
      </x:c>
      <x:c r="G2160" s="5" t="n">
        <x:v>1</x:v>
      </x:c>
      <x:c r="H2160" s="5" t="n">
        <x:v>1</x:v>
      </x:c>
      <x:c r="I2160" s="5" t="str">
        <x:v>Sobi Rare Disease Biologics Flagship</x:v>
      </x:c>
      <x:c r="J2160" s="5" t="str">
        <x:v>SOURCE QUOTE; unvalidated / superseded assessments</x:v>
      </x:c>
      <x:c r="L2160" s="31" t="str">
        <x:v>D06, Markdown line 293; http://nas-1.tail55d152.ts.net:4100/static/MEDICAL_NORDICS_FINANCIALS_DOSSIER.html</x:v>
      </x:c>
    </x:row>
    <x:row r="2161" ht="42" customHeight="1">
      <x:c r="A2161" s="5" t="str">
        <x:v>D06</x:v>
      </x:c>
      <x:c r="B2161" s="5" t="str">
        <x:v>D06-T01</x:v>
      </x:c>
      <x:c r="C2161" s="5" t="str">
        <x:v>5. Complete Company Financial Table (135 Facilities Analyzed)</x:v>
      </x:c>
      <x:c r="D2161" s="5" t="n">
        <x:v>293</x:v>
      </x:c>
      <x:c r="E2161" s="5" t="n">
        <x:v>5</x:v>
      </x:c>
      <x:c r="F2161" s="5" t="str">
        <x:v>Revenue / Net Sales</x:v>
      </x:c>
      <x:c r="G2161" s="5" t="n">
        <x:v>1</x:v>
      </x:c>
      <x:c r="H2161" s="5" t="n">
        <x:v>1</x:v>
      </x:c>
      <x:c r="I2161" s="5" t="str">
        <x:v>SEK 26,000.0M (SEK 26.0B)</x:v>
      </x:c>
      <x:c r="J2161" s="5" t="str">
        <x:v>SOURCE QUOTE; unvalidated / superseded assessments</x:v>
      </x:c>
      <x:c r="L2161" s="31" t="str">
        <x:v>D06, Markdown line 293; http://nas-1.tail55d152.ts.net:4100/static/MEDICAL_NORDICS_FINANCIALS_DOSSIER.html</x:v>
      </x:c>
    </x:row>
    <x:row r="2162" ht="42" customHeight="1">
      <x:c r="A2162" s="5" t="str">
        <x:v>D06</x:v>
      </x:c>
      <x:c r="B2162" s="5" t="str">
        <x:v>D06-T01</x:v>
      </x:c>
      <x:c r="C2162" s="5" t="str">
        <x:v>5. Complete Company Financial Table (135 Facilities Analyzed)</x:v>
      </x:c>
      <x:c r="D2162" s="5" t="n">
        <x:v>293</x:v>
      </x:c>
      <x:c r="E2162" s="5" t="n">
        <x:v>6</x:v>
      </x:c>
      <x:c r="F2162" s="5" t="str">
        <x:v>R&amp;D Spend</x:v>
      </x:c>
      <x:c r="G2162" s="5" t="n">
        <x:v>1</x:v>
      </x:c>
      <x:c r="H2162" s="5" t="n">
        <x:v>1</x:v>
      </x:c>
      <x:c r="I2162" s="5" t="str">
        <x:v>SEK 3,650.0M (SEK 3.65B)</x:v>
      </x:c>
      <x:c r="J2162" s="5" t="str">
        <x:v>SOURCE QUOTE; unvalidated / superseded assessments</x:v>
      </x:c>
      <x:c r="L2162" s="31" t="str">
        <x:v>D06, Markdown line 293; http://nas-1.tail55d152.ts.net:4100/static/MEDICAL_NORDICS_FINANCIALS_DOSSIER.html</x:v>
      </x:c>
    </x:row>
    <x:row r="2163" ht="42" customHeight="1">
      <x:c r="A2163" s="5" t="str">
        <x:v>D06</x:v>
      </x:c>
      <x:c r="B2163" s="5" t="str">
        <x:v>D06-T01</x:v>
      </x:c>
      <x:c r="C2163" s="5" t="str">
        <x:v>5. Complete Company Financial Table (135 Facilities Analyzed)</x:v>
      </x:c>
      <x:c r="D2163" s="5" t="n">
        <x:v>293</x:v>
      </x:c>
      <x:c r="E2163" s="5" t="n">
        <x:v>7</x:v>
      </x:c>
      <x:c r="F2163" s="5" t="str">
        <x:v>Currency</x:v>
      </x:c>
      <x:c r="G2163" s="5" t="n">
        <x:v>1</x:v>
      </x:c>
      <x:c r="H2163" s="5" t="n">
        <x:v>1</x:v>
      </x:c>
      <x:c r="I2163" s="5" t="str">
        <x:v>SEK</x:v>
      </x:c>
      <x:c r="J2163" s="5" t="str">
        <x:v>SOURCE QUOTE; unvalidated / superseded assessments</x:v>
      </x:c>
      <x:c r="L2163" s="31" t="str">
        <x:v>D06, Markdown line 293; http://nas-1.tail55d152.ts.net:4100/static/MEDICAL_NORDICS_FINANCIALS_DOSSIER.html</x:v>
      </x:c>
    </x:row>
    <x:row r="2164" ht="42" customHeight="1">
      <x:c r="A2164" s="5" t="str">
        <x:v>D06</x:v>
      </x:c>
      <x:c r="B2164" s="5" t="str">
        <x:v>D06-T01</x:v>
      </x:c>
      <x:c r="C2164" s="5" t="str">
        <x:v>5. Complete Company Financial Table (135 Facilities Analyzed)</x:v>
      </x:c>
      <x:c r="D2164" s="5" t="n">
        <x:v>293</x:v>
      </x:c>
      <x:c r="E2164" s="5" t="n">
        <x:v>8</x:v>
      </x:c>
      <x:c r="F2164" s="5" t="str">
        <x:v>Fiscal Year</x:v>
      </x:c>
      <x:c r="G2164" s="5" t="n">
        <x:v>1</x:v>
      </x:c>
      <x:c r="H2164" s="5" t="n">
        <x:v>1</x:v>
      </x:c>
      <x:c r="I2164" s="5" t="str">
        <x:v>FY2024</x:v>
      </x:c>
      <x:c r="J2164" s="5" t="str">
        <x:v>SOURCE QUOTE; unvalidated / superseded assessments</x:v>
      </x:c>
      <x:c r="L2164" s="31" t="str">
        <x:v>D06, Markdown line 293; http://nas-1.tail55d152.ts.net:4100/static/MEDICAL_NORDICS_FINANCIALS_DOSSIER.html</x:v>
      </x:c>
    </x:row>
    <x:row r="2165" ht="42" customHeight="1">
      <x:c r="A2165" s="5" t="str">
        <x:v>D06</x:v>
      </x:c>
      <x:c r="B2165" s="5" t="str">
        <x:v>D06-T01</x:v>
      </x:c>
      <x:c r="C2165" s="5" t="str">
        <x:v>5. Complete Company Financial Table (135 Facilities Analyzed)</x:v>
      </x:c>
      <x:c r="D2165" s="5" t="n">
        <x:v>293</x:v>
      </x:c>
      <x:c r="E2165" s="5" t="n">
        <x:v>9</x:v>
      </x:c>
      <x:c r="F2165" s="5" t="str">
        <x:v>Status / Ownership / Strategic Service Alignment</x:v>
      </x:c>
      <x:c r="G2165" s="5" t="n">
        <x:v>1</x:v>
      </x:c>
      <x:c r="H2165" s="5" t="n">
        <x:v>1</x:v>
      </x:c>
      <x:c r="I2165" s="5" t="str">
        <x:v>Listed (Nasdaq: SOBI); Package C (Merck-proven sales portal &amp; multi-country RWE models)</x:v>
      </x:c>
      <x:c r="J2165" s="5" t="str">
        <x:v>SOURCE QUOTE; unvalidated / superseded assessments</x:v>
      </x:c>
      <x:c r="L2165" s="31" t="str">
        <x:v>D06, Markdown line 293; http://nas-1.tail55d152.ts.net:4100/static/MEDICAL_NORDICS_FINANCIALS_DOSSIER.html</x:v>
      </x:c>
    </x:row>
    <x:row r="2166" ht="42" customHeight="1">
      <x:c r="A2166" s="5" t="str">
        <x:v>D06</x:v>
      </x:c>
      <x:c r="B2166" s="5" t="str">
        <x:v>D06-T01</x:v>
      </x:c>
      <x:c r="C2166" s="5" t="str">
        <x:v>5. Complete Company Financial Table (135 Facilities Analyzed)</x:v>
      </x:c>
      <x:c r="D2166" s="5" t="n">
        <x:v>294</x:v>
      </x:c>
      <x:c r="E2166" s="5" t="n">
        <x:v>1</x:v>
      </x:c>
      <x:c r="F2166" s="5" t="str">
        <x:v>#</x:v>
      </x:c>
      <x:c r="G2166" s="5" t="n">
        <x:v>1</x:v>
      </x:c>
      <x:c r="H2166" s="5" t="n">
        <x:v>1</x:v>
      </x:c>
      <x:c r="I2166" s="5" t="str">
        <x:v>113</x:v>
      </x:c>
      <x:c r="J2166" s="5" t="str">
        <x:v>SOURCE QUOTE; unvalidated / superseded assessments</x:v>
      </x:c>
      <x:c r="L2166" s="31" t="str">
        <x:v>D06, Markdown line 294; http://nas-1.tail55d152.ts.net:4100/static/MEDICAL_NORDICS_FINANCIALS_DOSSIER.html</x:v>
      </x:c>
    </x:row>
    <x:row r="2167" ht="42" customHeight="1">
      <x:c r="A2167" s="5" t="str">
        <x:v>D06</x:v>
      </x:c>
      <x:c r="B2167" s="5" t="str">
        <x:v>D06-T01</x:v>
      </x:c>
      <x:c r="C2167" s="5" t="str">
        <x:v>5. Complete Company Financial Table (135 Facilities Analyzed)</x:v>
      </x:c>
      <x:c r="D2167" s="5" t="n">
        <x:v>294</x:v>
      </x:c>
      <x:c r="E2167" s="5" t="n">
        <x:v>2</x:v>
      </x:c>
      <x:c r="F2167" s="5" t="str">
        <x:v>Company</x:v>
      </x:c>
      <x:c r="G2167" s="5" t="n">
        <x:v>1</x:v>
      </x:c>
      <x:c r="H2167" s="5" t="n">
        <x:v>1</x:v>
      </x:c>
      <x:c r="I2167" s="5" t="str">
        <x:v>Tribune Therapeutics</x:v>
      </x:c>
      <x:c r="J2167" s="5" t="str">
        <x:v>SOURCE QUOTE; unvalidated / superseded assessments</x:v>
      </x:c>
      <x:c r="L2167" s="31" t="str">
        <x:v>D06, Markdown line 294; http://nas-1.tail55d152.ts.net:4100/static/MEDICAL_NORDICS_FINANCIALS_DOSSIER.html</x:v>
      </x:c>
    </x:row>
    <x:row r="2168" ht="42" customHeight="1">
      <x:c r="A2168" s="5" t="str">
        <x:v>D06</x:v>
      </x:c>
      <x:c r="B2168" s="5" t="str">
        <x:v>D06-T01</x:v>
      </x:c>
      <x:c r="C2168" s="5" t="str">
        <x:v>5. Complete Company Financial Table (135 Facilities Analyzed)</x:v>
      </x:c>
      <x:c r="D2168" s="5" t="n">
        <x:v>294</x:v>
      </x:c>
      <x:c r="E2168" s="5" t="n">
        <x:v>3</x:v>
      </x:c>
      <x:c r="F2168" s="5" t="str">
        <x:v>Location</x:v>
      </x:c>
      <x:c r="G2168" s="5" t="n">
        <x:v>1</x:v>
      </x:c>
      <x:c r="H2168" s="5" t="n">
        <x:v>1</x:v>
      </x:c>
      <x:c r="I2168" s="5" t="str">
        <x:v>Stockholm, Sweden</x:v>
      </x:c>
      <x:c r="J2168" s="5" t="str">
        <x:v>SOURCE QUOTE; unvalidated / superseded assessments</x:v>
      </x:c>
      <x:c r="L2168" s="31" t="str">
        <x:v>D06, Markdown line 294; http://nas-1.tail55d152.ts.net:4100/static/MEDICAL_NORDICS_FINANCIALS_DOSSIER.html</x:v>
      </x:c>
    </x:row>
    <x:row r="2169" ht="42" customHeight="1">
      <x:c r="A2169" s="5" t="str">
        <x:v>D06</x:v>
      </x:c>
      <x:c r="B2169" s="5" t="str">
        <x:v>D06-T01</x:v>
      </x:c>
      <x:c r="C2169" s="5" t="str">
        <x:v>5. Complete Company Financial Table (135 Facilities Analyzed)</x:v>
      </x:c>
      <x:c r="D2169" s="5" t="n">
        <x:v>294</x:v>
      </x:c>
      <x:c r="E2169" s="5" t="n">
        <x:v>4</x:v>
      </x:c>
      <x:c r="F2169" s="5" t="str">
        <x:v>Focus Area</x:v>
      </x:c>
      <x:c r="G2169" s="5" t="n">
        <x:v>1</x:v>
      </x:c>
      <x:c r="H2169" s="5" t="n">
        <x:v>1</x:v>
      </x:c>
      <x:c r="I2169" s="5" t="str">
        <x:v>CCN Targeted Anti-Fibrotic Biologics</x:v>
      </x:c>
      <x:c r="J2169" s="5" t="str">
        <x:v>SOURCE QUOTE; unvalidated / superseded assessments</x:v>
      </x:c>
      <x:c r="L2169" s="31" t="str">
        <x:v>D06, Markdown line 294; http://nas-1.tail55d152.ts.net:4100/static/MEDICAL_NORDICS_FINANCIALS_DOSSIER.html</x:v>
      </x:c>
    </x:row>
    <x:row r="2170" ht="42" customHeight="1">
      <x:c r="A2170" s="5" t="str">
        <x:v>D06</x:v>
      </x:c>
      <x:c r="B2170" s="5" t="str">
        <x:v>D06-T01</x:v>
      </x:c>
      <x:c r="C2170" s="5" t="str">
        <x:v>5. Complete Company Financial Table (135 Facilities Analyzed)</x:v>
      </x:c>
      <x:c r="D2170" s="5" t="n">
        <x:v>294</x:v>
      </x:c>
      <x:c r="E2170" s="5" t="n">
        <x:v>5</x:v>
      </x:c>
      <x:c r="F2170" s="5" t="str">
        <x:v>Revenue / Net Sales</x:v>
      </x:c>
      <x:c r="G2170" s="5" t="n">
        <x:v>1</x:v>
      </x:c>
      <x:c r="H2170" s="5" t="n">
        <x:v>1</x:v>
      </x:c>
      <x:c r="I2170" s="5" t="str">
        <x:v>EUR 0M (Pre-clinical)</x:v>
      </x:c>
      <x:c r="J2170" s="5" t="str">
        <x:v>SOURCE QUOTE; unvalidated / superseded assessments</x:v>
      </x:c>
      <x:c r="L2170" s="31" t="str">
        <x:v>D06, Markdown line 294; http://nas-1.tail55d152.ts.net:4100/static/MEDICAL_NORDICS_FINANCIALS_DOSSIER.html</x:v>
      </x:c>
    </x:row>
    <x:row r="2171" ht="42" customHeight="1">
      <x:c r="A2171" s="5" t="str">
        <x:v>D06</x:v>
      </x:c>
      <x:c r="B2171" s="5" t="str">
        <x:v>D06-T01</x:v>
      </x:c>
      <x:c r="C2171" s="5" t="str">
        <x:v>5. Complete Company Financial Table (135 Facilities Analyzed)</x:v>
      </x:c>
      <x:c r="D2171" s="5" t="n">
        <x:v>294</x:v>
      </x:c>
      <x:c r="E2171" s="5" t="n">
        <x:v>6</x:v>
      </x:c>
      <x:c r="F2171" s="5" t="str">
        <x:v>R&amp;D Spend</x:v>
      </x:c>
      <x:c r="G2171" s="5" t="n">
        <x:v>1</x:v>
      </x:c>
      <x:c r="H2171" s="5" t="n">
        <x:v>1</x:v>
      </x:c>
      <x:c r="I2171" s="5" t="str">
        <x:v>EUR 4.5M (~SEK 50M)</x:v>
      </x:c>
      <x:c r="J2171" s="5" t="str">
        <x:v>SOURCE QUOTE; unvalidated / superseded assessments</x:v>
      </x:c>
      <x:c r="L2171" s="31" t="str">
        <x:v>D06, Markdown line 294; http://nas-1.tail55d152.ts.net:4100/static/MEDICAL_NORDICS_FINANCIALS_DOSSIER.html</x:v>
      </x:c>
    </x:row>
    <x:row r="2172" ht="42" customHeight="1">
      <x:c r="A2172" s="5" t="str">
        <x:v>D06</x:v>
      </x:c>
      <x:c r="B2172" s="5" t="str">
        <x:v>D06-T01</x:v>
      </x:c>
      <x:c r="C2172" s="5" t="str">
        <x:v>5. Complete Company Financial Table (135 Facilities Analyzed)</x:v>
      </x:c>
      <x:c r="D2172" s="5" t="n">
        <x:v>294</x:v>
      </x:c>
      <x:c r="E2172" s="5" t="n">
        <x:v>7</x:v>
      </x:c>
      <x:c r="F2172" s="5" t="str">
        <x:v>Currency</x:v>
      </x:c>
      <x:c r="G2172" s="5" t="n">
        <x:v>1</x:v>
      </x:c>
      <x:c r="H2172" s="5" t="n">
        <x:v>1</x:v>
      </x:c>
      <x:c r="I2172" s="5" t="str">
        <x:v>EUR</x:v>
      </x:c>
      <x:c r="J2172" s="5" t="str">
        <x:v>SOURCE QUOTE; unvalidated / superseded assessments</x:v>
      </x:c>
      <x:c r="L2172" s="31" t="str">
        <x:v>D06, Markdown line 294; http://nas-1.tail55d152.ts.net:4100/static/MEDICAL_NORDICS_FINANCIALS_DOSSIER.html</x:v>
      </x:c>
    </x:row>
    <x:row r="2173" ht="42" customHeight="1">
      <x:c r="A2173" s="5" t="str">
        <x:v>D06</x:v>
      </x:c>
      <x:c r="B2173" s="5" t="str">
        <x:v>D06-T01</x:v>
      </x:c>
      <x:c r="C2173" s="5" t="str">
        <x:v>5. Complete Company Financial Table (135 Facilities Analyzed)</x:v>
      </x:c>
      <x:c r="D2173" s="5" t="n">
        <x:v>294</x:v>
      </x:c>
      <x:c r="E2173" s="5" t="n">
        <x:v>8</x:v>
      </x:c>
      <x:c r="F2173" s="5" t="str">
        <x:v>Fiscal Year</x:v>
      </x:c>
      <x:c r="G2173" s="5" t="n">
        <x:v>1</x:v>
      </x:c>
      <x:c r="H2173" s="5" t="n">
        <x:v>1</x:v>
      </x:c>
      <x:c r="I2173" s="5" t="str">
        <x:v>FY2024</x:v>
      </x:c>
      <x:c r="J2173" s="5" t="str">
        <x:v>SOURCE QUOTE; unvalidated / superseded assessments</x:v>
      </x:c>
      <x:c r="L2173" s="31" t="str">
        <x:v>D06, Markdown line 294; http://nas-1.tail55d152.ts.net:4100/static/MEDICAL_NORDICS_FINANCIALS_DOSSIER.html</x:v>
      </x:c>
    </x:row>
    <x:row r="2174" ht="42" customHeight="1">
      <x:c r="A2174" s="5" t="str">
        <x:v>D06</x:v>
      </x:c>
      <x:c r="B2174" s="5" t="str">
        <x:v>D06-T01</x:v>
      </x:c>
      <x:c r="C2174" s="5" t="str">
        <x:v>5. Complete Company Financial Table (135 Facilities Analyzed)</x:v>
      </x:c>
      <x:c r="D2174" s="5" t="n">
        <x:v>294</x:v>
      </x:c>
      <x:c r="E2174" s="5" t="n">
        <x:v>9</x:v>
      </x:c>
      <x:c r="F2174" s="5" t="str">
        <x:v>Status / Ownership / Strategic Service Alignment</x:v>
      </x:c>
      <x:c r="G2174" s="5" t="n">
        <x:v>1</x:v>
      </x:c>
      <x:c r="H2174" s="5" t="n">
        <x:v>1</x:v>
      </x:c>
      <x:c r="I2174" s="5" t="str">
        <x:v>Series A (€37M); Package B (Fibrosis translational biomarker data infrastructure)</x:v>
      </x:c>
      <x:c r="J2174" s="5" t="str">
        <x:v>SOURCE QUOTE; unvalidated / superseded assessments</x:v>
      </x:c>
      <x:c r="L2174" s="31" t="str">
        <x:v>D06, Markdown line 294; http://nas-1.tail55d152.ts.net:4100/static/MEDICAL_NORDICS_FINANCIALS_DOSSIER.html</x:v>
      </x:c>
    </x:row>
    <x:row r="2175" ht="42" customHeight="1">
      <x:c r="A2175" s="5" t="str">
        <x:v>D06</x:v>
      </x:c>
      <x:c r="B2175" s="5" t="str">
        <x:v>D06-T01</x:v>
      </x:c>
      <x:c r="C2175" s="5" t="str">
        <x:v>5. Complete Company Financial Table (135 Facilities Analyzed)</x:v>
      </x:c>
      <x:c r="D2175" s="5" t="n">
        <x:v>295</x:v>
      </x:c>
      <x:c r="E2175" s="5" t="n">
        <x:v>1</x:v>
      </x:c>
      <x:c r="F2175" s="5" t="str">
        <x:v>#</x:v>
      </x:c>
      <x:c r="G2175" s="5" t="n">
        <x:v>1</x:v>
      </x:c>
      <x:c r="H2175" s="5" t="n">
        <x:v>1</x:v>
      </x:c>
      <x:c r="I2175" s="5" t="str">
        <x:v>114</x:v>
      </x:c>
      <x:c r="J2175" s="5" t="str">
        <x:v>SOURCE QUOTE; unvalidated / superseded assessments</x:v>
      </x:c>
      <x:c r="L2175" s="31" t="str">
        <x:v>D06, Markdown line 295; http://nas-1.tail55d152.ts.net:4100/static/MEDICAL_NORDICS_FINANCIALS_DOSSIER.html</x:v>
      </x:c>
    </x:row>
    <x:row r="2176" ht="42" customHeight="1">
      <x:c r="A2176" s="5" t="str">
        <x:v>D06</x:v>
      </x:c>
      <x:c r="B2176" s="5" t="str">
        <x:v>D06-T01</x:v>
      </x:c>
      <x:c r="C2176" s="5" t="str">
        <x:v>5. Complete Company Financial Table (135 Facilities Analyzed)</x:v>
      </x:c>
      <x:c r="D2176" s="5" t="n">
        <x:v>295</x:v>
      </x:c>
      <x:c r="E2176" s="5" t="n">
        <x:v>2</x:v>
      </x:c>
      <x:c r="F2176" s="5" t="str">
        <x:v>Company</x:v>
      </x:c>
      <x:c r="G2176" s="5" t="n">
        <x:v>1</x:v>
      </x:c>
      <x:c r="H2176" s="5" t="n">
        <x:v>1</x:v>
      </x:c>
      <x:c r="I2176" s="5" t="str">
        <x:v>Vicore Pharma</x:v>
      </x:c>
      <x:c r="J2176" s="5" t="str">
        <x:v>SOURCE QUOTE; unvalidated / superseded assessments</x:v>
      </x:c>
      <x:c r="L2176" s="31" t="str">
        <x:v>D06, Markdown line 295; http://nas-1.tail55d152.ts.net:4100/static/MEDICAL_NORDICS_FINANCIALS_DOSSIER.html</x:v>
      </x:c>
    </x:row>
    <x:row r="2177" ht="42" customHeight="1">
      <x:c r="A2177" s="5" t="str">
        <x:v>D06</x:v>
      </x:c>
      <x:c r="B2177" s="5" t="str">
        <x:v>D06-T01</x:v>
      </x:c>
      <x:c r="C2177" s="5" t="str">
        <x:v>5. Complete Company Financial Table (135 Facilities Analyzed)</x:v>
      </x:c>
      <x:c r="D2177" s="5" t="n">
        <x:v>295</x:v>
      </x:c>
      <x:c r="E2177" s="5" t="n">
        <x:v>3</x:v>
      </x:c>
      <x:c r="F2177" s="5" t="str">
        <x:v>Location</x:v>
      </x:c>
      <x:c r="G2177" s="5" t="n">
        <x:v>1</x:v>
      </x:c>
      <x:c r="H2177" s="5" t="n">
        <x:v>1</x:v>
      </x:c>
      <x:c r="I2177" s="5" t="str">
        <x:v>Stockholm, Sweden</x:v>
      </x:c>
      <x:c r="J2177" s="5" t="str">
        <x:v>SOURCE QUOTE; unvalidated / superseded assessments</x:v>
      </x:c>
      <x:c r="L2177" s="31" t="str">
        <x:v>D06, Markdown line 295; http://nas-1.tail55d152.ts.net:4100/static/MEDICAL_NORDICS_FINANCIALS_DOSSIER.html</x:v>
      </x:c>
    </x:row>
    <x:row r="2178" ht="42" customHeight="1">
      <x:c r="A2178" s="5" t="str">
        <x:v>D06</x:v>
      </x:c>
      <x:c r="B2178" s="5" t="str">
        <x:v>D06-T01</x:v>
      </x:c>
      <x:c r="C2178" s="5" t="str">
        <x:v>5. Complete Company Financial Table (135 Facilities Analyzed)</x:v>
      </x:c>
      <x:c r="D2178" s="5" t="n">
        <x:v>295</x:v>
      </x:c>
      <x:c r="E2178" s="5" t="n">
        <x:v>4</x:v>
      </x:c>
      <x:c r="F2178" s="5" t="str">
        <x:v>Focus Area</x:v>
      </x:c>
      <x:c r="G2178" s="5" t="n">
        <x:v>1</x:v>
      </x:c>
      <x:c r="H2178" s="5" t="n">
        <x:v>1</x:v>
      </x:c>
      <x:c r="I2178" s="5" t="str">
        <x:v>ATRAGs for Idiopathic Pulmonary Fibrosis</x:v>
      </x:c>
      <x:c r="J2178" s="5" t="str">
        <x:v>SOURCE QUOTE; unvalidated / superseded assessments</x:v>
      </x:c>
      <x:c r="L2178" s="31" t="str">
        <x:v>D06, Markdown line 295; http://nas-1.tail55d152.ts.net:4100/static/MEDICAL_NORDICS_FINANCIALS_DOSSIER.html</x:v>
      </x:c>
    </x:row>
    <x:row r="2179" ht="42" customHeight="1">
      <x:c r="A2179" s="5" t="str">
        <x:v>D06</x:v>
      </x:c>
      <x:c r="B2179" s="5" t="str">
        <x:v>D06-T01</x:v>
      </x:c>
      <x:c r="C2179" s="5" t="str">
        <x:v>5. Complete Company Financial Table (135 Facilities Analyzed)</x:v>
      </x:c>
      <x:c r="D2179" s="5" t="n">
        <x:v>295</x:v>
      </x:c>
      <x:c r="E2179" s="5" t="n">
        <x:v>5</x:v>
      </x:c>
      <x:c r="F2179" s="5" t="str">
        <x:v>Revenue / Net Sales</x:v>
      </x:c>
      <x:c r="G2179" s="5" t="n">
        <x:v>1</x:v>
      </x:c>
      <x:c r="H2179" s="5" t="n">
        <x:v>1</x:v>
      </x:c>
      <x:c r="I2179" s="5" t="str">
        <x:v>SEK 8.4M</x:v>
      </x:c>
      <x:c r="J2179" s="5" t="str">
        <x:v>SOURCE QUOTE; unvalidated / superseded assessments</x:v>
      </x:c>
      <x:c r="L2179" s="31" t="str">
        <x:v>D06, Markdown line 295; http://nas-1.tail55d152.ts.net:4100/static/MEDICAL_NORDICS_FINANCIALS_DOSSIER.html</x:v>
      </x:c>
    </x:row>
    <x:row r="2180" ht="42" customHeight="1">
      <x:c r="A2180" s="5" t="str">
        <x:v>D06</x:v>
      </x:c>
      <x:c r="B2180" s="5" t="str">
        <x:v>D06-T01</x:v>
      </x:c>
      <x:c r="C2180" s="5" t="str">
        <x:v>5. Complete Company Financial Table (135 Facilities Analyzed)</x:v>
      </x:c>
      <x:c r="D2180" s="5" t="n">
        <x:v>295</x:v>
      </x:c>
      <x:c r="E2180" s="5" t="n">
        <x:v>6</x:v>
      </x:c>
      <x:c r="F2180" s="5" t="str">
        <x:v>R&amp;D Spend</x:v>
      </x:c>
      <x:c r="G2180" s="5" t="n">
        <x:v>1</x:v>
      </x:c>
      <x:c r="H2180" s="5" t="n">
        <x:v>1</x:v>
      </x:c>
      <x:c r="I2180" s="5" t="str">
        <x:v>SEK 264.2M</x:v>
      </x:c>
      <x:c r="J2180" s="5" t="str">
        <x:v>SOURCE QUOTE; unvalidated / superseded assessments</x:v>
      </x:c>
      <x:c r="L2180" s="31" t="str">
        <x:v>D06, Markdown line 295; http://nas-1.tail55d152.ts.net:4100/static/MEDICAL_NORDICS_FINANCIALS_DOSSIER.html</x:v>
      </x:c>
    </x:row>
    <x:row r="2181" ht="42" customHeight="1">
      <x:c r="A2181" s="5" t="str">
        <x:v>D06</x:v>
      </x:c>
      <x:c r="B2181" s="5" t="str">
        <x:v>D06-T01</x:v>
      </x:c>
      <x:c r="C2181" s="5" t="str">
        <x:v>5. Complete Company Financial Table (135 Facilities Analyzed)</x:v>
      </x:c>
      <x:c r="D2181" s="5" t="n">
        <x:v>295</x:v>
      </x:c>
      <x:c r="E2181" s="5" t="n">
        <x:v>7</x:v>
      </x:c>
      <x:c r="F2181" s="5" t="str">
        <x:v>Currency</x:v>
      </x:c>
      <x:c r="G2181" s="5" t="n">
        <x:v>1</x:v>
      </x:c>
      <x:c r="H2181" s="5" t="n">
        <x:v>1</x:v>
      </x:c>
      <x:c r="I2181" s="5" t="str">
        <x:v>SEK</x:v>
      </x:c>
      <x:c r="J2181" s="5" t="str">
        <x:v>SOURCE QUOTE; unvalidated / superseded assessments</x:v>
      </x:c>
      <x:c r="L2181" s="31" t="str">
        <x:v>D06, Markdown line 295; http://nas-1.tail55d152.ts.net:4100/static/MEDICAL_NORDICS_FINANCIALS_DOSSIER.html</x:v>
      </x:c>
    </x:row>
    <x:row r="2182" ht="42" customHeight="1">
      <x:c r="A2182" s="5" t="str">
        <x:v>D06</x:v>
      </x:c>
      <x:c r="B2182" s="5" t="str">
        <x:v>D06-T01</x:v>
      </x:c>
      <x:c r="C2182" s="5" t="str">
        <x:v>5. Complete Company Financial Table (135 Facilities Analyzed)</x:v>
      </x:c>
      <x:c r="D2182" s="5" t="n">
        <x:v>295</x:v>
      </x:c>
      <x:c r="E2182" s="5" t="n">
        <x:v>8</x:v>
      </x:c>
      <x:c r="F2182" s="5" t="str">
        <x:v>Fiscal Year</x:v>
      </x:c>
      <x:c r="G2182" s="5" t="n">
        <x:v>1</x:v>
      </x:c>
      <x:c r="H2182" s="5" t="n">
        <x:v>1</x:v>
      </x:c>
      <x:c r="I2182" s="5" t="str">
        <x:v>FY2024</x:v>
      </x:c>
      <x:c r="J2182" s="5" t="str">
        <x:v>SOURCE QUOTE; unvalidated / superseded assessments</x:v>
      </x:c>
      <x:c r="L2182" s="31" t="str">
        <x:v>D06, Markdown line 295; http://nas-1.tail55d152.ts.net:4100/static/MEDICAL_NORDICS_FINANCIALS_DOSSIER.html</x:v>
      </x:c>
    </x:row>
    <x:row r="2183" ht="42" customHeight="1">
      <x:c r="A2183" s="5" t="str">
        <x:v>D06</x:v>
      </x:c>
      <x:c r="B2183" s="5" t="str">
        <x:v>D06-T01</x:v>
      </x:c>
      <x:c r="C2183" s="5" t="str">
        <x:v>5. Complete Company Financial Table (135 Facilities Analyzed)</x:v>
      </x:c>
      <x:c r="D2183" s="5" t="n">
        <x:v>295</x:v>
      </x:c>
      <x:c r="E2183" s="5" t="n">
        <x:v>9</x:v>
      </x:c>
      <x:c r="F2183" s="5" t="str">
        <x:v>Status / Ownership / Strategic Service Alignment</x:v>
      </x:c>
      <x:c r="G2183" s="5" t="n">
        <x:v>1</x:v>
      </x:c>
      <x:c r="H2183" s="5" t="n">
        <x:v>1</x:v>
      </x:c>
      <x:c r="I2183" s="5" t="str">
        <x:v>Listed (Nasdaq: VICO); Package B (ASPIRE Phase IIb trial milestone burn governance)</x:v>
      </x:c>
      <x:c r="J2183" s="5" t="str">
        <x:v>SOURCE QUOTE; unvalidated / superseded assessments</x:v>
      </x:c>
      <x:c r="L2183" s="31" t="str">
        <x:v>D06, Markdown line 295; http://nas-1.tail55d152.ts.net:4100/static/MEDICAL_NORDICS_FINANCIALS_DOSSIER.html</x:v>
      </x:c>
    </x:row>
    <x:row r="2184" ht="42" customHeight="1">
      <x:c r="A2184" s="5" t="str">
        <x:v>D06</x:v>
      </x:c>
      <x:c r="B2184" s="5" t="str">
        <x:v>D06-T01</x:v>
      </x:c>
      <x:c r="C2184" s="5" t="str">
        <x:v>5. Complete Company Financial Table (135 Facilities Analyzed)</x:v>
      </x:c>
      <x:c r="D2184" s="5" t="n">
        <x:v>296</x:v>
      </x:c>
      <x:c r="E2184" s="5" t="n">
        <x:v>1</x:v>
      </x:c>
      <x:c r="F2184" s="5" t="str">
        <x:v>#</x:v>
      </x:c>
      <x:c r="G2184" s="5" t="n">
        <x:v>1</x:v>
      </x:c>
      <x:c r="H2184" s="5" t="n">
        <x:v>1</x:v>
      </x:c>
      <x:c r="I2184" s="5" t="str">
        <x:v>115</x:v>
      </x:c>
      <x:c r="J2184" s="5" t="str">
        <x:v>SOURCE QUOTE; unvalidated / superseded assessments</x:v>
      </x:c>
      <x:c r="L2184" s="31" t="str">
        <x:v>D06, Markdown line 296; http://nas-1.tail55d152.ts.net:4100/static/MEDICAL_NORDICS_FINANCIALS_DOSSIER.html</x:v>
      </x:c>
    </x:row>
    <x:row r="2185" ht="42" customHeight="1">
      <x:c r="A2185" s="5" t="str">
        <x:v>D06</x:v>
      </x:c>
      <x:c r="B2185" s="5" t="str">
        <x:v>D06-T01</x:v>
      </x:c>
      <x:c r="C2185" s="5" t="str">
        <x:v>5. Complete Company Financial Table (135 Facilities Analyzed)</x:v>
      </x:c>
      <x:c r="D2185" s="5" t="n">
        <x:v>296</x:v>
      </x:c>
      <x:c r="E2185" s="5" t="n">
        <x:v>2</x:v>
      </x:c>
      <x:c r="F2185" s="5" t="str">
        <x:v>Company</x:v>
      </x:c>
      <x:c r="G2185" s="5" t="n">
        <x:v>1</x:v>
      </x:c>
      <x:c r="H2185" s="5" t="n">
        <x:v>1</x:v>
      </x:c>
      <x:c r="I2185" s="5" t="str">
        <x:v>BioLamina</x:v>
      </x:c>
      <x:c r="J2185" s="5" t="str">
        <x:v>SOURCE QUOTE; unvalidated / superseded assessments</x:v>
      </x:c>
      <x:c r="L2185" s="31" t="str">
        <x:v>D06, Markdown line 296; http://nas-1.tail55d152.ts.net:4100/static/MEDICAL_NORDICS_FINANCIALS_DOSSIER.html</x:v>
      </x:c>
    </x:row>
    <x:row r="2186" ht="42" customHeight="1">
      <x:c r="A2186" s="5" t="str">
        <x:v>D06</x:v>
      </x:c>
      <x:c r="B2186" s="5" t="str">
        <x:v>D06-T01</x:v>
      </x:c>
      <x:c r="C2186" s="5" t="str">
        <x:v>5. Complete Company Financial Table (135 Facilities Analyzed)</x:v>
      </x:c>
      <x:c r="D2186" s="5" t="n">
        <x:v>296</x:v>
      </x:c>
      <x:c r="E2186" s="5" t="n">
        <x:v>3</x:v>
      </x:c>
      <x:c r="F2186" s="5" t="str">
        <x:v>Location</x:v>
      </x:c>
      <x:c r="G2186" s="5" t="n">
        <x:v>1</x:v>
      </x:c>
      <x:c r="H2186" s="5" t="n">
        <x:v>1</x:v>
      </x:c>
      <x:c r="I2186" s="5" t="str">
        <x:v>Sundbyberg, Sweden</x:v>
      </x:c>
      <x:c r="J2186" s="5" t="str">
        <x:v>SOURCE QUOTE; unvalidated / superseded assessments</x:v>
      </x:c>
      <x:c r="L2186" s="31" t="str">
        <x:v>D06, Markdown line 296; http://nas-1.tail55d152.ts.net:4100/static/MEDICAL_NORDICS_FINANCIALS_DOSSIER.html</x:v>
      </x:c>
    </x:row>
    <x:row r="2187" ht="42" customHeight="1">
      <x:c r="A2187" s="5" t="str">
        <x:v>D06</x:v>
      </x:c>
      <x:c r="B2187" s="5" t="str">
        <x:v>D06-T01</x:v>
      </x:c>
      <x:c r="C2187" s="5" t="str">
        <x:v>5. Complete Company Financial Table (135 Facilities Analyzed)</x:v>
      </x:c>
      <x:c r="D2187" s="5" t="n">
        <x:v>296</x:v>
      </x:c>
      <x:c r="E2187" s="5" t="n">
        <x:v>4</x:v>
      </x:c>
      <x:c r="F2187" s="5" t="str">
        <x:v>Focus Area</x:v>
      </x:c>
      <x:c r="G2187" s="5" t="n">
        <x:v>1</x:v>
      </x:c>
      <x:c r="H2187" s="5" t="n">
        <x:v>1</x:v>
      </x:c>
      <x:c r="I2187" s="5" t="str">
        <x:v>Recombinant Human Laminin Cell Matrices</x:v>
      </x:c>
      <x:c r="J2187" s="5" t="str">
        <x:v>SOURCE QUOTE; unvalidated / superseded assessments</x:v>
      </x:c>
      <x:c r="L2187" s="31" t="str">
        <x:v>D06, Markdown line 296; http://nas-1.tail55d152.ts.net:4100/static/MEDICAL_NORDICS_FINANCIALS_DOSSIER.html</x:v>
      </x:c>
    </x:row>
    <x:row r="2188" ht="42" customHeight="1">
      <x:c r="A2188" s="5" t="str">
        <x:v>D06</x:v>
      </x:c>
      <x:c r="B2188" s="5" t="str">
        <x:v>D06-T01</x:v>
      </x:c>
      <x:c r="C2188" s="5" t="str">
        <x:v>5. Complete Company Financial Table (135 Facilities Analyzed)</x:v>
      </x:c>
      <x:c r="D2188" s="5" t="n">
        <x:v>296</x:v>
      </x:c>
      <x:c r="E2188" s="5" t="n">
        <x:v>5</x:v>
      </x:c>
      <x:c r="F2188" s="5" t="str">
        <x:v>Revenue / Net Sales</x:v>
      </x:c>
      <x:c r="G2188" s="5" t="n">
        <x:v>1</x:v>
      </x:c>
      <x:c r="H2188" s="5" t="n">
        <x:v>1</x:v>
      </x:c>
      <x:c r="I2188" s="5" t="str">
        <x:v>SEK 95.0M est. ($9M)</x:v>
      </x:c>
      <x:c r="J2188" s="5" t="str">
        <x:v>SOURCE QUOTE; unvalidated / superseded assessments</x:v>
      </x:c>
      <x:c r="L2188" s="31" t="str">
        <x:v>D06, Markdown line 296; http://nas-1.tail55d152.ts.net:4100/static/MEDICAL_NORDICS_FINANCIALS_DOSSIER.html</x:v>
      </x:c>
    </x:row>
    <x:row r="2189" ht="42" customHeight="1">
      <x:c r="A2189" s="5" t="str">
        <x:v>D06</x:v>
      </x:c>
      <x:c r="B2189" s="5" t="str">
        <x:v>D06-T01</x:v>
      </x:c>
      <x:c r="C2189" s="5" t="str">
        <x:v>5. Complete Company Financial Table (135 Facilities Analyzed)</x:v>
      </x:c>
      <x:c r="D2189" s="5" t="n">
        <x:v>296</x:v>
      </x:c>
      <x:c r="E2189" s="5" t="n">
        <x:v>6</x:v>
      </x:c>
      <x:c r="F2189" s="5" t="str">
        <x:v>R&amp;D Spend</x:v>
      </x:c>
      <x:c r="G2189" s="5" t="n">
        <x:v>1</x:v>
      </x:c>
      <x:c r="H2189" s="5" t="n">
        <x:v>1</x:v>
      </x:c>
      <x:c r="I2189" s="5" t="str">
        <x:v>SEK 28.0M</x:v>
      </x:c>
      <x:c r="J2189" s="5" t="str">
        <x:v>SOURCE QUOTE; unvalidated / superseded assessments</x:v>
      </x:c>
      <x:c r="L2189" s="31" t="str">
        <x:v>D06, Markdown line 296; http://nas-1.tail55d152.ts.net:4100/static/MEDICAL_NORDICS_FINANCIALS_DOSSIER.html</x:v>
      </x:c>
    </x:row>
    <x:row r="2190" ht="42" customHeight="1">
      <x:c r="A2190" s="5" t="str">
        <x:v>D06</x:v>
      </x:c>
      <x:c r="B2190" s="5" t="str">
        <x:v>D06-T01</x:v>
      </x:c>
      <x:c r="C2190" s="5" t="str">
        <x:v>5. Complete Company Financial Table (135 Facilities Analyzed)</x:v>
      </x:c>
      <x:c r="D2190" s="5" t="n">
        <x:v>296</x:v>
      </x:c>
      <x:c r="E2190" s="5" t="n">
        <x:v>7</x:v>
      </x:c>
      <x:c r="F2190" s="5" t="str">
        <x:v>Currency</x:v>
      </x:c>
      <x:c r="G2190" s="5" t="n">
        <x:v>1</x:v>
      </x:c>
      <x:c r="H2190" s="5" t="n">
        <x:v>1</x:v>
      </x:c>
      <x:c r="I2190" s="5" t="str">
        <x:v>SEK</x:v>
      </x:c>
      <x:c r="J2190" s="5" t="str">
        <x:v>SOURCE QUOTE; unvalidated / superseded assessments</x:v>
      </x:c>
      <x:c r="L2190" s="31" t="str">
        <x:v>D06, Markdown line 296; http://nas-1.tail55d152.ts.net:4100/static/MEDICAL_NORDICS_FINANCIALS_DOSSIER.html</x:v>
      </x:c>
    </x:row>
    <x:row r="2191" ht="42" customHeight="1">
      <x:c r="A2191" s="5" t="str">
        <x:v>D06</x:v>
      </x:c>
      <x:c r="B2191" s="5" t="str">
        <x:v>D06-T01</x:v>
      </x:c>
      <x:c r="C2191" s="5" t="str">
        <x:v>5. Complete Company Financial Table (135 Facilities Analyzed)</x:v>
      </x:c>
      <x:c r="D2191" s="5" t="n">
        <x:v>296</x:v>
      </x:c>
      <x:c r="E2191" s="5" t="n">
        <x:v>8</x:v>
      </x:c>
      <x:c r="F2191" s="5" t="str">
        <x:v>Fiscal Year</x:v>
      </x:c>
      <x:c r="G2191" s="5" t="n">
        <x:v>1</x:v>
      </x:c>
      <x:c r="H2191" s="5" t="n">
        <x:v>1</x:v>
      </x:c>
      <x:c r="I2191" s="5" t="str">
        <x:v>FY2023/24</x:v>
      </x:c>
      <x:c r="J2191" s="5" t="str">
        <x:v>SOURCE QUOTE; unvalidated / superseded assessments</x:v>
      </x:c>
      <x:c r="L2191" s="31" t="str">
        <x:v>D06, Markdown line 296; http://nas-1.tail55d152.ts.net:4100/static/MEDICAL_NORDICS_FINANCIALS_DOSSIER.html</x:v>
      </x:c>
    </x:row>
    <x:row r="2192" ht="42" customHeight="1">
      <x:c r="A2192" s="5" t="str">
        <x:v>D06</x:v>
      </x:c>
      <x:c r="B2192" s="5" t="str">
        <x:v>D06-T01</x:v>
      </x:c>
      <x:c r="C2192" s="5" t="str">
        <x:v>5. Complete Company Financial Table (135 Facilities Analyzed)</x:v>
      </x:c>
      <x:c r="D2192" s="5" t="n">
        <x:v>296</x:v>
      </x:c>
      <x:c r="E2192" s="5" t="n">
        <x:v>9</x:v>
      </x:c>
      <x:c r="F2192" s="5" t="str">
        <x:v>Status / Ownership / Strategic Service Alignment</x:v>
      </x:c>
      <x:c r="G2192" s="5" t="n">
        <x:v>1</x:v>
      </x:c>
      <x:c r="H2192" s="5" t="n">
        <x:v>1</x:v>
      </x:c>
      <x:c r="I2192" s="5" t="str">
        <x:v>Private (€20M EIB loan); Package D (Bioprocess consumable manufacturing scale-up)</x:v>
      </x:c>
      <x:c r="J2192" s="5" t="str">
        <x:v>SOURCE QUOTE; unvalidated / superseded assessments</x:v>
      </x:c>
      <x:c r="L2192" s="31" t="str">
        <x:v>D06, Markdown line 296; http://nas-1.tail55d152.ts.net:4100/static/MEDICAL_NORDICS_FINANCIALS_DOSSIER.html</x:v>
      </x:c>
    </x:row>
    <x:row r="2193" ht="42" customHeight="1">
      <x:c r="A2193" s="5" t="str">
        <x:v>D06</x:v>
      </x:c>
      <x:c r="B2193" s="5" t="str">
        <x:v>D06-T01</x:v>
      </x:c>
      <x:c r="C2193" s="5" t="str">
        <x:v>5. Complete Company Financial Table (135 Facilities Analyzed)</x:v>
      </x:c>
      <x:c r="D2193" s="5" t="n">
        <x:v>297</x:v>
      </x:c>
      <x:c r="E2193" s="5" t="n">
        <x:v>1</x:v>
      </x:c>
      <x:c r="F2193" s="5" t="str">
        <x:v>#</x:v>
      </x:c>
      <x:c r="G2193" s="5" t="n">
        <x:v>1</x:v>
      </x:c>
      <x:c r="H2193" s="5" t="n">
        <x:v>1</x:v>
      </x:c>
      <x:c r="I2193" s="5" t="str">
        <x:v>116</x:v>
      </x:c>
      <x:c r="J2193" s="5" t="str">
        <x:v>SOURCE QUOTE; unvalidated / superseded assessments</x:v>
      </x:c>
      <x:c r="L2193" s="31" t="str">
        <x:v>D06, Markdown line 297; http://nas-1.tail55d152.ts.net:4100/static/MEDICAL_NORDICS_FINANCIALS_DOSSIER.html</x:v>
      </x:c>
    </x:row>
    <x:row r="2194" ht="42" customHeight="1">
      <x:c r="A2194" s="5" t="str">
        <x:v>D06</x:v>
      </x:c>
      <x:c r="B2194" s="5" t="str">
        <x:v>D06-T01</x:v>
      </x:c>
      <x:c r="C2194" s="5" t="str">
        <x:v>5. Complete Company Financial Table (135 Facilities Analyzed)</x:v>
      </x:c>
      <x:c r="D2194" s="5" t="n">
        <x:v>297</x:v>
      </x:c>
      <x:c r="E2194" s="5" t="n">
        <x:v>2</x:v>
      </x:c>
      <x:c r="F2194" s="5" t="str">
        <x:v>Company</x:v>
      </x:c>
      <x:c r="G2194" s="5" t="n">
        <x:v>1</x:v>
      </x:c>
      <x:c r="H2194" s="5" t="n">
        <x:v>1</x:v>
      </x:c>
      <x:c r="I2194" s="5" t="str">
        <x:v>Abera Bioscience</x:v>
      </x:c>
      <x:c r="J2194" s="5" t="str">
        <x:v>SOURCE QUOTE; unvalidated / superseded assessments</x:v>
      </x:c>
      <x:c r="L2194" s="31" t="str">
        <x:v>D06, Markdown line 297; http://nas-1.tail55d152.ts.net:4100/static/MEDICAL_NORDICS_FINANCIALS_DOSSIER.html</x:v>
      </x:c>
    </x:row>
    <x:row r="2195" ht="42" customHeight="1">
      <x:c r="A2195" s="5" t="str">
        <x:v>D06</x:v>
      </x:c>
      <x:c r="B2195" s="5" t="str">
        <x:v>D06-T01</x:v>
      </x:c>
      <x:c r="C2195" s="5" t="str">
        <x:v>5. Complete Company Financial Table (135 Facilities Analyzed)</x:v>
      </x:c>
      <x:c r="D2195" s="5" t="n">
        <x:v>297</x:v>
      </x:c>
      <x:c r="E2195" s="5" t="n">
        <x:v>3</x:v>
      </x:c>
      <x:c r="F2195" s="5" t="str">
        <x:v>Location</x:v>
      </x:c>
      <x:c r="G2195" s="5" t="n">
        <x:v>1</x:v>
      </x:c>
      <x:c r="H2195" s="5" t="n">
        <x:v>1</x:v>
      </x:c>
      <x:c r="I2195" s="5" t="str">
        <x:v>Uppsala, Sweden</x:v>
      </x:c>
      <x:c r="J2195" s="5" t="str">
        <x:v>SOURCE QUOTE; unvalidated / superseded assessments</x:v>
      </x:c>
      <x:c r="L2195" s="31" t="str">
        <x:v>D06, Markdown line 297; http://nas-1.tail55d152.ts.net:4100/static/MEDICAL_NORDICS_FINANCIALS_DOSSIER.html</x:v>
      </x:c>
    </x:row>
    <x:row r="2196" ht="42" customHeight="1">
      <x:c r="A2196" s="5" t="str">
        <x:v>D06</x:v>
      </x:c>
      <x:c r="B2196" s="5" t="str">
        <x:v>D06-T01</x:v>
      </x:c>
      <x:c r="C2196" s="5" t="str">
        <x:v>5. Complete Company Financial Table (135 Facilities Analyzed)</x:v>
      </x:c>
      <x:c r="D2196" s="5" t="n">
        <x:v>297</x:v>
      </x:c>
      <x:c r="E2196" s="5" t="n">
        <x:v>4</x:v>
      </x:c>
      <x:c r="F2196" s="5" t="str">
        <x:v>Focus Area</x:v>
      </x:c>
      <x:c r="G2196" s="5" t="n">
        <x:v>1</x:v>
      </x:c>
      <x:c r="H2196" s="5" t="n">
        <x:v>1</x:v>
      </x:c>
      <x:c r="I2196" s="5" t="str">
        <x:v>Outer Membrane Vesicle Mucosal Vaccines</x:v>
      </x:c>
      <x:c r="J2196" s="5" t="str">
        <x:v>SOURCE QUOTE; unvalidated / superseded assessments</x:v>
      </x:c>
      <x:c r="L2196" s="31" t="str">
        <x:v>D06, Markdown line 297; http://nas-1.tail55d152.ts.net:4100/static/MEDICAL_NORDICS_FINANCIALS_DOSSIER.html</x:v>
      </x:c>
    </x:row>
    <x:row r="2197" ht="42" customHeight="1">
      <x:c r="A2197" s="5" t="str">
        <x:v>D06</x:v>
      </x:c>
      <x:c r="B2197" s="5" t="str">
        <x:v>D06-T01</x:v>
      </x:c>
      <x:c r="C2197" s="5" t="str">
        <x:v>5. Complete Company Financial Table (135 Facilities Analyzed)</x:v>
      </x:c>
      <x:c r="D2197" s="5" t="n">
        <x:v>297</x:v>
      </x:c>
      <x:c r="E2197" s="5" t="n">
        <x:v>5</x:v>
      </x:c>
      <x:c r="F2197" s="5" t="str">
        <x:v>Revenue / Net Sales</x:v>
      </x:c>
      <x:c r="G2197" s="5" t="n">
        <x:v>1</x:v>
      </x:c>
      <x:c r="H2197" s="5" t="n">
        <x:v>1</x:v>
      </x:c>
      <x:c r="I2197" s="5" t="str">
        <x:v>SEK 0M (Pre-revenue)</x:v>
      </x:c>
      <x:c r="J2197" s="5" t="str">
        <x:v>SOURCE QUOTE; unvalidated / superseded assessments</x:v>
      </x:c>
      <x:c r="L2197" s="31" t="str">
        <x:v>D06, Markdown line 297; http://nas-1.tail55d152.ts.net:4100/static/MEDICAL_NORDICS_FINANCIALS_DOSSIER.html</x:v>
      </x:c>
    </x:row>
    <x:row r="2198" ht="42" customHeight="1">
      <x:c r="A2198" s="5" t="str">
        <x:v>D06</x:v>
      </x:c>
      <x:c r="B2198" s="5" t="str">
        <x:v>D06-T01</x:v>
      </x:c>
      <x:c r="C2198" s="5" t="str">
        <x:v>5. Complete Company Financial Table (135 Facilities Analyzed)</x:v>
      </x:c>
      <x:c r="D2198" s="5" t="n">
        <x:v>297</x:v>
      </x:c>
      <x:c r="E2198" s="5" t="n">
        <x:v>6</x:v>
      </x:c>
      <x:c r="F2198" s="5" t="str">
        <x:v>R&amp;D Spend</x:v>
      </x:c>
      <x:c r="G2198" s="5" t="n">
        <x:v>1</x:v>
      </x:c>
      <x:c r="H2198" s="5" t="n">
        <x:v>1</x:v>
      </x:c>
      <x:c r="I2198" s="5" t="str">
        <x:v>SEK 14.8M</x:v>
      </x:c>
      <x:c r="J2198" s="5" t="str">
        <x:v>SOURCE QUOTE; unvalidated / superseded assessments</x:v>
      </x:c>
      <x:c r="L2198" s="31" t="str">
        <x:v>D06, Markdown line 297; http://nas-1.tail55d152.ts.net:4100/static/MEDICAL_NORDICS_FINANCIALS_DOSSIER.html</x:v>
      </x:c>
    </x:row>
    <x:row r="2199" ht="42" customHeight="1">
      <x:c r="A2199" s="5" t="str">
        <x:v>D06</x:v>
      </x:c>
      <x:c r="B2199" s="5" t="str">
        <x:v>D06-T01</x:v>
      </x:c>
      <x:c r="C2199" s="5" t="str">
        <x:v>5. Complete Company Financial Table (135 Facilities Analyzed)</x:v>
      </x:c>
      <x:c r="D2199" s="5" t="n">
        <x:v>297</x:v>
      </x:c>
      <x:c r="E2199" s="5" t="n">
        <x:v>7</x:v>
      </x:c>
      <x:c r="F2199" s="5" t="str">
        <x:v>Currency</x:v>
      </x:c>
      <x:c r="G2199" s="5" t="n">
        <x:v>1</x:v>
      </x:c>
      <x:c r="H2199" s="5" t="n">
        <x:v>1</x:v>
      </x:c>
      <x:c r="I2199" s="5" t="str">
        <x:v>SEK</x:v>
      </x:c>
      <x:c r="J2199" s="5" t="str">
        <x:v>SOURCE QUOTE; unvalidated / superseded assessments</x:v>
      </x:c>
      <x:c r="L2199" s="31" t="str">
        <x:v>D06, Markdown line 297; http://nas-1.tail55d152.ts.net:4100/static/MEDICAL_NORDICS_FINANCIALS_DOSSIER.html</x:v>
      </x:c>
    </x:row>
    <x:row r="2200" ht="42" customHeight="1">
      <x:c r="A2200" s="5" t="str">
        <x:v>D06</x:v>
      </x:c>
      <x:c r="B2200" s="5" t="str">
        <x:v>D06-T01</x:v>
      </x:c>
      <x:c r="C2200" s="5" t="str">
        <x:v>5. Complete Company Financial Table (135 Facilities Analyzed)</x:v>
      </x:c>
      <x:c r="D2200" s="5" t="n">
        <x:v>297</x:v>
      </x:c>
      <x:c r="E2200" s="5" t="n">
        <x:v>8</x:v>
      </x:c>
      <x:c r="F2200" s="5" t="str">
        <x:v>Fiscal Year</x:v>
      </x:c>
      <x:c r="G2200" s="5" t="n">
        <x:v>1</x:v>
      </x:c>
      <x:c r="H2200" s="5" t="n">
        <x:v>1</x:v>
      </x:c>
      <x:c r="I2200" s="5" t="str">
        <x:v>FY2023/24</x:v>
      </x:c>
      <x:c r="J2200" s="5" t="str">
        <x:v>SOURCE QUOTE; unvalidated / superseded assessments</x:v>
      </x:c>
      <x:c r="L2200" s="31" t="str">
        <x:v>D06, Markdown line 297; http://nas-1.tail55d152.ts.net:4100/static/MEDICAL_NORDICS_FINANCIALS_DOSSIER.html</x:v>
      </x:c>
    </x:row>
    <x:row r="2201" ht="42" customHeight="1">
      <x:c r="A2201" s="5" t="str">
        <x:v>D06</x:v>
      </x:c>
      <x:c r="B2201" s="5" t="str">
        <x:v>D06-T01</x:v>
      </x:c>
      <x:c r="C2201" s="5" t="str">
        <x:v>5. Complete Company Financial Table (135 Facilities Analyzed)</x:v>
      </x:c>
      <x:c r="D2201" s="5" t="n">
        <x:v>297</x:v>
      </x:c>
      <x:c r="E2201" s="5" t="n">
        <x:v>9</x:v>
      </x:c>
      <x:c r="F2201" s="5" t="str">
        <x:v>Status / Ownership / Strategic Service Alignment</x:v>
      </x:c>
      <x:c r="G2201" s="5" t="n">
        <x:v>1</x:v>
      </x:c>
      <x:c r="H2201" s="5" t="n">
        <x:v>1</x:v>
      </x:c>
      <x:c r="I2201" s="5" t="str">
        <x:v>Listed (Spotlight: ABERA); Package B (Mucosal vaccine trial site tracking)</x:v>
      </x:c>
      <x:c r="J2201" s="5" t="str">
        <x:v>SOURCE QUOTE; unvalidated / superseded assessments</x:v>
      </x:c>
      <x:c r="L2201" s="31" t="str">
        <x:v>D06, Markdown line 297; http://nas-1.tail55d152.ts.net:4100/static/MEDICAL_NORDICS_FINANCIALS_DOSSIER.html</x:v>
      </x:c>
    </x:row>
    <x:row r="2202" ht="42" customHeight="1">
      <x:c r="A2202" s="5" t="str">
        <x:v>D06</x:v>
      </x:c>
      <x:c r="B2202" s="5" t="str">
        <x:v>D06-T01</x:v>
      </x:c>
      <x:c r="C2202" s="5" t="str">
        <x:v>5. Complete Company Financial Table (135 Facilities Analyzed)</x:v>
      </x:c>
      <x:c r="D2202" s="5" t="n">
        <x:v>298</x:v>
      </x:c>
      <x:c r="E2202" s="5" t="n">
        <x:v>1</x:v>
      </x:c>
      <x:c r="F2202" s="5" t="str">
        <x:v>#</x:v>
      </x:c>
      <x:c r="G2202" s="5" t="n">
        <x:v>1</x:v>
      </x:c>
      <x:c r="H2202" s="5" t="n">
        <x:v>1</x:v>
      </x:c>
      <x:c r="I2202" s="5" t="str">
        <x:v>117</x:v>
      </x:c>
      <x:c r="J2202" s="5" t="str">
        <x:v>SOURCE QUOTE; unvalidated / superseded assessments</x:v>
      </x:c>
      <x:c r="L2202" s="31" t="str">
        <x:v>D06, Markdown line 298; http://nas-1.tail55d152.ts.net:4100/static/MEDICAL_NORDICS_FINANCIALS_DOSSIER.html</x:v>
      </x:c>
    </x:row>
    <x:row r="2203" ht="42" customHeight="1">
      <x:c r="A2203" s="5" t="str">
        <x:v>D06</x:v>
      </x:c>
      <x:c r="B2203" s="5" t="str">
        <x:v>D06-T01</x:v>
      </x:c>
      <x:c r="C2203" s="5" t="str">
        <x:v>5. Complete Company Financial Table (135 Facilities Analyzed)</x:v>
      </x:c>
      <x:c r="D2203" s="5" t="n">
        <x:v>298</x:v>
      </x:c>
      <x:c r="E2203" s="5" t="n">
        <x:v>2</x:v>
      </x:c>
      <x:c r="F2203" s="5" t="str">
        <x:v>Company</x:v>
      </x:c>
      <x:c r="G2203" s="5" t="n">
        <x:v>1</x:v>
      </x:c>
      <x:c r="H2203" s="5" t="n">
        <x:v>1</x:v>
      </x:c>
      <x:c r="I2203" s="5" t="str">
        <x:v>Aurevia</x:v>
      </x:c>
      <x:c r="J2203" s="5" t="str">
        <x:v>SOURCE QUOTE; unvalidated / superseded assessments</x:v>
      </x:c>
      <x:c r="L2203" s="31" t="str">
        <x:v>D06, Markdown line 298; http://nas-1.tail55d152.ts.net:4100/static/MEDICAL_NORDICS_FINANCIALS_DOSSIER.html</x:v>
      </x:c>
    </x:row>
    <x:row r="2204" ht="42" customHeight="1">
      <x:c r="A2204" s="5" t="str">
        <x:v>D06</x:v>
      </x:c>
      <x:c r="B2204" s="5" t="str">
        <x:v>D06-T01</x:v>
      </x:c>
      <x:c r="C2204" s="5" t="str">
        <x:v>5. Complete Company Financial Table (135 Facilities Analyzed)</x:v>
      </x:c>
      <x:c r="D2204" s="5" t="n">
        <x:v>298</x:v>
      </x:c>
      <x:c r="E2204" s="5" t="n">
        <x:v>3</x:v>
      </x:c>
      <x:c r="F2204" s="5" t="str">
        <x:v>Location</x:v>
      </x:c>
      <x:c r="G2204" s="5" t="n">
        <x:v>1</x:v>
      </x:c>
      <x:c r="H2204" s="5" t="n">
        <x:v>1</x:v>
      </x:c>
      <x:c r="I2204" s="5" t="str">
        <x:v>Uppsala, Sweden</x:v>
      </x:c>
      <x:c r="J2204" s="5" t="str">
        <x:v>SOURCE QUOTE; unvalidated / superseded assessments</x:v>
      </x:c>
      <x:c r="L2204" s="31" t="str">
        <x:v>D06, Markdown line 298; http://nas-1.tail55d152.ts.net:4100/static/MEDICAL_NORDICS_FINANCIALS_DOSSIER.html</x:v>
      </x:c>
    </x:row>
    <x:row r="2205" ht="42" customHeight="1">
      <x:c r="A2205" s="5" t="str">
        <x:v>D06</x:v>
      </x:c>
      <x:c r="B2205" s="5" t="str">
        <x:v>D06-T01</x:v>
      </x:c>
      <x:c r="C2205" s="5" t="str">
        <x:v>5. Complete Company Financial Table (135 Facilities Analyzed)</x:v>
      </x:c>
      <x:c r="D2205" s="5" t="n">
        <x:v>298</x:v>
      </x:c>
      <x:c r="E2205" s="5" t="n">
        <x:v>4</x:v>
      </x:c>
      <x:c r="F2205" s="5" t="str">
        <x:v>Focus Area</x:v>
      </x:c>
      <x:c r="G2205" s="5" t="n">
        <x:v>1</x:v>
      </x:c>
      <x:c r="H2205" s="5" t="n">
        <x:v>1</x:v>
      </x:c>
      <x:c r="I2205" s="5" t="str">
        <x:v>CRO &amp; Regulatory Affairs Advisory</x:v>
      </x:c>
      <x:c r="J2205" s="5" t="str">
        <x:v>SOURCE QUOTE; unvalidated / superseded assessments</x:v>
      </x:c>
      <x:c r="L2205" s="31" t="str">
        <x:v>D06, Markdown line 298; http://nas-1.tail55d152.ts.net:4100/static/MEDICAL_NORDICS_FINANCIALS_DOSSIER.html</x:v>
      </x:c>
    </x:row>
    <x:row r="2206" ht="42" customHeight="1">
      <x:c r="A2206" s="5" t="str">
        <x:v>D06</x:v>
      </x:c>
      <x:c r="B2206" s="5" t="str">
        <x:v>D06-T01</x:v>
      </x:c>
      <x:c r="C2206" s="5" t="str">
        <x:v>5. Complete Company Financial Table (135 Facilities Analyzed)</x:v>
      </x:c>
      <x:c r="D2206" s="5" t="n">
        <x:v>298</x:v>
      </x:c>
      <x:c r="E2206" s="5" t="n">
        <x:v>5</x:v>
      </x:c>
      <x:c r="F2206" s="5" t="str">
        <x:v>Revenue / Net Sales</x:v>
      </x:c>
      <x:c r="G2206" s="5" t="n">
        <x:v>1</x:v>
      </x:c>
      <x:c r="H2206" s="5" t="n">
        <x:v>1</x:v>
      </x:c>
      <x:c r="I2206" s="5" t="str">
        <x:v>SEK 46.9M</x:v>
      </x:c>
      <x:c r="J2206" s="5" t="str">
        <x:v>SOURCE QUOTE; unvalidated / superseded assessments</x:v>
      </x:c>
      <x:c r="L2206" s="31" t="str">
        <x:v>D06, Markdown line 298; http://nas-1.tail55d152.ts.net:4100/static/MEDICAL_NORDICS_FINANCIALS_DOSSIER.html</x:v>
      </x:c>
    </x:row>
    <x:row r="2207" ht="42" customHeight="1">
      <x:c r="A2207" s="5" t="str">
        <x:v>D06</x:v>
      </x:c>
      <x:c r="B2207" s="5" t="str">
        <x:v>D06-T01</x:v>
      </x:c>
      <x:c r="C2207" s="5" t="str">
        <x:v>5. Complete Company Financial Table (135 Facilities Analyzed)</x:v>
      </x:c>
      <x:c r="D2207" s="5" t="n">
        <x:v>298</x:v>
      </x:c>
      <x:c r="E2207" s="5" t="n">
        <x:v>6</x:v>
      </x:c>
      <x:c r="F2207" s="5" t="str">
        <x:v>R&amp;D Spend</x:v>
      </x:c>
      <x:c r="G2207" s="5" t="n">
        <x:v>1</x:v>
      </x:c>
      <x:c r="H2207" s="5" t="n">
        <x:v>1</x:v>
      </x:c>
      <x:c r="I2207" s="5" t="str">
        <x:v>SEK 4.0M</x:v>
      </x:c>
      <x:c r="J2207" s="5" t="str">
        <x:v>SOURCE QUOTE; unvalidated / superseded assessments</x:v>
      </x:c>
      <x:c r="L2207" s="31" t="str">
        <x:v>D06, Markdown line 298; http://nas-1.tail55d152.ts.net:4100/static/MEDICAL_NORDICS_FINANCIALS_DOSSIER.html</x:v>
      </x:c>
    </x:row>
    <x:row r="2208" ht="42" customHeight="1">
      <x:c r="A2208" s="5" t="str">
        <x:v>D06</x:v>
      </x:c>
      <x:c r="B2208" s="5" t="str">
        <x:v>D06-T01</x:v>
      </x:c>
      <x:c r="C2208" s="5" t="str">
        <x:v>5. Complete Company Financial Table (135 Facilities Analyzed)</x:v>
      </x:c>
      <x:c r="D2208" s="5" t="n">
        <x:v>298</x:v>
      </x:c>
      <x:c r="E2208" s="5" t="n">
        <x:v>7</x:v>
      </x:c>
      <x:c r="F2208" s="5" t="str">
        <x:v>Currency</x:v>
      </x:c>
      <x:c r="G2208" s="5" t="n">
        <x:v>1</x:v>
      </x:c>
      <x:c r="H2208" s="5" t="n">
        <x:v>1</x:v>
      </x:c>
      <x:c r="I2208" s="5" t="str">
        <x:v>SEK</x:v>
      </x:c>
      <x:c r="J2208" s="5" t="str">
        <x:v>SOURCE QUOTE; unvalidated / superseded assessments</x:v>
      </x:c>
      <x:c r="L2208" s="31" t="str">
        <x:v>D06, Markdown line 298; http://nas-1.tail55d152.ts.net:4100/static/MEDICAL_NORDICS_FINANCIALS_DOSSIER.html</x:v>
      </x:c>
    </x:row>
    <x:row r="2209" ht="42" customHeight="1">
      <x:c r="A2209" s="5" t="str">
        <x:v>D06</x:v>
      </x:c>
      <x:c r="B2209" s="5" t="str">
        <x:v>D06-T01</x:v>
      </x:c>
      <x:c r="C2209" s="5" t="str">
        <x:v>5. Complete Company Financial Table (135 Facilities Analyzed)</x:v>
      </x:c>
      <x:c r="D2209" s="5" t="n">
        <x:v>298</x:v>
      </x:c>
      <x:c r="E2209" s="5" t="n">
        <x:v>8</x:v>
      </x:c>
      <x:c r="F2209" s="5" t="str">
        <x:v>Fiscal Year</x:v>
      </x:c>
      <x:c r="G2209" s="5" t="n">
        <x:v>1</x:v>
      </x:c>
      <x:c r="H2209" s="5" t="n">
        <x:v>1</x:v>
      </x:c>
      <x:c r="I2209" s="5" t="str">
        <x:v>FY2023</x:v>
      </x:c>
      <x:c r="J2209" s="5" t="str">
        <x:v>SOURCE QUOTE; unvalidated / superseded assessments</x:v>
      </x:c>
      <x:c r="L2209" s="31" t="str">
        <x:v>D06, Markdown line 298; http://nas-1.tail55d152.ts.net:4100/static/MEDICAL_NORDICS_FINANCIALS_DOSSIER.html</x:v>
      </x:c>
    </x:row>
    <x:row r="2210" ht="42" customHeight="1">
      <x:c r="A2210" s="5" t="str">
        <x:v>D06</x:v>
      </x:c>
      <x:c r="B2210" s="5" t="str">
        <x:v>D06-T01</x:v>
      </x:c>
      <x:c r="C2210" s="5" t="str">
        <x:v>5. Complete Company Financial Table (135 Facilities Analyzed)</x:v>
      </x:c>
      <x:c r="D2210" s="5" t="n">
        <x:v>298</x:v>
      </x:c>
      <x:c r="E2210" s="5" t="n">
        <x:v>9</x:v>
      </x:c>
      <x:c r="F2210" s="5" t="str">
        <x:v>Status / Ownership / Strategic Service Alignment</x:v>
      </x:c>
      <x:c r="G2210" s="5" t="n">
        <x:v>1</x:v>
      </x:c>
      <x:c r="H2210" s="5" t="n">
        <x:v>1</x:v>
      </x:c>
      <x:c r="I2210" s="5" t="str">
        <x:v>Mérieux Equity unit; Co-Opetition (Subcontracting 2S EU AI Act compliance engine)</x:v>
      </x:c>
      <x:c r="J2210" s="5" t="str">
        <x:v>SOURCE QUOTE; unvalidated / superseded assessments</x:v>
      </x:c>
      <x:c r="L2210" s="31" t="str">
        <x:v>D06, Markdown line 298; http://nas-1.tail55d152.ts.net:4100/static/MEDICAL_NORDICS_FINANCIALS_DOSSIER.html</x:v>
      </x:c>
    </x:row>
    <x:row r="2211" ht="42" customHeight="1">
      <x:c r="A2211" s="5" t="str">
        <x:v>D06</x:v>
      </x:c>
      <x:c r="B2211" s="5" t="str">
        <x:v>D06-T01</x:v>
      </x:c>
      <x:c r="C2211" s="5" t="str">
        <x:v>5. Complete Company Financial Table (135 Facilities Analyzed)</x:v>
      </x:c>
      <x:c r="D2211" s="5" t="n">
        <x:v>299</x:v>
      </x:c>
      <x:c r="E2211" s="5" t="n">
        <x:v>1</x:v>
      </x:c>
      <x:c r="F2211" s="5" t="str">
        <x:v>#</x:v>
      </x:c>
      <x:c r="G2211" s="5" t="n">
        <x:v>1</x:v>
      </x:c>
      <x:c r="H2211" s="5" t="n">
        <x:v>1</x:v>
      </x:c>
      <x:c r="I2211" s="5" t="str">
        <x:v>118</x:v>
      </x:c>
      <x:c r="J2211" s="5" t="str">
        <x:v>SOURCE QUOTE; unvalidated / superseded assessments</x:v>
      </x:c>
      <x:c r="L2211" s="31" t="str">
        <x:v>D06, Markdown line 299; http://nas-1.tail55d152.ts.net:4100/static/MEDICAL_NORDICS_FINANCIALS_DOSSIER.html</x:v>
      </x:c>
    </x:row>
    <x:row r="2212" ht="42" customHeight="1">
      <x:c r="A2212" s="5" t="str">
        <x:v>D06</x:v>
      </x:c>
      <x:c r="B2212" s="5" t="str">
        <x:v>D06-T01</x:v>
      </x:c>
      <x:c r="C2212" s="5" t="str">
        <x:v>5. Complete Company Financial Table (135 Facilities Analyzed)</x:v>
      </x:c>
      <x:c r="D2212" s="5" t="n">
        <x:v>299</x:v>
      </x:c>
      <x:c r="E2212" s="5" t="n">
        <x:v>2</x:v>
      </x:c>
      <x:c r="F2212" s="5" t="str">
        <x:v>Company</x:v>
      </x:c>
      <x:c r="G2212" s="5" t="n">
        <x:v>1</x:v>
      </x:c>
      <x:c r="H2212" s="5" t="n">
        <x:v>1</x:v>
      </x:c>
      <x:c r="I2212" s="5" t="str">
        <x:v>Beactica Therapeutics</x:v>
      </x:c>
      <x:c r="J2212" s="5" t="str">
        <x:v>SOURCE QUOTE; unvalidated / superseded assessments</x:v>
      </x:c>
      <x:c r="L2212" s="31" t="str">
        <x:v>D06, Markdown line 299; http://nas-1.tail55d152.ts.net:4100/static/MEDICAL_NORDICS_FINANCIALS_DOSSIER.html</x:v>
      </x:c>
    </x:row>
    <x:row r="2213" ht="42" customHeight="1">
      <x:c r="A2213" s="5" t="str">
        <x:v>D06</x:v>
      </x:c>
      <x:c r="B2213" s="5" t="str">
        <x:v>D06-T01</x:v>
      </x:c>
      <x:c r="C2213" s="5" t="str">
        <x:v>5. Complete Company Financial Table (135 Facilities Analyzed)</x:v>
      </x:c>
      <x:c r="D2213" s="5" t="n">
        <x:v>299</x:v>
      </x:c>
      <x:c r="E2213" s="5" t="n">
        <x:v>3</x:v>
      </x:c>
      <x:c r="F2213" s="5" t="str">
        <x:v>Location</x:v>
      </x:c>
      <x:c r="G2213" s="5" t="n">
        <x:v>1</x:v>
      </x:c>
      <x:c r="H2213" s="5" t="n">
        <x:v>1</x:v>
      </x:c>
      <x:c r="I2213" s="5" t="str">
        <x:v>Uppsala, Sweden</x:v>
      </x:c>
      <x:c r="J2213" s="5" t="str">
        <x:v>SOURCE QUOTE; unvalidated / superseded assessments</x:v>
      </x:c>
      <x:c r="L2213" s="31" t="str">
        <x:v>D06, Markdown line 299; http://nas-1.tail55d152.ts.net:4100/static/MEDICAL_NORDICS_FINANCIALS_DOSSIER.html</x:v>
      </x:c>
    </x:row>
    <x:row r="2214" ht="42" customHeight="1">
      <x:c r="A2214" s="5" t="str">
        <x:v>D06</x:v>
      </x:c>
      <x:c r="B2214" s="5" t="str">
        <x:v>D06-T01</x:v>
      </x:c>
      <x:c r="C2214" s="5" t="str">
        <x:v>5. Complete Company Financial Table (135 Facilities Analyzed)</x:v>
      </x:c>
      <x:c r="D2214" s="5" t="n">
        <x:v>299</x:v>
      </x:c>
      <x:c r="E2214" s="5" t="n">
        <x:v>4</x:v>
      </x:c>
      <x:c r="F2214" s="5" t="str">
        <x:v>Focus Area</x:v>
      </x:c>
      <x:c r="G2214" s="5" t="n">
        <x:v>1</x:v>
      </x:c>
      <x:c r="H2214" s="5" t="n">
        <x:v>1</x:v>
      </x:c>
      <x:c r="I2214" s="5" t="str">
        <x:v>Fragment-Based Oncology Discovery</x:v>
      </x:c>
      <x:c r="J2214" s="5" t="str">
        <x:v>SOURCE QUOTE; unvalidated / superseded assessments</x:v>
      </x:c>
      <x:c r="L2214" s="31" t="str">
        <x:v>D06, Markdown line 299; http://nas-1.tail55d152.ts.net:4100/static/MEDICAL_NORDICS_FINANCIALS_DOSSIER.html</x:v>
      </x:c>
    </x:row>
    <x:row r="2215" ht="42" customHeight="1">
      <x:c r="A2215" s="5" t="str">
        <x:v>D06</x:v>
      </x:c>
      <x:c r="B2215" s="5" t="str">
        <x:v>D06-T01</x:v>
      </x:c>
      <x:c r="C2215" s="5" t="str">
        <x:v>5. Complete Company Financial Table (135 Facilities Analyzed)</x:v>
      </x:c>
      <x:c r="D2215" s="5" t="n">
        <x:v>299</x:v>
      </x:c>
      <x:c r="E2215" s="5" t="n">
        <x:v>5</x:v>
      </x:c>
      <x:c r="F2215" s="5" t="str">
        <x:v>Revenue / Net Sales</x:v>
      </x:c>
      <x:c r="G2215" s="5" t="n">
        <x:v>1</x:v>
      </x:c>
      <x:c r="H2215" s="5" t="n">
        <x:v>1</x:v>
      </x:c>
      <x:c r="I2215" s="5" t="str">
        <x:v>SEK 8.5M</x:v>
      </x:c>
      <x:c r="J2215" s="5" t="str">
        <x:v>SOURCE QUOTE; unvalidated / superseded assessments</x:v>
      </x:c>
      <x:c r="L2215" s="31" t="str">
        <x:v>D06, Markdown line 299; http://nas-1.tail55d152.ts.net:4100/static/MEDICAL_NORDICS_FINANCIALS_DOSSIER.html</x:v>
      </x:c>
    </x:row>
    <x:row r="2216" ht="42" customHeight="1">
      <x:c r="A2216" s="5" t="str">
        <x:v>D06</x:v>
      </x:c>
      <x:c r="B2216" s="5" t="str">
        <x:v>D06-T01</x:v>
      </x:c>
      <x:c r="C2216" s="5" t="str">
        <x:v>5. Complete Company Financial Table (135 Facilities Analyzed)</x:v>
      </x:c>
      <x:c r="D2216" s="5" t="n">
        <x:v>299</x:v>
      </x:c>
      <x:c r="E2216" s="5" t="n">
        <x:v>6</x:v>
      </x:c>
      <x:c r="F2216" s="5" t="str">
        <x:v>R&amp;D Spend</x:v>
      </x:c>
      <x:c r="G2216" s="5" t="n">
        <x:v>1</x:v>
      </x:c>
      <x:c r="H2216" s="5" t="n">
        <x:v>1</x:v>
      </x:c>
      <x:c r="I2216" s="5" t="str">
        <x:v>SEK 32.1M</x:v>
      </x:c>
      <x:c r="J2216" s="5" t="str">
        <x:v>SOURCE QUOTE; unvalidated / superseded assessments</x:v>
      </x:c>
      <x:c r="L2216" s="31" t="str">
        <x:v>D06, Markdown line 299; http://nas-1.tail55d152.ts.net:4100/static/MEDICAL_NORDICS_FINANCIALS_DOSSIER.html</x:v>
      </x:c>
    </x:row>
    <x:row r="2217" ht="42" customHeight="1">
      <x:c r="A2217" s="5" t="str">
        <x:v>D06</x:v>
      </x:c>
      <x:c r="B2217" s="5" t="str">
        <x:v>D06-T01</x:v>
      </x:c>
      <x:c r="C2217" s="5" t="str">
        <x:v>5. Complete Company Financial Table (135 Facilities Analyzed)</x:v>
      </x:c>
      <x:c r="D2217" s="5" t="n">
        <x:v>299</x:v>
      </x:c>
      <x:c r="E2217" s="5" t="n">
        <x:v>7</x:v>
      </x:c>
      <x:c r="F2217" s="5" t="str">
        <x:v>Currency</x:v>
      </x:c>
      <x:c r="G2217" s="5" t="n">
        <x:v>1</x:v>
      </x:c>
      <x:c r="H2217" s="5" t="n">
        <x:v>1</x:v>
      </x:c>
      <x:c r="I2217" s="5" t="str">
        <x:v>SEK</x:v>
      </x:c>
      <x:c r="J2217" s="5" t="str">
        <x:v>SOURCE QUOTE; unvalidated / superseded assessments</x:v>
      </x:c>
      <x:c r="L2217" s="31" t="str">
        <x:v>D06, Markdown line 299; http://nas-1.tail55d152.ts.net:4100/static/MEDICAL_NORDICS_FINANCIALS_DOSSIER.html</x:v>
      </x:c>
    </x:row>
    <x:row r="2218" ht="42" customHeight="1">
      <x:c r="A2218" s="5" t="str">
        <x:v>D06</x:v>
      </x:c>
      <x:c r="B2218" s="5" t="str">
        <x:v>D06-T01</x:v>
      </x:c>
      <x:c r="C2218" s="5" t="str">
        <x:v>5. Complete Company Financial Table (135 Facilities Analyzed)</x:v>
      </x:c>
      <x:c r="D2218" s="5" t="n">
        <x:v>299</x:v>
      </x:c>
      <x:c r="E2218" s="5" t="n">
        <x:v>8</x:v>
      </x:c>
      <x:c r="F2218" s="5" t="str">
        <x:v>Fiscal Year</x:v>
      </x:c>
      <x:c r="G2218" s="5" t="n">
        <x:v>1</x:v>
      </x:c>
      <x:c r="H2218" s="5" t="n">
        <x:v>1</x:v>
      </x:c>
      <x:c r="I2218" s="5" t="str">
        <x:v>FY2023/24</x:v>
      </x:c>
      <x:c r="J2218" s="5" t="str">
        <x:v>SOURCE QUOTE; unvalidated / superseded assessments</x:v>
      </x:c>
      <x:c r="L2218" s="31" t="str">
        <x:v>D06, Markdown line 299; http://nas-1.tail55d152.ts.net:4100/static/MEDICAL_NORDICS_FINANCIALS_DOSSIER.html</x:v>
      </x:c>
    </x:row>
    <x:row r="2219" ht="42" customHeight="1">
      <x:c r="A2219" s="5" t="str">
        <x:v>D06</x:v>
      </x:c>
      <x:c r="B2219" s="5" t="str">
        <x:v>D06-T01</x:v>
      </x:c>
      <x:c r="C2219" s="5" t="str">
        <x:v>5. Complete Company Financial Table (135 Facilities Analyzed)</x:v>
      </x:c>
      <x:c r="D2219" s="5" t="n">
        <x:v>299</x:v>
      </x:c>
      <x:c r="E2219" s="5" t="n">
        <x:v>9</x:v>
      </x:c>
      <x:c r="F2219" s="5" t="str">
        <x:v>Status / Ownership / Strategic Service Alignment</x:v>
      </x:c>
      <x:c r="G2219" s="5" t="n">
        <x:v>1</x:v>
      </x:c>
      <x:c r="H2219" s="5" t="n">
        <x:v>1</x:v>
      </x:c>
      <x:c r="I2219" s="5" t="str">
        <x:v>Private (€2.5M EIC grant); Package B (Early stage drug discovery milestone pipeline)</x:v>
      </x:c>
      <x:c r="J2219" s="5" t="str">
        <x:v>SOURCE QUOTE; unvalidated / superseded assessments</x:v>
      </x:c>
      <x:c r="L2219" s="31" t="str">
        <x:v>D06, Markdown line 299; http://nas-1.tail55d152.ts.net:4100/static/MEDICAL_NORDICS_FINANCIALS_DOSSIER.html</x:v>
      </x:c>
    </x:row>
    <x:row r="2220" ht="42" customHeight="1">
      <x:c r="A2220" s="5" t="str">
        <x:v>D06</x:v>
      </x:c>
      <x:c r="B2220" s="5" t="str">
        <x:v>D06-T01</x:v>
      </x:c>
      <x:c r="C2220" s="5" t="str">
        <x:v>5. Complete Company Financial Table (135 Facilities Analyzed)</x:v>
      </x:c>
      <x:c r="D2220" s="5" t="n">
        <x:v>300</x:v>
      </x:c>
      <x:c r="E2220" s="5" t="n">
        <x:v>1</x:v>
      </x:c>
      <x:c r="F2220" s="5" t="str">
        <x:v>#</x:v>
      </x:c>
      <x:c r="G2220" s="5" t="n">
        <x:v>1</x:v>
      </x:c>
      <x:c r="H2220" s="5" t="n">
        <x:v>1</x:v>
      </x:c>
      <x:c r="I2220" s="5" t="str">
        <x:v>119</x:v>
      </x:c>
      <x:c r="J2220" s="5" t="str">
        <x:v>SOURCE QUOTE; unvalidated / superseded assessments</x:v>
      </x:c>
      <x:c r="L2220" s="31" t="str">
        <x:v>D06, Markdown line 300; http://nas-1.tail55d152.ts.net:4100/static/MEDICAL_NORDICS_FINANCIALS_DOSSIER.html</x:v>
      </x:c>
    </x:row>
    <x:row r="2221" ht="42" customHeight="1">
      <x:c r="A2221" s="5" t="str">
        <x:v>D06</x:v>
      </x:c>
      <x:c r="B2221" s="5" t="str">
        <x:v>D06-T01</x:v>
      </x:c>
      <x:c r="C2221" s="5" t="str">
        <x:v>5. Complete Company Financial Table (135 Facilities Analyzed)</x:v>
      </x:c>
      <x:c r="D2221" s="5" t="n">
        <x:v>300</x:v>
      </x:c>
      <x:c r="E2221" s="5" t="n">
        <x:v>2</x:v>
      </x:c>
      <x:c r="F2221" s="5" t="str">
        <x:v>Company</x:v>
      </x:c>
      <x:c r="G2221" s="5" t="n">
        <x:v>1</x:v>
      </x:c>
      <x:c r="H2221" s="5" t="n">
        <x:v>1</x:v>
      </x:c>
      <x:c r="I2221" s="5" t="str">
        <x:v>Bio-Works</x:v>
      </x:c>
      <x:c r="J2221" s="5" t="str">
        <x:v>SOURCE QUOTE; unvalidated / superseded assessments</x:v>
      </x:c>
      <x:c r="L2221" s="31" t="str">
        <x:v>D06, Markdown line 300; http://nas-1.tail55d152.ts.net:4100/static/MEDICAL_NORDICS_FINANCIALS_DOSSIER.html</x:v>
      </x:c>
    </x:row>
    <x:row r="2222" ht="42" customHeight="1">
      <x:c r="A2222" s="5" t="str">
        <x:v>D06</x:v>
      </x:c>
      <x:c r="B2222" s="5" t="str">
        <x:v>D06-T01</x:v>
      </x:c>
      <x:c r="C2222" s="5" t="str">
        <x:v>5. Complete Company Financial Table (135 Facilities Analyzed)</x:v>
      </x:c>
      <x:c r="D2222" s="5" t="n">
        <x:v>300</x:v>
      </x:c>
      <x:c r="E2222" s="5" t="n">
        <x:v>3</x:v>
      </x:c>
      <x:c r="F2222" s="5" t="str">
        <x:v>Location</x:v>
      </x:c>
      <x:c r="G2222" s="5" t="n">
        <x:v>1</x:v>
      </x:c>
      <x:c r="H2222" s="5" t="n">
        <x:v>1</x:v>
      </x:c>
      <x:c r="I2222" s="5" t="str">
        <x:v>Uppsala, Sweden</x:v>
      </x:c>
      <x:c r="J2222" s="5" t="str">
        <x:v>SOURCE QUOTE; unvalidated / superseded assessments</x:v>
      </x:c>
      <x:c r="L2222" s="31" t="str">
        <x:v>D06, Markdown line 300; http://nas-1.tail55d152.ts.net:4100/static/MEDICAL_NORDICS_FINANCIALS_DOSSIER.html</x:v>
      </x:c>
    </x:row>
    <x:row r="2223" ht="42" customHeight="1">
      <x:c r="A2223" s="5" t="str">
        <x:v>D06</x:v>
      </x:c>
      <x:c r="B2223" s="5" t="str">
        <x:v>D06-T01</x:v>
      </x:c>
      <x:c r="C2223" s="5" t="str">
        <x:v>5. Complete Company Financial Table (135 Facilities Analyzed)</x:v>
      </x:c>
      <x:c r="D2223" s="5" t="n">
        <x:v>300</x:v>
      </x:c>
      <x:c r="E2223" s="5" t="n">
        <x:v>4</x:v>
      </x:c>
      <x:c r="F2223" s="5" t="str">
        <x:v>Focus Area</x:v>
      </x:c>
      <x:c r="G2223" s="5" t="n">
        <x:v>1</x:v>
      </x:c>
      <x:c r="H2223" s="5" t="n">
        <x:v>1</x:v>
      </x:c>
      <x:c r="I2223" s="5" t="str">
        <x:v>Agarose Chromatography Resins</x:v>
      </x:c>
      <x:c r="J2223" s="5" t="str">
        <x:v>SOURCE QUOTE; unvalidated / superseded assessments</x:v>
      </x:c>
      <x:c r="L2223" s="31" t="str">
        <x:v>D06, Markdown line 300; http://nas-1.tail55d152.ts.net:4100/static/MEDICAL_NORDICS_FINANCIALS_DOSSIER.html</x:v>
      </x:c>
    </x:row>
    <x:row r="2224" ht="42" customHeight="1">
      <x:c r="A2224" s="5" t="str">
        <x:v>D06</x:v>
      </x:c>
      <x:c r="B2224" s="5" t="str">
        <x:v>D06-T01</x:v>
      </x:c>
      <x:c r="C2224" s="5" t="str">
        <x:v>5. Complete Company Financial Table (135 Facilities Analyzed)</x:v>
      </x:c>
      <x:c r="D2224" s="5" t="n">
        <x:v>300</x:v>
      </x:c>
      <x:c r="E2224" s="5" t="n">
        <x:v>5</x:v>
      </x:c>
      <x:c r="F2224" s="5" t="str">
        <x:v>Revenue / Net Sales</x:v>
      </x:c>
      <x:c r="G2224" s="5" t="n">
        <x:v>1</x:v>
      </x:c>
      <x:c r="H2224" s="5" t="n">
        <x:v>1</x:v>
      </x:c>
      <x:c r="I2224" s="5" t="str">
        <x:v>SEK 43.9M</x:v>
      </x:c>
      <x:c r="J2224" s="5" t="str">
        <x:v>SOURCE QUOTE; unvalidated / superseded assessments</x:v>
      </x:c>
      <x:c r="L2224" s="31" t="str">
        <x:v>D06, Markdown line 300; http://nas-1.tail55d152.ts.net:4100/static/MEDICAL_NORDICS_FINANCIALS_DOSSIER.html</x:v>
      </x:c>
    </x:row>
    <x:row r="2225" ht="42" customHeight="1">
      <x:c r="A2225" s="5" t="str">
        <x:v>D06</x:v>
      </x:c>
      <x:c r="B2225" s="5" t="str">
        <x:v>D06-T01</x:v>
      </x:c>
      <x:c r="C2225" s="5" t="str">
        <x:v>5. Complete Company Financial Table (135 Facilities Analyzed)</x:v>
      </x:c>
      <x:c r="D2225" s="5" t="n">
        <x:v>300</x:v>
      </x:c>
      <x:c r="E2225" s="5" t="n">
        <x:v>6</x:v>
      </x:c>
      <x:c r="F2225" s="5" t="str">
        <x:v>R&amp;D Spend</x:v>
      </x:c>
      <x:c r="G2225" s="5" t="n">
        <x:v>1</x:v>
      </x:c>
      <x:c r="H2225" s="5" t="n">
        <x:v>1</x:v>
      </x:c>
      <x:c r="I2225" s="5" t="str">
        <x:v>SEK 16.8M</x:v>
      </x:c>
      <x:c r="J2225" s="5" t="str">
        <x:v>SOURCE QUOTE; unvalidated / superseded assessments</x:v>
      </x:c>
      <x:c r="L2225" s="31" t="str">
        <x:v>D06, Markdown line 300; http://nas-1.tail55d152.ts.net:4100/static/MEDICAL_NORDICS_FINANCIALS_DOSSIER.html</x:v>
      </x:c>
    </x:row>
    <x:row r="2226" ht="42" customHeight="1">
      <x:c r="A2226" s="5" t="str">
        <x:v>D06</x:v>
      </x:c>
      <x:c r="B2226" s="5" t="str">
        <x:v>D06-T01</x:v>
      </x:c>
      <x:c r="C2226" s="5" t="str">
        <x:v>5. Complete Company Financial Table (135 Facilities Analyzed)</x:v>
      </x:c>
      <x:c r="D2226" s="5" t="n">
        <x:v>300</x:v>
      </x:c>
      <x:c r="E2226" s="5" t="n">
        <x:v>7</x:v>
      </x:c>
      <x:c r="F2226" s="5" t="str">
        <x:v>Currency</x:v>
      </x:c>
      <x:c r="G2226" s="5" t="n">
        <x:v>1</x:v>
      </x:c>
      <x:c r="H2226" s="5" t="n">
        <x:v>1</x:v>
      </x:c>
      <x:c r="I2226" s="5" t="str">
        <x:v>SEK</x:v>
      </x:c>
      <x:c r="J2226" s="5" t="str">
        <x:v>SOURCE QUOTE; unvalidated / superseded assessments</x:v>
      </x:c>
      <x:c r="L2226" s="31" t="str">
        <x:v>D06, Markdown line 300; http://nas-1.tail55d152.ts.net:4100/static/MEDICAL_NORDICS_FINANCIALS_DOSSIER.html</x:v>
      </x:c>
    </x:row>
    <x:row r="2227" ht="42" customHeight="1">
      <x:c r="A2227" s="5" t="str">
        <x:v>D06</x:v>
      </x:c>
      <x:c r="B2227" s="5" t="str">
        <x:v>D06-T01</x:v>
      </x:c>
      <x:c r="C2227" s="5" t="str">
        <x:v>5. Complete Company Financial Table (135 Facilities Analyzed)</x:v>
      </x:c>
      <x:c r="D2227" s="5" t="n">
        <x:v>300</x:v>
      </x:c>
      <x:c r="E2227" s="5" t="n">
        <x:v>8</x:v>
      </x:c>
      <x:c r="F2227" s="5" t="str">
        <x:v>Fiscal Year</x:v>
      </x:c>
      <x:c r="G2227" s="5" t="n">
        <x:v>1</x:v>
      </x:c>
      <x:c r="H2227" s="5" t="n">
        <x:v>1</x:v>
      </x:c>
      <x:c r="I2227" s="5" t="str">
        <x:v>FY2023/24</x:v>
      </x:c>
      <x:c r="J2227" s="5" t="str">
        <x:v>SOURCE QUOTE; unvalidated / superseded assessments</x:v>
      </x:c>
      <x:c r="L2227" s="31" t="str">
        <x:v>D06, Markdown line 300; http://nas-1.tail55d152.ts.net:4100/static/MEDICAL_NORDICS_FINANCIALS_DOSSIER.html</x:v>
      </x:c>
    </x:row>
    <x:row r="2228" ht="42" customHeight="1">
      <x:c r="A2228" s="5" t="str">
        <x:v>D06</x:v>
      </x:c>
      <x:c r="B2228" s="5" t="str">
        <x:v>D06-T01</x:v>
      </x:c>
      <x:c r="C2228" s="5" t="str">
        <x:v>5. Complete Company Financial Table (135 Facilities Analyzed)</x:v>
      </x:c>
      <x:c r="D2228" s="5" t="n">
        <x:v>300</x:v>
      </x:c>
      <x:c r="E2228" s="5" t="n">
        <x:v>9</x:v>
      </x:c>
      <x:c r="F2228" s="5" t="str">
        <x:v>Status / Ownership / Strategic Service Alignment</x:v>
      </x:c>
      <x:c r="G2228" s="5" t="n">
        <x:v>1</x:v>
      </x:c>
      <x:c r="H2228" s="5" t="n">
        <x:v>1</x:v>
      </x:c>
      <x:c r="I2228" s="5" t="str">
        <x:v>Listed (First North: BIOWKS); Package D (Downstream resin batch manufacturing control)</x:v>
      </x:c>
      <x:c r="J2228" s="5" t="str">
        <x:v>SOURCE QUOTE; unvalidated / superseded assessments</x:v>
      </x:c>
      <x:c r="L2228" s="31" t="str">
        <x:v>D06, Markdown line 300; http://nas-1.tail55d152.ts.net:4100/static/MEDICAL_NORDICS_FINANCIALS_DOSSIER.html</x:v>
      </x:c>
    </x:row>
    <x:row r="2229" ht="42" customHeight="1">
      <x:c r="A2229" s="5" t="str">
        <x:v>D06</x:v>
      </x:c>
      <x:c r="B2229" s="5" t="str">
        <x:v>D06-T01</x:v>
      </x:c>
      <x:c r="C2229" s="5" t="str">
        <x:v>5. Complete Company Financial Table (135 Facilities Analyzed)</x:v>
      </x:c>
      <x:c r="D2229" s="5" t="n">
        <x:v>301</x:v>
      </x:c>
      <x:c r="E2229" s="5" t="n">
        <x:v>1</x:v>
      </x:c>
      <x:c r="F2229" s="5" t="str">
        <x:v>#</x:v>
      </x:c>
      <x:c r="G2229" s="5" t="n">
        <x:v>1</x:v>
      </x:c>
      <x:c r="H2229" s="5" t="n">
        <x:v>1</x:v>
      </x:c>
      <x:c r="I2229" s="5" t="str">
        <x:v>120</x:v>
      </x:c>
      <x:c r="J2229" s="5" t="str">
        <x:v>SOURCE QUOTE; unvalidated / superseded assessments</x:v>
      </x:c>
      <x:c r="L2229" s="31" t="str">
        <x:v>D06, Markdown line 301; http://nas-1.tail55d152.ts.net:4100/static/MEDICAL_NORDICS_FINANCIALS_DOSSIER.html</x:v>
      </x:c>
    </x:row>
    <x:row r="2230" ht="42" customHeight="1">
      <x:c r="A2230" s="5" t="str">
        <x:v>D06</x:v>
      </x:c>
      <x:c r="B2230" s="5" t="str">
        <x:v>D06-T01</x:v>
      </x:c>
      <x:c r="C2230" s="5" t="str">
        <x:v>5. Complete Company Financial Table (135 Facilities Analyzed)</x:v>
      </x:c>
      <x:c r="D2230" s="5" t="n">
        <x:v>301</x:v>
      </x:c>
      <x:c r="E2230" s="5" t="n">
        <x:v>2</x:v>
      </x:c>
      <x:c r="F2230" s="5" t="str">
        <x:v>Company</x:v>
      </x:c>
      <x:c r="G2230" s="5" t="n">
        <x:v>1</x:v>
      </x:c>
      <x:c r="H2230" s="5" t="n">
        <x:v>1</x:v>
      </x:c>
      <x:c r="I2230" s="5" t="str">
        <x:v>Biotage</x:v>
      </x:c>
      <x:c r="J2230" s="5" t="str">
        <x:v>SOURCE QUOTE; unvalidated / superseded assessments</x:v>
      </x:c>
      <x:c r="L2230" s="31" t="str">
        <x:v>D06, Markdown line 301; http://nas-1.tail55d152.ts.net:4100/static/MEDICAL_NORDICS_FINANCIALS_DOSSIER.html</x:v>
      </x:c>
    </x:row>
    <x:row r="2231" ht="42" customHeight="1">
      <x:c r="A2231" s="5" t="str">
        <x:v>D06</x:v>
      </x:c>
      <x:c r="B2231" s="5" t="str">
        <x:v>D06-T01</x:v>
      </x:c>
      <x:c r="C2231" s="5" t="str">
        <x:v>5. Complete Company Financial Table (135 Facilities Analyzed)</x:v>
      </x:c>
      <x:c r="D2231" s="5" t="n">
        <x:v>301</x:v>
      </x:c>
      <x:c r="E2231" s="5" t="n">
        <x:v>3</x:v>
      </x:c>
      <x:c r="F2231" s="5" t="str">
        <x:v>Location</x:v>
      </x:c>
      <x:c r="G2231" s="5" t="n">
        <x:v>1</x:v>
      </x:c>
      <x:c r="H2231" s="5" t="n">
        <x:v>1</x:v>
      </x:c>
      <x:c r="I2231" s="5" t="str">
        <x:v>Uppsala, Sweden</x:v>
      </x:c>
      <x:c r="J2231" s="5" t="str">
        <x:v>SOURCE QUOTE; unvalidated / superseded assessments</x:v>
      </x:c>
      <x:c r="L2231" s="31" t="str">
        <x:v>D06, Markdown line 301; http://nas-1.tail55d152.ts.net:4100/static/MEDICAL_NORDICS_FINANCIALS_DOSSIER.html</x:v>
      </x:c>
    </x:row>
    <x:row r="2232" ht="42" customHeight="1">
      <x:c r="A2232" s="5" t="str">
        <x:v>D06</x:v>
      </x:c>
      <x:c r="B2232" s="5" t="str">
        <x:v>D06-T01</x:v>
      </x:c>
      <x:c r="C2232" s="5" t="str">
        <x:v>5. Complete Company Financial Table (135 Facilities Analyzed)</x:v>
      </x:c>
      <x:c r="D2232" s="5" t="n">
        <x:v>301</x:v>
      </x:c>
      <x:c r="E2232" s="5" t="n">
        <x:v>4</x:v>
      </x:c>
      <x:c r="F2232" s="5" t="str">
        <x:v>Focus Area</x:v>
      </x:c>
      <x:c r="G2232" s="5" t="n">
        <x:v>1</x:v>
      </x:c>
      <x:c r="H2232" s="5" t="n">
        <x:v>1</x:v>
      </x:c>
      <x:c r="I2232" s="5" t="str">
        <x:v>Automated Synthesis &amp; Chromatography</x:v>
      </x:c>
      <x:c r="J2232" s="5" t="str">
        <x:v>SOURCE QUOTE; unvalidated / superseded assessments</x:v>
      </x:c>
      <x:c r="L2232" s="31" t="str">
        <x:v>D06, Markdown line 301; http://nas-1.tail55d152.ts.net:4100/static/MEDICAL_NORDICS_FINANCIALS_DOSSIER.html</x:v>
      </x:c>
    </x:row>
    <x:row r="2233" ht="42" customHeight="1">
      <x:c r="A2233" s="5" t="str">
        <x:v>D06</x:v>
      </x:c>
      <x:c r="B2233" s="5" t="str">
        <x:v>D06-T01</x:v>
      </x:c>
      <x:c r="C2233" s="5" t="str">
        <x:v>5. Complete Company Financial Table (135 Facilities Analyzed)</x:v>
      </x:c>
      <x:c r="D2233" s="5" t="n">
        <x:v>301</x:v>
      </x:c>
      <x:c r="E2233" s="5" t="n">
        <x:v>5</x:v>
      </x:c>
      <x:c r="F2233" s="5" t="str">
        <x:v>Revenue / Net Sales</x:v>
      </x:c>
      <x:c r="G2233" s="5" t="n">
        <x:v>1</x:v>
      </x:c>
      <x:c r="H2233" s="5" t="n">
        <x:v>1</x:v>
      </x:c>
      <x:c r="I2233" s="5" t="str">
        <x:v>SEK 2,056.0M</x:v>
      </x:c>
      <x:c r="J2233" s="5" t="str">
        <x:v>SOURCE QUOTE; unvalidated / superseded assessments</x:v>
      </x:c>
      <x:c r="L2233" s="31" t="str">
        <x:v>D06, Markdown line 301; http://nas-1.tail55d152.ts.net:4100/static/MEDICAL_NORDICS_FINANCIALS_DOSSIER.html</x:v>
      </x:c>
    </x:row>
    <x:row r="2234" ht="42" customHeight="1">
      <x:c r="A2234" s="5" t="str">
        <x:v>D06</x:v>
      </x:c>
      <x:c r="B2234" s="5" t="str">
        <x:v>D06-T01</x:v>
      </x:c>
      <x:c r="C2234" s="5" t="str">
        <x:v>5. Complete Company Financial Table (135 Facilities Analyzed)</x:v>
      </x:c>
      <x:c r="D2234" s="5" t="n">
        <x:v>301</x:v>
      </x:c>
      <x:c r="E2234" s="5" t="n">
        <x:v>6</x:v>
      </x:c>
      <x:c r="F2234" s="5" t="str">
        <x:v>R&amp;D Spend</x:v>
      </x:c>
      <x:c r="G2234" s="5" t="n">
        <x:v>1</x:v>
      </x:c>
      <x:c r="H2234" s="5" t="n">
        <x:v>1</x:v>
      </x:c>
      <x:c r="I2234" s="5" t="str">
        <x:v>SEK 180.0M</x:v>
      </x:c>
      <x:c r="J2234" s="5" t="str">
        <x:v>SOURCE QUOTE; unvalidated / superseded assessments</x:v>
      </x:c>
      <x:c r="L2234" s="31" t="str">
        <x:v>D06, Markdown line 301; http://nas-1.tail55d152.ts.net:4100/static/MEDICAL_NORDICS_FINANCIALS_DOSSIER.html</x:v>
      </x:c>
    </x:row>
    <x:row r="2235" ht="42" customHeight="1">
      <x:c r="A2235" s="5" t="str">
        <x:v>D06</x:v>
      </x:c>
      <x:c r="B2235" s="5" t="str">
        <x:v>D06-T01</x:v>
      </x:c>
      <x:c r="C2235" s="5" t="str">
        <x:v>5. Complete Company Financial Table (135 Facilities Analyzed)</x:v>
      </x:c>
      <x:c r="D2235" s="5" t="n">
        <x:v>301</x:v>
      </x:c>
      <x:c r="E2235" s="5" t="n">
        <x:v>7</x:v>
      </x:c>
      <x:c r="F2235" s="5" t="str">
        <x:v>Currency</x:v>
      </x:c>
      <x:c r="G2235" s="5" t="n">
        <x:v>1</x:v>
      </x:c>
      <x:c r="H2235" s="5" t="n">
        <x:v>1</x:v>
      </x:c>
      <x:c r="I2235" s="5" t="str">
        <x:v>SEK</x:v>
      </x:c>
      <x:c r="J2235" s="5" t="str">
        <x:v>SOURCE QUOTE; unvalidated / superseded assessments</x:v>
      </x:c>
      <x:c r="L2235" s="31" t="str">
        <x:v>D06, Markdown line 301; http://nas-1.tail55d152.ts.net:4100/static/MEDICAL_NORDICS_FINANCIALS_DOSSIER.html</x:v>
      </x:c>
    </x:row>
    <x:row r="2236" ht="42" customHeight="1">
      <x:c r="A2236" s="5" t="str">
        <x:v>D06</x:v>
      </x:c>
      <x:c r="B2236" s="5" t="str">
        <x:v>D06-T01</x:v>
      </x:c>
      <x:c r="C2236" s="5" t="str">
        <x:v>5. Complete Company Financial Table (135 Facilities Analyzed)</x:v>
      </x:c>
      <x:c r="D2236" s="5" t="n">
        <x:v>301</x:v>
      </x:c>
      <x:c r="E2236" s="5" t="n">
        <x:v>8</x:v>
      </x:c>
      <x:c r="F2236" s="5" t="str">
        <x:v>Fiscal Year</x:v>
      </x:c>
      <x:c r="G2236" s="5" t="n">
        <x:v>1</x:v>
      </x:c>
      <x:c r="H2236" s="5" t="n">
        <x:v>1</x:v>
      </x:c>
      <x:c r="I2236" s="5" t="str">
        <x:v>FY2024</x:v>
      </x:c>
      <x:c r="J2236" s="5" t="str">
        <x:v>SOURCE QUOTE; unvalidated / superseded assessments</x:v>
      </x:c>
      <x:c r="L2236" s="31" t="str">
        <x:v>D06, Markdown line 301; http://nas-1.tail55d152.ts.net:4100/static/MEDICAL_NORDICS_FINANCIALS_DOSSIER.html</x:v>
      </x:c>
    </x:row>
    <x:row r="2237" ht="42" customHeight="1">
      <x:c r="A2237" s="5" t="str">
        <x:v>D06</x:v>
      </x:c>
      <x:c r="B2237" s="5" t="str">
        <x:v>D06-T01</x:v>
      </x:c>
      <x:c r="C2237" s="5" t="str">
        <x:v>5. Complete Company Financial Table (135 Facilities Analyzed)</x:v>
      </x:c>
      <x:c r="D2237" s="5" t="n">
        <x:v>301</x:v>
      </x:c>
      <x:c r="E2237" s="5" t="n">
        <x:v>9</x:v>
      </x:c>
      <x:c r="F2237" s="5" t="str">
        <x:v>Status / Ownership / Strategic Service Alignment</x:v>
      </x:c>
      <x:c r="G2237" s="5" t="n">
        <x:v>1</x:v>
      </x:c>
      <x:c r="H2237" s="5" t="n">
        <x:v>1</x:v>
      </x:c>
      <x:c r="I2237" s="5" t="str">
        <x:v>Listed (Nasdaq: BIOT); Package A (Analytical instruments recurring consumable SaaS portal)</x:v>
      </x:c>
      <x:c r="J2237" s="5" t="str">
        <x:v>SOURCE QUOTE; unvalidated / superseded assessments</x:v>
      </x:c>
      <x:c r="L2237" s="31" t="str">
        <x:v>D06, Markdown line 301; http://nas-1.tail55d152.ts.net:4100/static/MEDICAL_NORDICS_FINANCIALS_DOSSIER.html</x:v>
      </x:c>
    </x:row>
    <x:row r="2238" ht="42" customHeight="1">
      <x:c r="A2238" s="5" t="str">
        <x:v>D06</x:v>
      </x:c>
      <x:c r="B2238" s="5" t="str">
        <x:v>D06-T01</x:v>
      </x:c>
      <x:c r="C2238" s="5" t="str">
        <x:v>5. Complete Company Financial Table (135 Facilities Analyzed)</x:v>
      </x:c>
      <x:c r="D2238" s="5" t="n">
        <x:v>302</x:v>
      </x:c>
      <x:c r="E2238" s="5" t="n">
        <x:v>1</x:v>
      </x:c>
      <x:c r="F2238" s="5" t="str">
        <x:v>#</x:v>
      </x:c>
      <x:c r="G2238" s="5" t="n">
        <x:v>1</x:v>
      </x:c>
      <x:c r="H2238" s="5" t="n">
        <x:v>1</x:v>
      </x:c>
      <x:c r="I2238" s="5" t="str">
        <x:v>121</x:v>
      </x:c>
      <x:c r="J2238" s="5" t="str">
        <x:v>SOURCE QUOTE; unvalidated / superseded assessments</x:v>
      </x:c>
      <x:c r="L2238" s="31" t="str">
        <x:v>D06, Markdown line 302; http://nas-1.tail55d152.ts.net:4100/static/MEDICAL_NORDICS_FINANCIALS_DOSSIER.html</x:v>
      </x:c>
    </x:row>
    <x:row r="2239" ht="42" customHeight="1">
      <x:c r="A2239" s="5" t="str">
        <x:v>D06</x:v>
      </x:c>
      <x:c r="B2239" s="5" t="str">
        <x:v>D06-T01</x:v>
      </x:c>
      <x:c r="C2239" s="5" t="str">
        <x:v>5. Complete Company Financial Table (135 Facilities Analyzed)</x:v>
      </x:c>
      <x:c r="D2239" s="5" t="n">
        <x:v>302</x:v>
      </x:c>
      <x:c r="E2239" s="5" t="n">
        <x:v>2</x:v>
      </x:c>
      <x:c r="F2239" s="5" t="str">
        <x:v>Company</x:v>
      </x:c>
      <x:c r="G2239" s="5" t="n">
        <x:v>1</x:v>
      </x:c>
      <x:c r="H2239" s="5" t="n">
        <x:v>1</x:v>
      </x:c>
      <x:c r="I2239" s="5" t="str">
        <x:v>Biovica</x:v>
      </x:c>
      <x:c r="J2239" s="5" t="str">
        <x:v>SOURCE QUOTE; unvalidated / superseded assessments</x:v>
      </x:c>
      <x:c r="L2239" s="31" t="str">
        <x:v>D06, Markdown line 302; http://nas-1.tail55d152.ts.net:4100/static/MEDICAL_NORDICS_FINANCIALS_DOSSIER.html</x:v>
      </x:c>
    </x:row>
    <x:row r="2240" ht="42" customHeight="1">
      <x:c r="A2240" s="5" t="str">
        <x:v>D06</x:v>
      </x:c>
      <x:c r="B2240" s="5" t="str">
        <x:v>D06-T01</x:v>
      </x:c>
      <x:c r="C2240" s="5" t="str">
        <x:v>5. Complete Company Financial Table (135 Facilities Analyzed)</x:v>
      </x:c>
      <x:c r="D2240" s="5" t="n">
        <x:v>302</x:v>
      </x:c>
      <x:c r="E2240" s="5" t="n">
        <x:v>3</x:v>
      </x:c>
      <x:c r="F2240" s="5" t="str">
        <x:v>Location</x:v>
      </x:c>
      <x:c r="G2240" s="5" t="n">
        <x:v>1</x:v>
      </x:c>
      <x:c r="H2240" s="5" t="n">
        <x:v>1</x:v>
      </x:c>
      <x:c r="I2240" s="5" t="str">
        <x:v>Uppsala, Sweden</x:v>
      </x:c>
      <x:c r="J2240" s="5" t="str">
        <x:v>SOURCE QUOTE; unvalidated / superseded assessments</x:v>
      </x:c>
      <x:c r="L2240" s="31" t="str">
        <x:v>D06, Markdown line 302; http://nas-1.tail55d152.ts.net:4100/static/MEDICAL_NORDICS_FINANCIALS_DOSSIER.html</x:v>
      </x:c>
    </x:row>
    <x:row r="2241" ht="42" customHeight="1">
      <x:c r="A2241" s="5" t="str">
        <x:v>D06</x:v>
      </x:c>
      <x:c r="B2241" s="5" t="str">
        <x:v>D06-T01</x:v>
      </x:c>
      <x:c r="C2241" s="5" t="str">
        <x:v>5. Complete Company Financial Table (135 Facilities Analyzed)</x:v>
      </x:c>
      <x:c r="D2241" s="5" t="n">
        <x:v>302</x:v>
      </x:c>
      <x:c r="E2241" s="5" t="n">
        <x:v>4</x:v>
      </x:c>
      <x:c r="F2241" s="5" t="str">
        <x:v>Focus Area</x:v>
      </x:c>
      <x:c r="G2241" s="5" t="n">
        <x:v>1</x:v>
      </x:c>
      <x:c r="H2241" s="5" t="n">
        <x:v>1</x:v>
      </x:c>
      <x:c r="I2241" s="5" t="str">
        <x:v>DiviTum TKa Metastatic Breast Biomarkers</x:v>
      </x:c>
      <x:c r="J2241" s="5" t="str">
        <x:v>SOURCE QUOTE; unvalidated / superseded assessments</x:v>
      </x:c>
      <x:c r="L2241" s="31" t="str">
        <x:v>D06, Markdown line 302; http://nas-1.tail55d152.ts.net:4100/static/MEDICAL_NORDICS_FINANCIALS_DOSSIER.html</x:v>
      </x:c>
    </x:row>
    <x:row r="2242" ht="42" customHeight="1">
      <x:c r="A2242" s="5" t="str">
        <x:v>D06</x:v>
      </x:c>
      <x:c r="B2242" s="5" t="str">
        <x:v>D06-T01</x:v>
      </x:c>
      <x:c r="C2242" s="5" t="str">
        <x:v>5. Complete Company Financial Table (135 Facilities Analyzed)</x:v>
      </x:c>
      <x:c r="D2242" s="5" t="n">
        <x:v>302</x:v>
      </x:c>
      <x:c r="E2242" s="5" t="n">
        <x:v>5</x:v>
      </x:c>
      <x:c r="F2242" s="5" t="str">
        <x:v>Revenue / Net Sales</x:v>
      </x:c>
      <x:c r="G2242" s="5" t="n">
        <x:v>1</x:v>
      </x:c>
      <x:c r="H2242" s="5" t="n">
        <x:v>1</x:v>
      </x:c>
      <x:c r="I2242" s="5" t="str">
        <x:v>SEK 7.29M (FY23/24; 8.62M FY24/25)</x:v>
      </x:c>
      <x:c r="J2242" s="5" t="str">
        <x:v>SOURCE QUOTE; unvalidated / superseded assessments</x:v>
      </x:c>
      <x:c r="L2242" s="31" t="str">
        <x:v>D06, Markdown line 302; http://nas-1.tail55d152.ts.net:4100/static/MEDICAL_NORDICS_FINANCIALS_DOSSIER.html</x:v>
      </x:c>
    </x:row>
    <x:row r="2243" ht="42" customHeight="1">
      <x:c r="A2243" s="5" t="str">
        <x:v>D06</x:v>
      </x:c>
      <x:c r="B2243" s="5" t="str">
        <x:v>D06-T01</x:v>
      </x:c>
      <x:c r="C2243" s="5" t="str">
        <x:v>5. Complete Company Financial Table (135 Facilities Analyzed)</x:v>
      </x:c>
      <x:c r="D2243" s="5" t="n">
        <x:v>302</x:v>
      </x:c>
      <x:c r="E2243" s="5" t="n">
        <x:v>6</x:v>
      </x:c>
      <x:c r="F2243" s="5" t="str">
        <x:v>R&amp;D Spend</x:v>
      </x:c>
      <x:c r="G2243" s="5" t="n">
        <x:v>1</x:v>
      </x:c>
      <x:c r="H2243" s="5" t="n">
        <x:v>1</x:v>
      </x:c>
      <x:c r="I2243" s="5" t="str">
        <x:v>SEK 48.6M</x:v>
      </x:c>
      <x:c r="J2243" s="5" t="str">
        <x:v>SOURCE QUOTE; unvalidated / superseded assessments</x:v>
      </x:c>
      <x:c r="L2243" s="31" t="str">
        <x:v>D06, Markdown line 302; http://nas-1.tail55d152.ts.net:4100/static/MEDICAL_NORDICS_FINANCIALS_DOSSIER.html</x:v>
      </x:c>
    </x:row>
    <x:row r="2244" ht="42" customHeight="1">
      <x:c r="A2244" s="5" t="str">
        <x:v>D06</x:v>
      </x:c>
      <x:c r="B2244" s="5" t="str">
        <x:v>D06-T01</x:v>
      </x:c>
      <x:c r="C2244" s="5" t="str">
        <x:v>5. Complete Company Financial Table (135 Facilities Analyzed)</x:v>
      </x:c>
      <x:c r="D2244" s="5" t="n">
        <x:v>302</x:v>
      </x:c>
      <x:c r="E2244" s="5" t="n">
        <x:v>7</x:v>
      </x:c>
      <x:c r="F2244" s="5" t="str">
        <x:v>Currency</x:v>
      </x:c>
      <x:c r="G2244" s="5" t="n">
        <x:v>1</x:v>
      </x:c>
      <x:c r="H2244" s="5" t="n">
        <x:v>1</x:v>
      </x:c>
      <x:c r="I2244" s="5" t="str">
        <x:v>SEK</x:v>
      </x:c>
      <x:c r="J2244" s="5" t="str">
        <x:v>SOURCE QUOTE; unvalidated / superseded assessments</x:v>
      </x:c>
      <x:c r="L2244" s="31" t="str">
        <x:v>D06, Markdown line 302; http://nas-1.tail55d152.ts.net:4100/static/MEDICAL_NORDICS_FINANCIALS_DOSSIER.html</x:v>
      </x:c>
    </x:row>
    <x:row r="2245" ht="42" customHeight="1">
      <x:c r="A2245" s="5" t="str">
        <x:v>D06</x:v>
      </x:c>
      <x:c r="B2245" s="5" t="str">
        <x:v>D06-T01</x:v>
      </x:c>
      <x:c r="C2245" s="5" t="str">
        <x:v>5. Complete Company Financial Table (135 Facilities Analyzed)</x:v>
      </x:c>
      <x:c r="D2245" s="5" t="n">
        <x:v>302</x:v>
      </x:c>
      <x:c r="E2245" s="5" t="n">
        <x:v>8</x:v>
      </x:c>
      <x:c r="F2245" s="5" t="str">
        <x:v>Fiscal Year</x:v>
      </x:c>
      <x:c r="G2245" s="5" t="n">
        <x:v>1</x:v>
      </x:c>
      <x:c r="H2245" s="5" t="n">
        <x:v>1</x:v>
      </x:c>
      <x:c r="I2245" s="5" t="str">
        <x:v>FY2023/24</x:v>
      </x:c>
      <x:c r="J2245" s="5" t="str">
        <x:v>SOURCE QUOTE; unvalidated / superseded assessments</x:v>
      </x:c>
      <x:c r="L2245" s="31" t="str">
        <x:v>D06, Markdown line 302; http://nas-1.tail55d152.ts.net:4100/static/MEDICAL_NORDICS_FINANCIALS_DOSSIER.html</x:v>
      </x:c>
    </x:row>
    <x:row r="2246" ht="42" customHeight="1">
      <x:c r="A2246" s="5" t="str">
        <x:v>D06</x:v>
      </x:c>
      <x:c r="B2246" s="5" t="str">
        <x:v>D06-T01</x:v>
      </x:c>
      <x:c r="C2246" s="5" t="str">
        <x:v>5. Complete Company Financial Table (135 Facilities Analyzed)</x:v>
      </x:c>
      <x:c r="D2246" s="5" t="n">
        <x:v>302</x:v>
      </x:c>
      <x:c r="E2246" s="5" t="n">
        <x:v>9</x:v>
      </x:c>
      <x:c r="F2246" s="5" t="str">
        <x:v>Status / Ownership / Strategic Service Alignment</x:v>
      </x:c>
      <x:c r="G2246" s="5" t="n">
        <x:v>1</x:v>
      </x:c>
      <x:c r="H2246" s="5" t="n">
        <x:v>1</x:v>
      </x:c>
      <x:c r="I2246" s="5" t="str">
        <x:v>Listed (First North: BIOVIC B); Package A (Hospital oncology diagnostic adoption proof)</x:v>
      </x:c>
      <x:c r="J2246" s="5" t="str">
        <x:v>SOURCE QUOTE; unvalidated / superseded assessments</x:v>
      </x:c>
      <x:c r="L2246" s="31" t="str">
        <x:v>D06, Markdown line 302; http://nas-1.tail55d152.ts.net:4100/static/MEDICAL_NORDICS_FINANCIALS_DOSSIER.html</x:v>
      </x:c>
    </x:row>
    <x:row r="2247" ht="42" customHeight="1">
      <x:c r="A2247" s="5" t="str">
        <x:v>D06</x:v>
      </x:c>
      <x:c r="B2247" s="5" t="str">
        <x:v>D06-T01</x:v>
      </x:c>
      <x:c r="C2247" s="5" t="str">
        <x:v>5. Complete Company Financial Table (135 Facilities Analyzed)</x:v>
      </x:c>
      <x:c r="D2247" s="5" t="n">
        <x:v>303</x:v>
      </x:c>
      <x:c r="E2247" s="5" t="n">
        <x:v>1</x:v>
      </x:c>
      <x:c r="F2247" s="5" t="str">
        <x:v>#</x:v>
      </x:c>
      <x:c r="G2247" s="5" t="n">
        <x:v>1</x:v>
      </x:c>
      <x:c r="H2247" s="5" t="n">
        <x:v>1</x:v>
      </x:c>
      <x:c r="I2247" s="5" t="str">
        <x:v>122</x:v>
      </x:c>
      <x:c r="J2247" s="5" t="str">
        <x:v>SOURCE QUOTE; unvalidated / superseded assessments</x:v>
      </x:c>
      <x:c r="L2247" s="31" t="str">
        <x:v>D06, Markdown line 303; http://nas-1.tail55d152.ts.net:4100/static/MEDICAL_NORDICS_FINANCIALS_DOSSIER.html</x:v>
      </x:c>
    </x:row>
    <x:row r="2248" ht="42" customHeight="1">
      <x:c r="A2248" s="5" t="str">
        <x:v>D06</x:v>
      </x:c>
      <x:c r="B2248" s="5" t="str">
        <x:v>D06-T01</x:v>
      </x:c>
      <x:c r="C2248" s="5" t="str">
        <x:v>5. Complete Company Financial Table (135 Facilities Analyzed)</x:v>
      </x:c>
      <x:c r="D2248" s="5" t="n">
        <x:v>303</x:v>
      </x:c>
      <x:c r="E2248" s="5" t="n">
        <x:v>2</x:v>
      </x:c>
      <x:c r="F2248" s="5" t="str">
        <x:v>Company</x:v>
      </x:c>
      <x:c r="G2248" s="5" t="n">
        <x:v>1</x:v>
      </x:c>
      <x:c r="H2248" s="5" t="n">
        <x:v>1</x:v>
      </x:c>
      <x:c r="I2248" s="5" t="str">
        <x:v>Corline Biomedical</x:v>
      </x:c>
      <x:c r="J2248" s="5" t="str">
        <x:v>SOURCE QUOTE; unvalidated / superseded assessments</x:v>
      </x:c>
      <x:c r="L2248" s="31" t="str">
        <x:v>D06, Markdown line 303; http://nas-1.tail55d152.ts.net:4100/static/MEDICAL_NORDICS_FINANCIALS_DOSSIER.html</x:v>
      </x:c>
    </x:row>
    <x:row r="2249" ht="42" customHeight="1">
      <x:c r="A2249" s="5" t="str">
        <x:v>D06</x:v>
      </x:c>
      <x:c r="B2249" s="5" t="str">
        <x:v>D06-T01</x:v>
      </x:c>
      <x:c r="C2249" s="5" t="str">
        <x:v>5. Complete Company Financial Table (135 Facilities Analyzed)</x:v>
      </x:c>
      <x:c r="D2249" s="5" t="n">
        <x:v>303</x:v>
      </x:c>
      <x:c r="E2249" s="5" t="n">
        <x:v>3</x:v>
      </x:c>
      <x:c r="F2249" s="5" t="str">
        <x:v>Location</x:v>
      </x:c>
      <x:c r="G2249" s="5" t="n">
        <x:v>1</x:v>
      </x:c>
      <x:c r="H2249" s="5" t="n">
        <x:v>1</x:v>
      </x:c>
      <x:c r="I2249" s="5" t="str">
        <x:v>Uppsala, Sweden</x:v>
      </x:c>
      <x:c r="J2249" s="5" t="str">
        <x:v>SOURCE QUOTE; unvalidated / superseded assessments</x:v>
      </x:c>
      <x:c r="L2249" s="31" t="str">
        <x:v>D06, Markdown line 303; http://nas-1.tail55d152.ts.net:4100/static/MEDICAL_NORDICS_FINANCIALS_DOSSIER.html</x:v>
      </x:c>
    </x:row>
    <x:row r="2250" ht="42" customHeight="1">
      <x:c r="A2250" s="5" t="str">
        <x:v>D06</x:v>
      </x:c>
      <x:c r="B2250" s="5" t="str">
        <x:v>D06-T01</x:v>
      </x:c>
      <x:c r="C2250" s="5" t="str">
        <x:v>5. Complete Company Financial Table (135 Facilities Analyzed)</x:v>
      </x:c>
      <x:c r="D2250" s="5" t="n">
        <x:v>303</x:v>
      </x:c>
      <x:c r="E2250" s="5" t="n">
        <x:v>4</x:v>
      </x:c>
      <x:c r="F2250" s="5" t="str">
        <x:v>Focus Area</x:v>
      </x:c>
      <x:c r="G2250" s="5" t="n">
        <x:v>1</x:v>
      </x:c>
      <x:c r="H2250" s="5" t="n">
        <x:v>1</x:v>
      </x:c>
      <x:c r="I2250" s="5" t="str">
        <x:v>Heparin Surface Coating for Implants</x:v>
      </x:c>
      <x:c r="J2250" s="5" t="str">
        <x:v>SOURCE QUOTE; unvalidated / superseded assessments</x:v>
      </x:c>
      <x:c r="L2250" s="31" t="str">
        <x:v>D06, Markdown line 303; http://nas-1.tail55d152.ts.net:4100/static/MEDICAL_NORDICS_FINANCIALS_DOSSIER.html</x:v>
      </x:c>
    </x:row>
    <x:row r="2251" ht="42" customHeight="1">
      <x:c r="A2251" s="5" t="str">
        <x:v>D06</x:v>
      </x:c>
      <x:c r="B2251" s="5" t="str">
        <x:v>D06-T01</x:v>
      </x:c>
      <x:c r="C2251" s="5" t="str">
        <x:v>5. Complete Company Financial Table (135 Facilities Analyzed)</x:v>
      </x:c>
      <x:c r="D2251" s="5" t="n">
        <x:v>303</x:v>
      </x:c>
      <x:c r="E2251" s="5" t="n">
        <x:v>5</x:v>
      </x:c>
      <x:c r="F2251" s="5" t="str">
        <x:v>Revenue / Net Sales</x:v>
      </x:c>
      <x:c r="G2251" s="5" t="n">
        <x:v>1</x:v>
      </x:c>
      <x:c r="H2251" s="5" t="n">
        <x:v>1</x:v>
      </x:c>
      <x:c r="I2251" s="5" t="str">
        <x:v>SEK 18.2M</x:v>
      </x:c>
      <x:c r="J2251" s="5" t="str">
        <x:v>SOURCE QUOTE; unvalidated / superseded assessments</x:v>
      </x:c>
      <x:c r="L2251" s="31" t="str">
        <x:v>D06, Markdown line 303; http://nas-1.tail55d152.ts.net:4100/static/MEDICAL_NORDICS_FINANCIALS_DOSSIER.html</x:v>
      </x:c>
    </x:row>
    <x:row r="2252" ht="42" customHeight="1">
      <x:c r="A2252" s="5" t="str">
        <x:v>D06</x:v>
      </x:c>
      <x:c r="B2252" s="5" t="str">
        <x:v>D06-T01</x:v>
      </x:c>
      <x:c r="C2252" s="5" t="str">
        <x:v>5. Complete Company Financial Table (135 Facilities Analyzed)</x:v>
      </x:c>
      <x:c r="D2252" s="5" t="n">
        <x:v>303</x:v>
      </x:c>
      <x:c r="E2252" s="5" t="n">
        <x:v>6</x:v>
      </x:c>
      <x:c r="F2252" s="5" t="str">
        <x:v>R&amp;D Spend</x:v>
      </x:c>
      <x:c r="G2252" s="5" t="n">
        <x:v>1</x:v>
      </x:c>
      <x:c r="H2252" s="5" t="n">
        <x:v>1</x:v>
      </x:c>
      <x:c r="I2252" s="5" t="str">
        <x:v>SEK 14.5M</x:v>
      </x:c>
      <x:c r="J2252" s="5" t="str">
        <x:v>SOURCE QUOTE; unvalidated / superseded assessments</x:v>
      </x:c>
      <x:c r="L2252" s="31" t="str">
        <x:v>D06, Markdown line 303; http://nas-1.tail55d152.ts.net:4100/static/MEDICAL_NORDICS_FINANCIALS_DOSSIER.html</x:v>
      </x:c>
    </x:row>
    <x:row r="2253" ht="42" customHeight="1">
      <x:c r="A2253" s="5" t="str">
        <x:v>D06</x:v>
      </x:c>
      <x:c r="B2253" s="5" t="str">
        <x:v>D06-T01</x:v>
      </x:c>
      <x:c r="C2253" s="5" t="str">
        <x:v>5. Complete Company Financial Table (135 Facilities Analyzed)</x:v>
      </x:c>
      <x:c r="D2253" s="5" t="n">
        <x:v>303</x:v>
      </x:c>
      <x:c r="E2253" s="5" t="n">
        <x:v>7</x:v>
      </x:c>
      <x:c r="F2253" s="5" t="str">
        <x:v>Currency</x:v>
      </x:c>
      <x:c r="G2253" s="5" t="n">
        <x:v>1</x:v>
      </x:c>
      <x:c r="H2253" s="5" t="n">
        <x:v>1</x:v>
      </x:c>
      <x:c r="I2253" s="5" t="str">
        <x:v>SEK</x:v>
      </x:c>
      <x:c r="J2253" s="5" t="str">
        <x:v>SOURCE QUOTE; unvalidated / superseded assessments</x:v>
      </x:c>
      <x:c r="L2253" s="31" t="str">
        <x:v>D06, Markdown line 303; http://nas-1.tail55d152.ts.net:4100/static/MEDICAL_NORDICS_FINANCIALS_DOSSIER.html</x:v>
      </x:c>
    </x:row>
    <x:row r="2254" ht="42" customHeight="1">
      <x:c r="A2254" s="5" t="str">
        <x:v>D06</x:v>
      </x:c>
      <x:c r="B2254" s="5" t="str">
        <x:v>D06-T01</x:v>
      </x:c>
      <x:c r="C2254" s="5" t="str">
        <x:v>5. Complete Company Financial Table (135 Facilities Analyzed)</x:v>
      </x:c>
      <x:c r="D2254" s="5" t="n">
        <x:v>303</x:v>
      </x:c>
      <x:c r="E2254" s="5" t="n">
        <x:v>8</x:v>
      </x:c>
      <x:c r="F2254" s="5" t="str">
        <x:v>Fiscal Year</x:v>
      </x:c>
      <x:c r="G2254" s="5" t="n">
        <x:v>1</x:v>
      </x:c>
      <x:c r="H2254" s="5" t="n">
        <x:v>1</x:v>
      </x:c>
      <x:c r="I2254" s="5" t="str">
        <x:v>FY2023/24</x:v>
      </x:c>
      <x:c r="J2254" s="5" t="str">
        <x:v>SOURCE QUOTE; unvalidated / superseded assessments</x:v>
      </x:c>
      <x:c r="L2254" s="31" t="str">
        <x:v>D06, Markdown line 303; http://nas-1.tail55d152.ts.net:4100/static/MEDICAL_NORDICS_FINANCIALS_DOSSIER.html</x:v>
      </x:c>
    </x:row>
    <x:row r="2255" ht="42" customHeight="1">
      <x:c r="A2255" s="5" t="str">
        <x:v>D06</x:v>
      </x:c>
      <x:c r="B2255" s="5" t="str">
        <x:v>D06-T01</x:v>
      </x:c>
      <x:c r="C2255" s="5" t="str">
        <x:v>5. Complete Company Financial Table (135 Facilities Analyzed)</x:v>
      </x:c>
      <x:c r="D2255" s="5" t="n">
        <x:v>303</x:v>
      </x:c>
      <x:c r="E2255" s="5" t="n">
        <x:v>9</x:v>
      </x:c>
      <x:c r="F2255" s="5" t="str">
        <x:v>Status / Ownership / Strategic Service Alignment</x:v>
      </x:c>
      <x:c r="G2255" s="5" t="n">
        <x:v>1</x:v>
      </x:c>
      <x:c r="H2255" s="5" t="n">
        <x:v>1</x:v>
      </x:c>
      <x:c r="I2255" s="5" t="str">
        <x:v>Listed (First North: CLBI); Package A &amp; D (Device OEM coating integration economics)</x:v>
      </x:c>
      <x:c r="J2255" s="5" t="str">
        <x:v>SOURCE QUOTE; unvalidated / superseded assessments</x:v>
      </x:c>
      <x:c r="L2255" s="31" t="str">
        <x:v>D06, Markdown line 303; http://nas-1.tail55d152.ts.net:4100/static/MEDICAL_NORDICS_FINANCIALS_DOSSIER.html</x:v>
      </x:c>
    </x:row>
    <x:row r="2256" ht="42" customHeight="1">
      <x:c r="A2256" s="5" t="str">
        <x:v>D06</x:v>
      </x:c>
      <x:c r="B2256" s="5" t="str">
        <x:v>D06-T01</x:v>
      </x:c>
      <x:c r="C2256" s="5" t="str">
        <x:v>5. Complete Company Financial Table (135 Facilities Analyzed)</x:v>
      </x:c>
      <x:c r="D2256" s="5" t="n">
        <x:v>304</x:v>
      </x:c>
      <x:c r="E2256" s="5" t="n">
        <x:v>1</x:v>
      </x:c>
      <x:c r="F2256" s="5" t="str">
        <x:v>#</x:v>
      </x:c>
      <x:c r="G2256" s="5" t="n">
        <x:v>1</x:v>
      </x:c>
      <x:c r="H2256" s="5" t="n">
        <x:v>1</x:v>
      </x:c>
      <x:c r="I2256" s="5" t="str">
        <x:v>123</x:v>
      </x:c>
      <x:c r="J2256" s="5" t="str">
        <x:v>SOURCE QUOTE; unvalidated / superseded assessments</x:v>
      </x:c>
      <x:c r="L2256" s="31" t="str">
        <x:v>D06, Markdown line 304; http://nas-1.tail55d152.ts.net:4100/static/MEDICAL_NORDICS_FINANCIALS_DOSSIER.html</x:v>
      </x:c>
    </x:row>
    <x:row r="2257" ht="42" customHeight="1">
      <x:c r="A2257" s="5" t="str">
        <x:v>D06</x:v>
      </x:c>
      <x:c r="B2257" s="5" t="str">
        <x:v>D06-T01</x:v>
      </x:c>
      <x:c r="C2257" s="5" t="str">
        <x:v>5. Complete Company Financial Table (135 Facilities Analyzed)</x:v>
      </x:c>
      <x:c r="D2257" s="5" t="n">
        <x:v>304</x:v>
      </x:c>
      <x:c r="E2257" s="5" t="n">
        <x:v>2</x:v>
      </x:c>
      <x:c r="F2257" s="5" t="str">
        <x:v>Company</x:v>
      </x:c>
      <x:c r="G2257" s="5" t="n">
        <x:v>1</x:v>
      </x:c>
      <x:c r="H2257" s="5" t="n">
        <x:v>1</x:v>
      </x:c>
      <x:c r="I2257" s="5" t="str">
        <x:v>Fresenius Kabi</x:v>
      </x:c>
      <x:c r="J2257" s="5" t="str">
        <x:v>SOURCE QUOTE; unvalidated / superseded assessments</x:v>
      </x:c>
      <x:c r="L2257" s="31" t="str">
        <x:v>D06, Markdown line 304; http://nas-1.tail55d152.ts.net:4100/static/MEDICAL_NORDICS_FINANCIALS_DOSSIER.html</x:v>
      </x:c>
    </x:row>
    <x:row r="2258" ht="42" customHeight="1">
      <x:c r="A2258" s="5" t="str">
        <x:v>D06</x:v>
      </x:c>
      <x:c r="B2258" s="5" t="str">
        <x:v>D06-T01</x:v>
      </x:c>
      <x:c r="C2258" s="5" t="str">
        <x:v>5. Complete Company Financial Table (135 Facilities Analyzed)</x:v>
      </x:c>
      <x:c r="D2258" s="5" t="n">
        <x:v>304</x:v>
      </x:c>
      <x:c r="E2258" s="5" t="n">
        <x:v>3</x:v>
      </x:c>
      <x:c r="F2258" s="5" t="str">
        <x:v>Location</x:v>
      </x:c>
      <x:c r="G2258" s="5" t="n">
        <x:v>1</x:v>
      </x:c>
      <x:c r="H2258" s="5" t="n">
        <x:v>1</x:v>
      </x:c>
      <x:c r="I2258" s="5" t="str">
        <x:v>Uppsala, Sweden</x:v>
      </x:c>
      <x:c r="J2258" s="5" t="str">
        <x:v>SOURCE QUOTE; unvalidated / superseded assessments</x:v>
      </x:c>
      <x:c r="L2258" s="31" t="str">
        <x:v>D06, Markdown line 304; http://nas-1.tail55d152.ts.net:4100/static/MEDICAL_NORDICS_FINANCIALS_DOSSIER.html</x:v>
      </x:c>
    </x:row>
    <x:row r="2259" ht="42" customHeight="1">
      <x:c r="A2259" s="5" t="str">
        <x:v>D06</x:v>
      </x:c>
      <x:c r="B2259" s="5" t="str">
        <x:v>D06-T01</x:v>
      </x:c>
      <x:c r="C2259" s="5" t="str">
        <x:v>5. Complete Company Financial Table (135 Facilities Analyzed)</x:v>
      </x:c>
      <x:c r="D2259" s="5" t="n">
        <x:v>304</x:v>
      </x:c>
      <x:c r="E2259" s="5" t="n">
        <x:v>4</x:v>
      </x:c>
      <x:c r="F2259" s="5" t="str">
        <x:v>Focus Area</x:v>
      </x:c>
      <x:c r="G2259" s="5" t="n">
        <x:v>1</x:v>
      </x:c>
      <x:c r="H2259" s="5" t="n">
        <x:v>1</x:v>
      </x:c>
      <x:c r="I2259" s="5" t="str">
        <x:v>Parenteral Nutrition &amp; Sterile Liquids</x:v>
      </x:c>
      <x:c r="J2259" s="5" t="str">
        <x:v>SOURCE QUOTE; unvalidated / superseded assessments</x:v>
      </x:c>
      <x:c r="L2259" s="31" t="str">
        <x:v>D06, Markdown line 304; http://nas-1.tail55d152.ts.net:4100/static/MEDICAL_NORDICS_FINANCIALS_DOSSIER.html</x:v>
      </x:c>
    </x:row>
    <x:row r="2260" ht="42" customHeight="1">
      <x:c r="A2260" s="5" t="str">
        <x:v>D06</x:v>
      </x:c>
      <x:c r="B2260" s="5" t="str">
        <x:v>D06-T01</x:v>
      </x:c>
      <x:c r="C2260" s="5" t="str">
        <x:v>5. Complete Company Financial Table (135 Facilities Analyzed)</x:v>
      </x:c>
      <x:c r="D2260" s="5" t="n">
        <x:v>304</x:v>
      </x:c>
      <x:c r="E2260" s="5" t="n">
        <x:v>5</x:v>
      </x:c>
      <x:c r="F2260" s="5" t="str">
        <x:v>Revenue / Net Sales</x:v>
      </x:c>
      <x:c r="G2260" s="5" t="n">
        <x:v>1</x:v>
      </x:c>
      <x:c r="H2260" s="5" t="n">
        <x:v>1</x:v>
      </x:c>
      <x:c r="I2260" s="5" t="str">
        <x:v>EUR 8,414.0M (Sweden ~SEK 4.8B)</x:v>
      </x:c>
      <x:c r="J2260" s="5" t="str">
        <x:v>SOURCE QUOTE; unvalidated / superseded assessments</x:v>
      </x:c>
      <x:c r="L2260" s="31" t="str">
        <x:v>D06, Markdown line 304; http://nas-1.tail55d152.ts.net:4100/static/MEDICAL_NORDICS_FINANCIALS_DOSSIER.html</x:v>
      </x:c>
    </x:row>
    <x:row r="2261" ht="42" customHeight="1">
      <x:c r="A2261" s="5" t="str">
        <x:v>D06</x:v>
      </x:c>
      <x:c r="B2261" s="5" t="str">
        <x:v>D06-T01</x:v>
      </x:c>
      <x:c r="C2261" s="5" t="str">
        <x:v>5. Complete Company Financial Table (135 Facilities Analyzed)</x:v>
      </x:c>
      <x:c r="D2261" s="5" t="n">
        <x:v>304</x:v>
      </x:c>
      <x:c r="E2261" s="5" t="n">
        <x:v>6</x:v>
      </x:c>
      <x:c r="F2261" s="5" t="str">
        <x:v>R&amp;D Spend</x:v>
      </x:c>
      <x:c r="G2261" s="5" t="n">
        <x:v>1</x:v>
      </x:c>
      <x:c r="H2261" s="5" t="n">
        <x:v>1</x:v>
      </x:c>
      <x:c r="I2261" s="5" t="str">
        <x:v>EUR 636.0M (~SEK 7.2B group)</x:v>
      </x:c>
      <x:c r="J2261" s="5" t="str">
        <x:v>SOURCE QUOTE; unvalidated / superseded assessments</x:v>
      </x:c>
      <x:c r="L2261" s="31" t="str">
        <x:v>D06, Markdown line 304; http://nas-1.tail55d152.ts.net:4100/static/MEDICAL_NORDICS_FINANCIALS_DOSSIER.html</x:v>
      </x:c>
    </x:row>
    <x:row r="2262" ht="42" customHeight="1">
      <x:c r="A2262" s="5" t="str">
        <x:v>D06</x:v>
      </x:c>
      <x:c r="B2262" s="5" t="str">
        <x:v>D06-T01</x:v>
      </x:c>
      <x:c r="C2262" s="5" t="str">
        <x:v>5. Complete Company Financial Table (135 Facilities Analyzed)</x:v>
      </x:c>
      <x:c r="D2262" s="5" t="n">
        <x:v>304</x:v>
      </x:c>
      <x:c r="E2262" s="5" t="n">
        <x:v>7</x:v>
      </x:c>
      <x:c r="F2262" s="5" t="str">
        <x:v>Currency</x:v>
      </x:c>
      <x:c r="G2262" s="5" t="n">
        <x:v>1</x:v>
      </x:c>
      <x:c r="H2262" s="5" t="n">
        <x:v>1</x:v>
      </x:c>
      <x:c r="I2262" s="5" t="str">
        <x:v>EUR</x:v>
      </x:c>
      <x:c r="J2262" s="5" t="str">
        <x:v>SOURCE QUOTE; unvalidated / superseded assessments</x:v>
      </x:c>
      <x:c r="L2262" s="31" t="str">
        <x:v>D06, Markdown line 304; http://nas-1.tail55d152.ts.net:4100/static/MEDICAL_NORDICS_FINANCIALS_DOSSIER.html</x:v>
      </x:c>
    </x:row>
    <x:row r="2263" ht="42" customHeight="1">
      <x:c r="A2263" s="5" t="str">
        <x:v>D06</x:v>
      </x:c>
      <x:c r="B2263" s="5" t="str">
        <x:v>D06-T01</x:v>
      </x:c>
      <x:c r="C2263" s="5" t="str">
        <x:v>5. Complete Company Financial Table (135 Facilities Analyzed)</x:v>
      </x:c>
      <x:c r="D2263" s="5" t="n">
        <x:v>304</x:v>
      </x:c>
      <x:c r="E2263" s="5" t="n">
        <x:v>8</x:v>
      </x:c>
      <x:c r="F2263" s="5" t="str">
        <x:v>Fiscal Year</x:v>
      </x:c>
      <x:c r="G2263" s="5" t="n">
        <x:v>1</x:v>
      </x:c>
      <x:c r="H2263" s="5" t="n">
        <x:v>1</x:v>
      </x:c>
      <x:c r="I2263" s="5" t="str">
        <x:v>FY2024</x:v>
      </x:c>
      <x:c r="J2263" s="5" t="str">
        <x:v>SOURCE QUOTE; unvalidated / superseded assessments</x:v>
      </x:c>
      <x:c r="L2263" s="31" t="str">
        <x:v>D06, Markdown line 304; http://nas-1.tail55d152.ts.net:4100/static/MEDICAL_NORDICS_FINANCIALS_DOSSIER.html</x:v>
      </x:c>
    </x:row>
    <x:row r="2264" ht="42" customHeight="1">
      <x:c r="A2264" s="5" t="str">
        <x:v>D06</x:v>
      </x:c>
      <x:c r="B2264" s="5" t="str">
        <x:v>D06-T01</x:v>
      </x:c>
      <x:c r="C2264" s="5" t="str">
        <x:v>5. Complete Company Financial Table (135 Facilities Analyzed)</x:v>
      </x:c>
      <x:c r="D2264" s="5" t="n">
        <x:v>304</x:v>
      </x:c>
      <x:c r="E2264" s="5" t="n">
        <x:v>9</x:v>
      </x:c>
      <x:c r="F2264" s="5" t="str">
        <x:v>Status / Ownership / Strategic Service Alignment</x:v>
      </x:c>
      <x:c r="G2264" s="5" t="n">
        <x:v>1</x:v>
      </x:c>
      <x:c r="H2264" s="5" t="n">
        <x:v>1</x:v>
      </x:c>
      <x:c r="I2264" s="5" t="str">
        <x:v>Fresenius SE; Package D (High-speed aseptic filling line yield &amp; margin defense)</x:v>
      </x:c>
      <x:c r="J2264" s="5" t="str">
        <x:v>SOURCE QUOTE; unvalidated / superseded assessments</x:v>
      </x:c>
      <x:c r="L2264" s="31" t="str">
        <x:v>D06, Markdown line 304; http://nas-1.tail55d152.ts.net:4100/static/MEDICAL_NORDICS_FINANCIALS_DOSSIER.html</x:v>
      </x:c>
    </x:row>
    <x:row r="2265" ht="42" customHeight="1">
      <x:c r="A2265" s="5" t="str">
        <x:v>D06</x:v>
      </x:c>
      <x:c r="B2265" s="5" t="str">
        <x:v>D06-T01</x:v>
      </x:c>
      <x:c r="C2265" s="5" t="str">
        <x:v>5. Complete Company Financial Table (135 Facilities Analyzed)</x:v>
      </x:c>
      <x:c r="D2265" s="5" t="n">
        <x:v>305</x:v>
      </x:c>
      <x:c r="E2265" s="5" t="n">
        <x:v>1</x:v>
      </x:c>
      <x:c r="F2265" s="5" t="str">
        <x:v>#</x:v>
      </x:c>
      <x:c r="G2265" s="5" t="n">
        <x:v>1</x:v>
      </x:c>
      <x:c r="H2265" s="5" t="n">
        <x:v>1</x:v>
      </x:c>
      <x:c r="I2265" s="5" t="str">
        <x:v>124</x:v>
      </x:c>
      <x:c r="J2265" s="5" t="str">
        <x:v>SOURCE QUOTE; unvalidated / superseded assessments</x:v>
      </x:c>
      <x:c r="L2265" s="31" t="str">
        <x:v>D06, Markdown line 305; http://nas-1.tail55d152.ts.net:4100/static/MEDICAL_NORDICS_FINANCIALS_DOSSIER.html</x:v>
      </x:c>
    </x:row>
    <x:row r="2266" ht="42" customHeight="1">
      <x:c r="A2266" s="5" t="str">
        <x:v>D06</x:v>
      </x:c>
      <x:c r="B2266" s="5" t="str">
        <x:v>D06-T01</x:v>
      </x:c>
      <x:c r="C2266" s="5" t="str">
        <x:v>5. Complete Company Financial Table (135 Facilities Analyzed)</x:v>
      </x:c>
      <x:c r="D2266" s="5" t="n">
        <x:v>305</x:v>
      </x:c>
      <x:c r="E2266" s="5" t="n">
        <x:v>2</x:v>
      </x:c>
      <x:c r="F2266" s="5" t="str">
        <x:v>Company</x:v>
      </x:c>
      <x:c r="G2266" s="5" t="n">
        <x:v>1</x:v>
      </x:c>
      <x:c r="H2266" s="5" t="n">
        <x:v>1</x:v>
      </x:c>
      <x:c r="I2266" s="5" t="str">
        <x:v>Gradientech</x:v>
      </x:c>
      <x:c r="J2266" s="5" t="str">
        <x:v>SOURCE QUOTE; unvalidated / superseded assessments</x:v>
      </x:c>
      <x:c r="L2266" s="31" t="str">
        <x:v>D06, Markdown line 305; http://nas-1.tail55d152.ts.net:4100/static/MEDICAL_NORDICS_FINANCIALS_DOSSIER.html</x:v>
      </x:c>
    </x:row>
    <x:row r="2267" ht="42" customHeight="1">
      <x:c r="A2267" s="5" t="str">
        <x:v>D06</x:v>
      </x:c>
      <x:c r="B2267" s="5" t="str">
        <x:v>D06-T01</x:v>
      </x:c>
      <x:c r="C2267" s="5" t="str">
        <x:v>5. Complete Company Financial Table (135 Facilities Analyzed)</x:v>
      </x:c>
      <x:c r="D2267" s="5" t="n">
        <x:v>305</x:v>
      </x:c>
      <x:c r="E2267" s="5" t="n">
        <x:v>3</x:v>
      </x:c>
      <x:c r="F2267" s="5" t="str">
        <x:v>Location</x:v>
      </x:c>
      <x:c r="G2267" s="5" t="n">
        <x:v>1</x:v>
      </x:c>
      <x:c r="H2267" s="5" t="n">
        <x:v>1</x:v>
      </x:c>
      <x:c r="I2267" s="5" t="str">
        <x:v>Uppsala, Sweden</x:v>
      </x:c>
      <x:c r="J2267" s="5" t="str">
        <x:v>SOURCE QUOTE; unvalidated / superseded assessments</x:v>
      </x:c>
      <x:c r="L2267" s="31" t="str">
        <x:v>D06, Markdown line 305; http://nas-1.tail55d152.ts.net:4100/static/MEDICAL_NORDICS_FINANCIALS_DOSSIER.html</x:v>
      </x:c>
    </x:row>
    <x:row r="2268" ht="42" customHeight="1">
      <x:c r="A2268" s="5" t="str">
        <x:v>D06</x:v>
      </x:c>
      <x:c r="B2268" s="5" t="str">
        <x:v>D06-T01</x:v>
      </x:c>
      <x:c r="C2268" s="5" t="str">
        <x:v>5. Complete Company Financial Table (135 Facilities Analyzed)</x:v>
      </x:c>
      <x:c r="D2268" s="5" t="n">
        <x:v>305</x:v>
      </x:c>
      <x:c r="E2268" s="5" t="n">
        <x:v>4</x:v>
      </x:c>
      <x:c r="F2268" s="5" t="str">
        <x:v>Focus Area</x:v>
      </x:c>
      <x:c r="G2268" s="5" t="n">
        <x:v>1</x:v>
      </x:c>
      <x:c r="H2268" s="5" t="n">
        <x:v>1</x:v>
      </x:c>
      <x:c r="I2268" s="5" t="str">
        <x:v>QuickMIC Ultra-Rapid AST Systems</x:v>
      </x:c>
      <x:c r="J2268" s="5" t="str">
        <x:v>SOURCE QUOTE; unvalidated / superseded assessments</x:v>
      </x:c>
      <x:c r="L2268" s="31" t="str">
        <x:v>D06, Markdown line 305; http://nas-1.tail55d152.ts.net:4100/static/MEDICAL_NORDICS_FINANCIALS_DOSSIER.html</x:v>
      </x:c>
    </x:row>
    <x:row r="2269" ht="42" customHeight="1">
      <x:c r="A2269" s="5" t="str">
        <x:v>D06</x:v>
      </x:c>
      <x:c r="B2269" s="5" t="str">
        <x:v>D06-T01</x:v>
      </x:c>
      <x:c r="C2269" s="5" t="str">
        <x:v>5. Complete Company Financial Table (135 Facilities Analyzed)</x:v>
      </x:c>
      <x:c r="D2269" s="5" t="n">
        <x:v>305</x:v>
      </x:c>
      <x:c r="E2269" s="5" t="n">
        <x:v>5</x:v>
      </x:c>
      <x:c r="F2269" s="5" t="str">
        <x:v>Revenue / Net Sales</x:v>
      </x:c>
      <x:c r="G2269" s="5" t="n">
        <x:v>1</x:v>
      </x:c>
      <x:c r="H2269" s="5" t="n">
        <x:v>1</x:v>
      </x:c>
      <x:c r="I2269" s="5" t="str">
        <x:v>SEK 2.1M</x:v>
      </x:c>
      <x:c r="J2269" s="5" t="str">
        <x:v>SOURCE QUOTE; unvalidated / superseded assessments</x:v>
      </x:c>
      <x:c r="L2269" s="31" t="str">
        <x:v>D06, Markdown line 305; http://nas-1.tail55d152.ts.net:4100/static/MEDICAL_NORDICS_FINANCIALS_DOSSIER.html</x:v>
      </x:c>
    </x:row>
    <x:row r="2270" ht="42" customHeight="1">
      <x:c r="A2270" s="5" t="str">
        <x:v>D06</x:v>
      </x:c>
      <x:c r="B2270" s="5" t="str">
        <x:v>D06-T01</x:v>
      </x:c>
      <x:c r="C2270" s="5" t="str">
        <x:v>5. Complete Company Financial Table (135 Facilities Analyzed)</x:v>
      </x:c>
      <x:c r="D2270" s="5" t="n">
        <x:v>305</x:v>
      </x:c>
      <x:c r="E2270" s="5" t="n">
        <x:v>6</x:v>
      </x:c>
      <x:c r="F2270" s="5" t="str">
        <x:v>R&amp;D Spend</x:v>
      </x:c>
      <x:c r="G2270" s="5" t="n">
        <x:v>1</x:v>
      </x:c>
      <x:c r="H2270" s="5" t="n">
        <x:v>1</x:v>
      </x:c>
      <x:c r="I2270" s="5" t="str">
        <x:v>SEK 46.8M</x:v>
      </x:c>
      <x:c r="J2270" s="5" t="str">
        <x:v>SOURCE QUOTE; unvalidated / superseded assessments</x:v>
      </x:c>
      <x:c r="L2270" s="31" t="str">
        <x:v>D06, Markdown line 305; http://nas-1.tail55d152.ts.net:4100/static/MEDICAL_NORDICS_FINANCIALS_DOSSIER.html</x:v>
      </x:c>
    </x:row>
    <x:row r="2271" ht="42" customHeight="1">
      <x:c r="A2271" s="5" t="str">
        <x:v>D06</x:v>
      </x:c>
      <x:c r="B2271" s="5" t="str">
        <x:v>D06-T01</x:v>
      </x:c>
      <x:c r="C2271" s="5" t="str">
        <x:v>5. Complete Company Financial Table (135 Facilities Analyzed)</x:v>
      </x:c>
      <x:c r="D2271" s="5" t="n">
        <x:v>305</x:v>
      </x:c>
      <x:c r="E2271" s="5" t="n">
        <x:v>7</x:v>
      </x:c>
      <x:c r="F2271" s="5" t="str">
        <x:v>Currency</x:v>
      </x:c>
      <x:c r="G2271" s="5" t="n">
        <x:v>1</x:v>
      </x:c>
      <x:c r="H2271" s="5" t="n">
        <x:v>1</x:v>
      </x:c>
      <x:c r="I2271" s="5" t="str">
        <x:v>SEK</x:v>
      </x:c>
      <x:c r="J2271" s="5" t="str">
        <x:v>SOURCE QUOTE; unvalidated / superseded assessments</x:v>
      </x:c>
      <x:c r="L2271" s="31" t="str">
        <x:v>D06, Markdown line 305; http://nas-1.tail55d152.ts.net:4100/static/MEDICAL_NORDICS_FINANCIALS_DOSSIER.html</x:v>
      </x:c>
    </x:row>
    <x:row r="2272" ht="42" customHeight="1">
      <x:c r="A2272" s="5" t="str">
        <x:v>D06</x:v>
      </x:c>
      <x:c r="B2272" s="5" t="str">
        <x:v>D06-T01</x:v>
      </x:c>
      <x:c r="C2272" s="5" t="str">
        <x:v>5. Complete Company Financial Table (135 Facilities Analyzed)</x:v>
      </x:c>
      <x:c r="D2272" s="5" t="n">
        <x:v>305</x:v>
      </x:c>
      <x:c r="E2272" s="5" t="n">
        <x:v>8</x:v>
      </x:c>
      <x:c r="F2272" s="5" t="str">
        <x:v>Fiscal Year</x:v>
      </x:c>
      <x:c r="G2272" s="5" t="n">
        <x:v>1</x:v>
      </x:c>
      <x:c r="H2272" s="5" t="n">
        <x:v>1</x:v>
      </x:c>
      <x:c r="I2272" s="5" t="str">
        <x:v>FY2023/24</x:v>
      </x:c>
      <x:c r="J2272" s="5" t="str">
        <x:v>SOURCE QUOTE; unvalidated / superseded assessments</x:v>
      </x:c>
      <x:c r="L2272" s="31" t="str">
        <x:v>D06, Markdown line 305; http://nas-1.tail55d152.ts.net:4100/static/MEDICAL_NORDICS_FINANCIALS_DOSSIER.html</x:v>
      </x:c>
    </x:row>
    <x:row r="2273" ht="42" customHeight="1">
      <x:c r="A2273" s="5" t="str">
        <x:v>D06</x:v>
      </x:c>
      <x:c r="B2273" s="5" t="str">
        <x:v>D06-T01</x:v>
      </x:c>
      <x:c r="C2273" s="5" t="str">
        <x:v>5. Complete Company Financial Table (135 Facilities Analyzed)</x:v>
      </x:c>
      <x:c r="D2273" s="5" t="n">
        <x:v>305</x:v>
      </x:c>
      <x:c r="E2273" s="5" t="n">
        <x:v>9</x:v>
      </x:c>
      <x:c r="F2273" s="5" t="str">
        <x:v>Status / Ownership / Strategic Service Alignment</x:v>
      </x:c>
      <x:c r="G2273" s="5" t="n">
        <x:v>1</x:v>
      </x:c>
      <x:c r="H2273" s="5" t="n">
        <x:v>1</x:v>
      </x:c>
      <x:c r="I2273" s="5" t="str">
        <x:v>Listed (First North: GRNT); Package A (ICU sepsis antibiotic stewardship HEOR models)</x:v>
      </x:c>
      <x:c r="J2273" s="5" t="str">
        <x:v>SOURCE QUOTE; unvalidated / superseded assessments</x:v>
      </x:c>
      <x:c r="L2273" s="31" t="str">
        <x:v>D06, Markdown line 305; http://nas-1.tail55d152.ts.net:4100/static/MEDICAL_NORDICS_FINANCIALS_DOSSIER.html</x:v>
      </x:c>
    </x:row>
    <x:row r="2274" ht="42" customHeight="1">
      <x:c r="A2274" s="5" t="str">
        <x:v>D06</x:v>
      </x:c>
      <x:c r="B2274" s="5" t="str">
        <x:v>D06-T01</x:v>
      </x:c>
      <x:c r="C2274" s="5" t="str">
        <x:v>5. Complete Company Financial Table (135 Facilities Analyzed)</x:v>
      </x:c>
      <x:c r="D2274" s="5" t="n">
        <x:v>306</x:v>
      </x:c>
      <x:c r="E2274" s="5" t="n">
        <x:v>1</x:v>
      </x:c>
      <x:c r="F2274" s="5" t="str">
        <x:v>#</x:v>
      </x:c>
      <x:c r="G2274" s="5" t="n">
        <x:v>1</x:v>
      </x:c>
      <x:c r="H2274" s="5" t="n">
        <x:v>1</x:v>
      </x:c>
      <x:c r="I2274" s="5" t="str">
        <x:v>125</x:v>
      </x:c>
      <x:c r="J2274" s="5" t="str">
        <x:v>SOURCE QUOTE; unvalidated / superseded assessments</x:v>
      </x:c>
      <x:c r="L2274" s="31" t="str">
        <x:v>D06, Markdown line 306; http://nas-1.tail55d152.ts.net:4100/static/MEDICAL_NORDICS_FINANCIALS_DOSSIER.html</x:v>
      </x:c>
    </x:row>
    <x:row r="2275" ht="42" customHeight="1">
      <x:c r="A2275" s="5" t="str">
        <x:v>D06</x:v>
      </x:c>
      <x:c r="B2275" s="5" t="str">
        <x:v>D06-T01</x:v>
      </x:c>
      <x:c r="C2275" s="5" t="str">
        <x:v>5. Complete Company Financial Table (135 Facilities Analyzed)</x:v>
      </x:c>
      <x:c r="D2275" s="5" t="n">
        <x:v>306</x:v>
      </x:c>
      <x:c r="E2275" s="5" t="n">
        <x:v>2</x:v>
      </x:c>
      <x:c r="F2275" s="5" t="str">
        <x:v>Company</x:v>
      </x:c>
      <x:c r="G2275" s="5" t="n">
        <x:v>1</x:v>
      </x:c>
      <x:c r="H2275" s="5" t="n">
        <x:v>1</x:v>
      </x:c>
      <x:c r="I2275" s="5" t="str">
        <x:v>Gyros Protein Technologies</x:v>
      </x:c>
      <x:c r="J2275" s="5" t="str">
        <x:v>SOURCE QUOTE; unvalidated / superseded assessments</x:v>
      </x:c>
      <x:c r="L2275" s="31" t="str">
        <x:v>D06, Markdown line 306; http://nas-1.tail55d152.ts.net:4100/static/MEDICAL_NORDICS_FINANCIALS_DOSSIER.html</x:v>
      </x:c>
    </x:row>
    <x:row r="2276" ht="42" customHeight="1">
      <x:c r="A2276" s="5" t="str">
        <x:v>D06</x:v>
      </x:c>
      <x:c r="B2276" s="5" t="str">
        <x:v>D06-T01</x:v>
      </x:c>
      <x:c r="C2276" s="5" t="str">
        <x:v>5. Complete Company Financial Table (135 Facilities Analyzed)</x:v>
      </x:c>
      <x:c r="D2276" s="5" t="n">
        <x:v>306</x:v>
      </x:c>
      <x:c r="E2276" s="5" t="n">
        <x:v>3</x:v>
      </x:c>
      <x:c r="F2276" s="5" t="str">
        <x:v>Location</x:v>
      </x:c>
      <x:c r="G2276" s="5" t="n">
        <x:v>1</x:v>
      </x:c>
      <x:c r="H2276" s="5" t="n">
        <x:v>1</x:v>
      </x:c>
      <x:c r="I2276" s="5" t="str">
        <x:v>Uppsala, Sweden</x:v>
      </x:c>
      <x:c r="J2276" s="5" t="str">
        <x:v>SOURCE QUOTE; unvalidated / superseded assessments</x:v>
      </x:c>
      <x:c r="L2276" s="31" t="str">
        <x:v>D06, Markdown line 306; http://nas-1.tail55d152.ts.net:4100/static/MEDICAL_NORDICS_FINANCIALS_DOSSIER.html</x:v>
      </x:c>
    </x:row>
    <x:row r="2277" ht="42" customHeight="1">
      <x:c r="A2277" s="5" t="str">
        <x:v>D06</x:v>
      </x:c>
      <x:c r="B2277" s="5" t="str">
        <x:v>D06-T01</x:v>
      </x:c>
      <x:c r="C2277" s="5" t="str">
        <x:v>5. Complete Company Financial Table (135 Facilities Analyzed)</x:v>
      </x:c>
      <x:c r="D2277" s="5" t="n">
        <x:v>306</x:v>
      </x:c>
      <x:c r="E2277" s="5" t="n">
        <x:v>4</x:v>
      </x:c>
      <x:c r="F2277" s="5" t="str">
        <x:v>Focus Area</x:v>
      </x:c>
      <x:c r="G2277" s="5" t="n">
        <x:v>1</x:v>
      </x:c>
      <x:c r="H2277" s="5" t="n">
        <x:v>1</x:v>
      </x:c>
      <x:c r="I2277" s="5" t="str">
        <x:v>Gyrolab Automated Immunoassay Platforms</x:v>
      </x:c>
      <x:c r="J2277" s="5" t="str">
        <x:v>SOURCE QUOTE; unvalidated / superseded assessments</x:v>
      </x:c>
      <x:c r="L2277" s="31" t="str">
        <x:v>D06, Markdown line 306; http://nas-1.tail55d152.ts.net:4100/static/MEDICAL_NORDICS_FINANCIALS_DOSSIER.html</x:v>
      </x:c>
    </x:row>
    <x:row r="2278" ht="42" customHeight="1">
      <x:c r="A2278" s="5" t="str">
        <x:v>D06</x:v>
      </x:c>
      <x:c r="B2278" s="5" t="str">
        <x:v>D06-T01</x:v>
      </x:c>
      <x:c r="C2278" s="5" t="str">
        <x:v>5. Complete Company Financial Table (135 Facilities Analyzed)</x:v>
      </x:c>
      <x:c r="D2278" s="5" t="n">
        <x:v>306</x:v>
      </x:c>
      <x:c r="E2278" s="5" t="n">
        <x:v>5</x:v>
      </x:c>
      <x:c r="F2278" s="5" t="str">
        <x:v>Revenue / Net Sales</x:v>
      </x:c>
      <x:c r="G2278" s="5" t="n">
        <x:v>1</x:v>
      </x:c>
      <x:c r="H2278" s="5" t="n">
        <x:v>1</x:v>
      </x:c>
      <x:c r="I2278" s="5" t="str">
        <x:v>USD 52.0M est. (~SEK 540M)</x:v>
      </x:c>
      <x:c r="J2278" s="5" t="str">
        <x:v>SOURCE QUOTE; unvalidated / superseded assessments</x:v>
      </x:c>
      <x:c r="L2278" s="31" t="str">
        <x:v>D06, Markdown line 306; http://nas-1.tail55d152.ts.net:4100/static/MEDICAL_NORDICS_FINANCIALS_DOSSIER.html</x:v>
      </x:c>
    </x:row>
    <x:row r="2279" ht="42" customHeight="1">
      <x:c r="A2279" s="5" t="str">
        <x:v>D06</x:v>
      </x:c>
      <x:c r="B2279" s="5" t="str">
        <x:v>D06-T01</x:v>
      </x:c>
      <x:c r="C2279" s="5" t="str">
        <x:v>5. Complete Company Financial Table (135 Facilities Analyzed)</x:v>
      </x:c>
      <x:c r="D2279" s="5" t="n">
        <x:v>306</x:v>
      </x:c>
      <x:c r="E2279" s="5" t="n">
        <x:v>6</x:v>
      </x:c>
      <x:c r="F2279" s="5" t="str">
        <x:v>R&amp;D Spend</x:v>
      </x:c>
      <x:c r="G2279" s="5" t="n">
        <x:v>1</x:v>
      </x:c>
      <x:c r="H2279" s="5" t="n">
        <x:v>1</x:v>
      </x:c>
      <x:c r="I2279" s="5" t="str">
        <x:v>USD 7.2M (~SEK 75M)</x:v>
      </x:c>
      <x:c r="J2279" s="5" t="str">
        <x:v>SOURCE QUOTE; unvalidated / superseded assessments</x:v>
      </x:c>
      <x:c r="L2279" s="31" t="str">
        <x:v>D06, Markdown line 306; http://nas-1.tail55d152.ts.net:4100/static/MEDICAL_NORDICS_FINANCIALS_DOSSIER.html</x:v>
      </x:c>
    </x:row>
    <x:row r="2280" ht="42" customHeight="1">
      <x:c r="A2280" s="5" t="str">
        <x:v>D06</x:v>
      </x:c>
      <x:c r="B2280" s="5" t="str">
        <x:v>D06-T01</x:v>
      </x:c>
      <x:c r="C2280" s="5" t="str">
        <x:v>5. Complete Company Financial Table (135 Facilities Analyzed)</x:v>
      </x:c>
      <x:c r="D2280" s="5" t="n">
        <x:v>306</x:v>
      </x:c>
      <x:c r="E2280" s="5" t="n">
        <x:v>7</x:v>
      </x:c>
      <x:c r="F2280" s="5" t="str">
        <x:v>Currency</x:v>
      </x:c>
      <x:c r="G2280" s="5" t="n">
        <x:v>1</x:v>
      </x:c>
      <x:c r="H2280" s="5" t="n">
        <x:v>1</x:v>
      </x:c>
      <x:c r="I2280" s="5" t="str">
        <x:v>USD</x:v>
      </x:c>
      <x:c r="J2280" s="5" t="str">
        <x:v>SOURCE QUOTE; unvalidated / superseded assessments</x:v>
      </x:c>
      <x:c r="L2280" s="31" t="str">
        <x:v>D06, Markdown line 306; http://nas-1.tail55d152.ts.net:4100/static/MEDICAL_NORDICS_FINANCIALS_DOSSIER.html</x:v>
      </x:c>
    </x:row>
    <x:row r="2281" ht="42" customHeight="1">
      <x:c r="A2281" s="5" t="str">
        <x:v>D06</x:v>
      </x:c>
      <x:c r="B2281" s="5" t="str">
        <x:v>D06-T01</x:v>
      </x:c>
      <x:c r="C2281" s="5" t="str">
        <x:v>5. Complete Company Financial Table (135 Facilities Analyzed)</x:v>
      </x:c>
      <x:c r="D2281" s="5" t="n">
        <x:v>306</x:v>
      </x:c>
      <x:c r="E2281" s="5" t="n">
        <x:v>8</x:v>
      </x:c>
      <x:c r="F2281" s="5" t="str">
        <x:v>Fiscal Year</x:v>
      </x:c>
      <x:c r="G2281" s="5" t="n">
        <x:v>1</x:v>
      </x:c>
      <x:c r="H2281" s="5" t="n">
        <x:v>1</x:v>
      </x:c>
      <x:c r="I2281" s="5" t="str">
        <x:v>FY2023/24</x:v>
      </x:c>
      <x:c r="J2281" s="5" t="str">
        <x:v>SOURCE QUOTE; unvalidated / superseded assessments</x:v>
      </x:c>
      <x:c r="L2281" s="31" t="str">
        <x:v>D06, Markdown line 306; http://nas-1.tail55d152.ts.net:4100/static/MEDICAL_NORDICS_FINANCIALS_DOSSIER.html</x:v>
      </x:c>
    </x:row>
    <x:row r="2282" ht="42" customHeight="1">
      <x:c r="A2282" s="5" t="str">
        <x:v>D06</x:v>
      </x:c>
      <x:c r="B2282" s="5" t="str">
        <x:v>D06-T01</x:v>
      </x:c>
      <x:c r="C2282" s="5" t="str">
        <x:v>5. Complete Company Financial Table (135 Facilities Analyzed)</x:v>
      </x:c>
      <x:c r="D2282" s="5" t="n">
        <x:v>306</x:v>
      </x:c>
      <x:c r="E2282" s="5" t="n">
        <x:v>9</x:v>
      </x:c>
      <x:c r="F2282" s="5" t="str">
        <x:v>Status / Ownership / Strategic Service Alignment</x:v>
      </x:c>
      <x:c r="G2282" s="5" t="n">
        <x:v>1</x:v>
      </x:c>
      <x:c r="H2282" s="5" t="n">
        <x:v>1</x:v>
      </x:c>
      <x:c r="I2282" s="5" t="str">
        <x:v>Mesa Labs (Nasdaq: MLAB); Package A (Biopharma bioanalysis instrument utilization DaaS)</x:v>
      </x:c>
      <x:c r="J2282" s="5" t="str">
        <x:v>SOURCE QUOTE; unvalidated / superseded assessments</x:v>
      </x:c>
      <x:c r="L2282" s="31" t="str">
        <x:v>D06, Markdown line 306; http://nas-1.tail55d152.ts.net:4100/static/MEDICAL_NORDICS_FINANCIALS_DOSSIER.html</x:v>
      </x:c>
    </x:row>
    <x:row r="2283" ht="42" customHeight="1">
      <x:c r="A2283" s="5" t="str">
        <x:v>D06</x:v>
      </x:c>
      <x:c r="B2283" s="5" t="str">
        <x:v>D06-T01</x:v>
      </x:c>
      <x:c r="C2283" s="5" t="str">
        <x:v>5. Complete Company Financial Table (135 Facilities Analyzed)</x:v>
      </x:c>
      <x:c r="D2283" s="5" t="n">
        <x:v>307</x:v>
      </x:c>
      <x:c r="E2283" s="5" t="n">
        <x:v>1</x:v>
      </x:c>
      <x:c r="F2283" s="5" t="str">
        <x:v>#</x:v>
      </x:c>
      <x:c r="G2283" s="5" t="n">
        <x:v>1</x:v>
      </x:c>
      <x:c r="H2283" s="5" t="n">
        <x:v>1</x:v>
      </x:c>
      <x:c r="I2283" s="5" t="str">
        <x:v>126</x:v>
      </x:c>
      <x:c r="J2283" s="5" t="str">
        <x:v>SOURCE QUOTE; unvalidated / superseded assessments</x:v>
      </x:c>
      <x:c r="L2283" s="31" t="str">
        <x:v>D06, Markdown line 307; http://nas-1.tail55d152.ts.net:4100/static/MEDICAL_NORDICS_FINANCIALS_DOSSIER.html</x:v>
      </x:c>
    </x:row>
    <x:row r="2284" ht="42" customHeight="1">
      <x:c r="A2284" s="5" t="str">
        <x:v>D06</x:v>
      </x:c>
      <x:c r="B2284" s="5" t="str">
        <x:v>D06-T01</x:v>
      </x:c>
      <x:c r="C2284" s="5" t="str">
        <x:v>5. Complete Company Financial Table (135 Facilities Analyzed)</x:v>
      </x:c>
      <x:c r="D2284" s="5" t="n">
        <x:v>307</x:v>
      </x:c>
      <x:c r="E2284" s="5" t="n">
        <x:v>2</x:v>
      </x:c>
      <x:c r="F2284" s="5" t="str">
        <x:v>Company</x:v>
      </x:c>
      <x:c r="G2284" s="5" t="n">
        <x:v>1</x:v>
      </x:c>
      <x:c r="H2284" s="5" t="n">
        <x:v>1</x:v>
      </x:c>
      <x:c r="I2284" s="5" t="str">
        <x:v>Navinci Diagnostics</x:v>
      </x:c>
      <x:c r="J2284" s="5" t="str">
        <x:v>SOURCE QUOTE; unvalidated / superseded assessments</x:v>
      </x:c>
      <x:c r="L2284" s="31" t="str">
        <x:v>D06, Markdown line 307; http://nas-1.tail55d152.ts.net:4100/static/MEDICAL_NORDICS_FINANCIALS_DOSSIER.html</x:v>
      </x:c>
    </x:row>
    <x:row r="2285" ht="42" customHeight="1">
      <x:c r="A2285" s="5" t="str">
        <x:v>D06</x:v>
      </x:c>
      <x:c r="B2285" s="5" t="str">
        <x:v>D06-T01</x:v>
      </x:c>
      <x:c r="C2285" s="5" t="str">
        <x:v>5. Complete Company Financial Table (135 Facilities Analyzed)</x:v>
      </x:c>
      <x:c r="D2285" s="5" t="n">
        <x:v>307</x:v>
      </x:c>
      <x:c r="E2285" s="5" t="n">
        <x:v>3</x:v>
      </x:c>
      <x:c r="F2285" s="5" t="str">
        <x:v>Location</x:v>
      </x:c>
      <x:c r="G2285" s="5" t="n">
        <x:v>1</x:v>
      </x:c>
      <x:c r="H2285" s="5" t="n">
        <x:v>1</x:v>
      </x:c>
      <x:c r="I2285" s="5" t="str">
        <x:v>Uppsala, Sweden</x:v>
      </x:c>
      <x:c r="J2285" s="5" t="str">
        <x:v>SOURCE QUOTE; unvalidated / superseded assessments</x:v>
      </x:c>
      <x:c r="L2285" s="31" t="str">
        <x:v>D06, Markdown line 307; http://nas-1.tail55d152.ts.net:4100/static/MEDICAL_NORDICS_FINANCIALS_DOSSIER.html</x:v>
      </x:c>
    </x:row>
    <x:row r="2286" ht="42" customHeight="1">
      <x:c r="A2286" s="5" t="str">
        <x:v>D06</x:v>
      </x:c>
      <x:c r="B2286" s="5" t="str">
        <x:v>D06-T01</x:v>
      </x:c>
      <x:c r="C2286" s="5" t="str">
        <x:v>5. Complete Company Financial Table (135 Facilities Analyzed)</x:v>
      </x:c>
      <x:c r="D2286" s="5" t="n">
        <x:v>307</x:v>
      </x:c>
      <x:c r="E2286" s="5" t="n">
        <x:v>4</x:v>
      </x:c>
      <x:c r="F2286" s="5" t="str">
        <x:v>Focus Area</x:v>
      </x:c>
      <x:c r="G2286" s="5" t="n">
        <x:v>1</x:v>
      </x:c>
      <x:c r="H2286" s="5" t="n">
        <x:v>1</x:v>
      </x:c>
      <x:c r="I2286" s="5" t="str">
        <x:v>In Situ Proximity Ligation Assay Kits</x:v>
      </x:c>
      <x:c r="J2286" s="5" t="str">
        <x:v>SOURCE QUOTE; unvalidated / superseded assessments</x:v>
      </x:c>
      <x:c r="L2286" s="31" t="str">
        <x:v>D06, Markdown line 307; http://nas-1.tail55d152.ts.net:4100/static/MEDICAL_NORDICS_FINANCIALS_DOSSIER.html</x:v>
      </x:c>
    </x:row>
    <x:row r="2287" ht="42" customHeight="1">
      <x:c r="A2287" s="5" t="str">
        <x:v>D06</x:v>
      </x:c>
      <x:c r="B2287" s="5" t="str">
        <x:v>D06-T01</x:v>
      </x:c>
      <x:c r="C2287" s="5" t="str">
        <x:v>5. Complete Company Financial Table (135 Facilities Analyzed)</x:v>
      </x:c>
      <x:c r="D2287" s="5" t="n">
        <x:v>307</x:v>
      </x:c>
      <x:c r="E2287" s="5" t="n">
        <x:v>5</x:v>
      </x:c>
      <x:c r="F2287" s="5" t="str">
        <x:v>Revenue / Net Sales</x:v>
      </x:c>
      <x:c r="G2287" s="5" t="n">
        <x:v>1</x:v>
      </x:c>
      <x:c r="H2287" s="5" t="n">
        <x:v>1</x:v>
      </x:c>
      <x:c r="I2287" s="5" t="str">
        <x:v>SEK 18.1M (72% YoY growth)</x:v>
      </x:c>
      <x:c r="J2287" s="5" t="str">
        <x:v>SOURCE QUOTE; unvalidated / superseded assessments</x:v>
      </x:c>
      <x:c r="L2287" s="31" t="str">
        <x:v>D06, Markdown line 307; http://nas-1.tail55d152.ts.net:4100/static/MEDICAL_NORDICS_FINANCIALS_DOSSIER.html</x:v>
      </x:c>
    </x:row>
    <x:row r="2288" ht="42" customHeight="1">
      <x:c r="A2288" s="5" t="str">
        <x:v>D06</x:v>
      </x:c>
      <x:c r="B2288" s="5" t="str">
        <x:v>D06-T01</x:v>
      </x:c>
      <x:c r="C2288" s="5" t="str">
        <x:v>5. Complete Company Financial Table (135 Facilities Analyzed)</x:v>
      </x:c>
      <x:c r="D2288" s="5" t="n">
        <x:v>307</x:v>
      </x:c>
      <x:c r="E2288" s="5" t="n">
        <x:v>6</x:v>
      </x:c>
      <x:c r="F2288" s="5" t="str">
        <x:v>R&amp;D Spend</x:v>
      </x:c>
      <x:c r="G2288" s="5" t="n">
        <x:v>1</x:v>
      </x:c>
      <x:c r="H2288" s="5" t="n">
        <x:v>1</x:v>
      </x:c>
      <x:c r="I2288" s="5" t="str">
        <x:v>SEK 25.0M</x:v>
      </x:c>
      <x:c r="J2288" s="5" t="str">
        <x:v>SOURCE QUOTE; unvalidated / superseded assessments</x:v>
      </x:c>
      <x:c r="L2288" s="31" t="str">
        <x:v>D06, Markdown line 307; http://nas-1.tail55d152.ts.net:4100/static/MEDICAL_NORDICS_FINANCIALS_DOSSIER.html</x:v>
      </x:c>
    </x:row>
    <x:row r="2289" ht="42" customHeight="1">
      <x:c r="A2289" s="5" t="str">
        <x:v>D06</x:v>
      </x:c>
      <x:c r="B2289" s="5" t="str">
        <x:v>D06-T01</x:v>
      </x:c>
      <x:c r="C2289" s="5" t="str">
        <x:v>5. Complete Company Financial Table (135 Facilities Analyzed)</x:v>
      </x:c>
      <x:c r="D2289" s="5" t="n">
        <x:v>307</x:v>
      </x:c>
      <x:c r="E2289" s="5" t="n">
        <x:v>7</x:v>
      </x:c>
      <x:c r="F2289" s="5" t="str">
        <x:v>Currency</x:v>
      </x:c>
      <x:c r="G2289" s="5" t="n">
        <x:v>1</x:v>
      </x:c>
      <x:c r="H2289" s="5" t="n">
        <x:v>1</x:v>
      </x:c>
      <x:c r="I2289" s="5" t="str">
        <x:v>SEK</x:v>
      </x:c>
      <x:c r="J2289" s="5" t="str">
        <x:v>SOURCE QUOTE; unvalidated / superseded assessments</x:v>
      </x:c>
      <x:c r="L2289" s="31" t="str">
        <x:v>D06, Markdown line 307; http://nas-1.tail55d152.ts.net:4100/static/MEDICAL_NORDICS_FINANCIALS_DOSSIER.html</x:v>
      </x:c>
    </x:row>
    <x:row r="2290" ht="42" customHeight="1">
      <x:c r="A2290" s="5" t="str">
        <x:v>D06</x:v>
      </x:c>
      <x:c r="B2290" s="5" t="str">
        <x:v>D06-T01</x:v>
      </x:c>
      <x:c r="C2290" s="5" t="str">
        <x:v>5. Complete Company Financial Table (135 Facilities Analyzed)</x:v>
      </x:c>
      <x:c r="D2290" s="5" t="n">
        <x:v>307</x:v>
      </x:c>
      <x:c r="E2290" s="5" t="n">
        <x:v>8</x:v>
      </x:c>
      <x:c r="F2290" s="5" t="str">
        <x:v>Fiscal Year</x:v>
      </x:c>
      <x:c r="G2290" s="5" t="n">
        <x:v>1</x:v>
      </x:c>
      <x:c r="H2290" s="5" t="n">
        <x:v>1</x:v>
      </x:c>
      <x:c r="I2290" s="5" t="str">
        <x:v>FY2024/25</x:v>
      </x:c>
      <x:c r="J2290" s="5" t="str">
        <x:v>SOURCE QUOTE; unvalidated / superseded assessments</x:v>
      </x:c>
      <x:c r="L2290" s="31" t="str">
        <x:v>D06, Markdown line 307; http://nas-1.tail55d152.ts.net:4100/static/MEDICAL_NORDICS_FINANCIALS_DOSSIER.html</x:v>
      </x:c>
    </x:row>
    <x:row r="2291" ht="42" customHeight="1">
      <x:c r="A2291" s="5" t="str">
        <x:v>D06</x:v>
      </x:c>
      <x:c r="B2291" s="5" t="str">
        <x:v>D06-T01</x:v>
      </x:c>
      <x:c r="C2291" s="5" t="str">
        <x:v>5. Complete Company Financial Table (135 Facilities Analyzed)</x:v>
      </x:c>
      <x:c r="D2291" s="5" t="n">
        <x:v>307</x:v>
      </x:c>
      <x:c r="E2291" s="5" t="n">
        <x:v>9</x:v>
      </x:c>
      <x:c r="F2291" s="5" t="str">
        <x:v>Status / Ownership / Strategic Service Alignment</x:v>
      </x:c>
      <x:c r="G2291" s="5" t="n">
        <x:v>1</x:v>
      </x:c>
      <x:c r="H2291" s="5" t="n">
        <x:v>1</x:v>
      </x:c>
      <x:c r="I2291" s="5" t="str">
        <x:v>Private (€5.3M funding); Package A &amp; C (Protein interaction imaging kit sales scaling)</x:v>
      </x:c>
      <x:c r="J2291" s="5" t="str">
        <x:v>SOURCE QUOTE; unvalidated / superseded assessments</x:v>
      </x:c>
      <x:c r="L2291" s="31" t="str">
        <x:v>D06, Markdown line 307; http://nas-1.tail55d152.ts.net:4100/static/MEDICAL_NORDICS_FINANCIALS_DOSSIER.html</x:v>
      </x:c>
    </x:row>
    <x:row r="2292" ht="42" customHeight="1">
      <x:c r="A2292" s="5" t="str">
        <x:v>D06</x:v>
      </x:c>
      <x:c r="B2292" s="5" t="str">
        <x:v>D06-T01</x:v>
      </x:c>
      <x:c r="C2292" s="5" t="str">
        <x:v>5. Complete Company Financial Table (135 Facilities Analyzed)</x:v>
      </x:c>
      <x:c r="D2292" s="5" t="n">
        <x:v>308</x:v>
      </x:c>
      <x:c r="E2292" s="5" t="n">
        <x:v>1</x:v>
      </x:c>
      <x:c r="F2292" s="5" t="str">
        <x:v>#</x:v>
      </x:c>
      <x:c r="G2292" s="5" t="n">
        <x:v>1</x:v>
      </x:c>
      <x:c r="H2292" s="5" t="n">
        <x:v>1</x:v>
      </x:c>
      <x:c r="I2292" s="5" t="str">
        <x:v>127</x:v>
      </x:c>
      <x:c r="J2292" s="5" t="str">
        <x:v>SOURCE QUOTE; unvalidated / superseded assessments</x:v>
      </x:c>
      <x:c r="L2292" s="31" t="str">
        <x:v>D06, Markdown line 308; http://nas-1.tail55d152.ts.net:4100/static/MEDICAL_NORDICS_FINANCIALS_DOSSIER.html</x:v>
      </x:c>
    </x:row>
    <x:row r="2293" ht="42" customHeight="1">
      <x:c r="A2293" s="5" t="str">
        <x:v>D06</x:v>
      </x:c>
      <x:c r="B2293" s="5" t="str">
        <x:v>D06-T01</x:v>
      </x:c>
      <x:c r="C2293" s="5" t="str">
        <x:v>5. Complete Company Financial Table (135 Facilities Analyzed)</x:v>
      </x:c>
      <x:c r="D2293" s="5" t="n">
        <x:v>308</x:v>
      </x:c>
      <x:c r="E2293" s="5" t="n">
        <x:v>2</x:v>
      </x:c>
      <x:c r="F2293" s="5" t="str">
        <x:v>Company</x:v>
      </x:c>
      <x:c r="G2293" s="5" t="n">
        <x:v>1</x:v>
      </x:c>
      <x:c r="H2293" s="5" t="n">
        <x:v>1</x:v>
      </x:c>
      <x:c r="I2293" s="5" t="str">
        <x:v>NIOX</x:v>
      </x:c>
      <x:c r="J2293" s="5" t="str">
        <x:v>SOURCE QUOTE; unvalidated / superseded assessments</x:v>
      </x:c>
      <x:c r="L2293" s="31" t="str">
        <x:v>D06, Markdown line 308; http://nas-1.tail55d152.ts.net:4100/static/MEDICAL_NORDICS_FINANCIALS_DOSSIER.html</x:v>
      </x:c>
    </x:row>
    <x:row r="2294" ht="42" customHeight="1">
      <x:c r="A2294" s="5" t="str">
        <x:v>D06</x:v>
      </x:c>
      <x:c r="B2294" s="5" t="str">
        <x:v>D06-T01</x:v>
      </x:c>
      <x:c r="C2294" s="5" t="str">
        <x:v>5. Complete Company Financial Table (135 Facilities Analyzed)</x:v>
      </x:c>
      <x:c r="D2294" s="5" t="n">
        <x:v>308</x:v>
      </x:c>
      <x:c r="E2294" s="5" t="n">
        <x:v>3</x:v>
      </x:c>
      <x:c r="F2294" s="5" t="str">
        <x:v>Location</x:v>
      </x:c>
      <x:c r="G2294" s="5" t="n">
        <x:v>1</x:v>
      </x:c>
      <x:c r="H2294" s="5" t="n">
        <x:v>1</x:v>
      </x:c>
      <x:c r="I2294" s="5" t="str">
        <x:v>Uppsala, Sweden</x:v>
      </x:c>
      <x:c r="J2294" s="5" t="str">
        <x:v>SOURCE QUOTE; unvalidated / superseded assessments</x:v>
      </x:c>
      <x:c r="L2294" s="31" t="str">
        <x:v>D06, Markdown line 308; http://nas-1.tail55d152.ts.net:4100/static/MEDICAL_NORDICS_FINANCIALS_DOSSIER.html</x:v>
      </x:c>
    </x:row>
    <x:row r="2295" ht="42" customHeight="1">
      <x:c r="A2295" s="5" t="str">
        <x:v>D06</x:v>
      </x:c>
      <x:c r="B2295" s="5" t="str">
        <x:v>D06-T01</x:v>
      </x:c>
      <x:c r="C2295" s="5" t="str">
        <x:v>5. Complete Company Financial Table (135 Facilities Analyzed)</x:v>
      </x:c>
      <x:c r="D2295" s="5" t="n">
        <x:v>308</x:v>
      </x:c>
      <x:c r="E2295" s="5" t="n">
        <x:v>4</x:v>
      </x:c>
      <x:c r="F2295" s="5" t="str">
        <x:v>Focus Area</x:v>
      </x:c>
      <x:c r="G2295" s="5" t="n">
        <x:v>1</x:v>
      </x:c>
      <x:c r="H2295" s="5" t="n">
        <x:v>1</x:v>
      </x:c>
      <x:c r="I2295" s="5" t="str">
        <x:v>NIOX VERO FeNO Asthma Management</x:v>
      </x:c>
      <x:c r="J2295" s="5" t="str">
        <x:v>SOURCE QUOTE; unvalidated / superseded assessments</x:v>
      </x:c>
      <x:c r="L2295" s="31" t="str">
        <x:v>D06, Markdown line 308; http://nas-1.tail55d152.ts.net:4100/static/MEDICAL_NORDICS_FINANCIALS_DOSSIER.html</x:v>
      </x:c>
    </x:row>
    <x:row r="2296" ht="42" customHeight="1">
      <x:c r="A2296" s="5" t="str">
        <x:v>D06</x:v>
      </x:c>
      <x:c r="B2296" s="5" t="str">
        <x:v>D06-T01</x:v>
      </x:c>
      <x:c r="C2296" s="5" t="str">
        <x:v>5. Complete Company Financial Table (135 Facilities Analyzed)</x:v>
      </x:c>
      <x:c r="D2296" s="5" t="n">
        <x:v>308</x:v>
      </x:c>
      <x:c r="E2296" s="5" t="n">
        <x:v>5</x:v>
      </x:c>
      <x:c r="F2296" s="5" t="str">
        <x:v>Revenue / Net Sales</x:v>
      </x:c>
      <x:c r="G2296" s="5" t="n">
        <x:v>1</x:v>
      </x:c>
      <x:c r="H2296" s="5" t="n">
        <x:v>1</x:v>
      </x:c>
      <x:c r="I2296" s="5" t="str">
        <x:v>GBP 41.8M (~SEK 570M)</x:v>
      </x:c>
      <x:c r="J2296" s="5" t="str">
        <x:v>SOURCE QUOTE; unvalidated / superseded assessments</x:v>
      </x:c>
      <x:c r="L2296" s="31" t="str">
        <x:v>D06, Markdown line 308; http://nas-1.tail55d152.ts.net:4100/static/MEDICAL_NORDICS_FINANCIALS_DOSSIER.html</x:v>
      </x:c>
    </x:row>
    <x:row r="2297" ht="42" customHeight="1">
      <x:c r="A2297" s="5" t="str">
        <x:v>D06</x:v>
      </x:c>
      <x:c r="B2297" s="5" t="str">
        <x:v>D06-T01</x:v>
      </x:c>
      <x:c r="C2297" s="5" t="str">
        <x:v>5. Complete Company Financial Table (135 Facilities Analyzed)</x:v>
      </x:c>
      <x:c r="D2297" s="5" t="n">
        <x:v>308</x:v>
      </x:c>
      <x:c r="E2297" s="5" t="n">
        <x:v>6</x:v>
      </x:c>
      <x:c r="F2297" s="5" t="str">
        <x:v>R&amp;D Spend</x:v>
      </x:c>
      <x:c r="G2297" s="5" t="n">
        <x:v>1</x:v>
      </x:c>
      <x:c r="H2297" s="5" t="n">
        <x:v>1</x:v>
      </x:c>
      <x:c r="I2297" s="5" t="str">
        <x:v>GBP 4.2M (~SEK 57M)</x:v>
      </x:c>
      <x:c r="J2297" s="5" t="str">
        <x:v>SOURCE QUOTE; unvalidated / superseded assessments</x:v>
      </x:c>
      <x:c r="L2297" s="31" t="str">
        <x:v>D06, Markdown line 308; http://nas-1.tail55d152.ts.net:4100/static/MEDICAL_NORDICS_FINANCIALS_DOSSIER.html</x:v>
      </x:c>
    </x:row>
    <x:row r="2298" ht="42" customHeight="1">
      <x:c r="A2298" s="5" t="str">
        <x:v>D06</x:v>
      </x:c>
      <x:c r="B2298" s="5" t="str">
        <x:v>D06-T01</x:v>
      </x:c>
      <x:c r="C2298" s="5" t="str">
        <x:v>5. Complete Company Financial Table (135 Facilities Analyzed)</x:v>
      </x:c>
      <x:c r="D2298" s="5" t="n">
        <x:v>308</x:v>
      </x:c>
      <x:c r="E2298" s="5" t="n">
        <x:v>7</x:v>
      </x:c>
      <x:c r="F2298" s="5" t="str">
        <x:v>Currency</x:v>
      </x:c>
      <x:c r="G2298" s="5" t="n">
        <x:v>1</x:v>
      </x:c>
      <x:c r="H2298" s="5" t="n">
        <x:v>1</x:v>
      </x:c>
      <x:c r="I2298" s="5" t="str">
        <x:v>GBP</x:v>
      </x:c>
      <x:c r="J2298" s="5" t="str">
        <x:v>SOURCE QUOTE; unvalidated / superseded assessments</x:v>
      </x:c>
      <x:c r="L2298" s="31" t="str">
        <x:v>D06, Markdown line 308; http://nas-1.tail55d152.ts.net:4100/static/MEDICAL_NORDICS_FINANCIALS_DOSSIER.html</x:v>
      </x:c>
    </x:row>
    <x:row r="2299" ht="42" customHeight="1">
      <x:c r="A2299" s="5" t="str">
        <x:v>D06</x:v>
      </x:c>
      <x:c r="B2299" s="5" t="str">
        <x:v>D06-T01</x:v>
      </x:c>
      <x:c r="C2299" s="5" t="str">
        <x:v>5. Complete Company Financial Table (135 Facilities Analyzed)</x:v>
      </x:c>
      <x:c r="D2299" s="5" t="n">
        <x:v>308</x:v>
      </x:c>
      <x:c r="E2299" s="5" t="n">
        <x:v>8</x:v>
      </x:c>
      <x:c r="F2299" s="5" t="str">
        <x:v>Fiscal Year</x:v>
      </x:c>
      <x:c r="G2299" s="5" t="n">
        <x:v>1</x:v>
      </x:c>
      <x:c r="H2299" s="5" t="n">
        <x:v>1</x:v>
      </x:c>
      <x:c r="I2299" s="5" t="str">
        <x:v>FY2024</x:v>
      </x:c>
      <x:c r="J2299" s="5" t="str">
        <x:v>SOURCE QUOTE; unvalidated / superseded assessments</x:v>
      </x:c>
      <x:c r="L2299" s="31" t="str">
        <x:v>D06, Markdown line 308; http://nas-1.tail55d152.ts.net:4100/static/MEDICAL_NORDICS_FINANCIALS_DOSSIER.html</x:v>
      </x:c>
    </x:row>
    <x:row r="2300" ht="42" customHeight="1">
      <x:c r="A2300" s="5" t="str">
        <x:v>D06</x:v>
      </x:c>
      <x:c r="B2300" s="5" t="str">
        <x:v>D06-T01</x:v>
      </x:c>
      <x:c r="C2300" s="5" t="str">
        <x:v>5. Complete Company Financial Table (135 Facilities Analyzed)</x:v>
      </x:c>
      <x:c r="D2300" s="5" t="n">
        <x:v>308</x:v>
      </x:c>
      <x:c r="E2300" s="5" t="n">
        <x:v>9</x:v>
      </x:c>
      <x:c r="F2300" s="5" t="str">
        <x:v>Status / Ownership / Strategic Service Alignment</x:v>
      </x:c>
      <x:c r="G2300" s="5" t="n">
        <x:v>1</x:v>
      </x:c>
      <x:c r="H2300" s="5" t="n">
        <x:v>1</x:v>
      </x:c>
      <x:c r="I2300" s="5" t="str">
        <x:v>Listed (LSE AIM: NIOX); Package A (Primary care respiratory test reimbursement models)</x:v>
      </x:c>
      <x:c r="J2300" s="5" t="str">
        <x:v>SOURCE QUOTE; unvalidated / superseded assessments</x:v>
      </x:c>
      <x:c r="L2300" s="31" t="str">
        <x:v>D06, Markdown line 308; http://nas-1.tail55d152.ts.net:4100/static/MEDICAL_NORDICS_FINANCIALS_DOSSIER.html</x:v>
      </x:c>
    </x:row>
    <x:row r="2301" ht="42" customHeight="1">
      <x:c r="A2301" s="5" t="str">
        <x:v>D06</x:v>
      </x:c>
      <x:c r="B2301" s="5" t="str">
        <x:v>D06-T01</x:v>
      </x:c>
      <x:c r="C2301" s="5" t="str">
        <x:v>5. Complete Company Financial Table (135 Facilities Analyzed)</x:v>
      </x:c>
      <x:c r="D2301" s="5" t="n">
        <x:v>309</x:v>
      </x:c>
      <x:c r="E2301" s="5" t="n">
        <x:v>1</x:v>
      </x:c>
      <x:c r="F2301" s="5" t="str">
        <x:v>#</x:v>
      </x:c>
      <x:c r="G2301" s="5" t="n">
        <x:v>1</x:v>
      </x:c>
      <x:c r="H2301" s="5" t="n">
        <x:v>1</x:v>
      </x:c>
      <x:c r="I2301" s="5" t="str">
        <x:v>128</x:v>
      </x:c>
      <x:c r="J2301" s="5" t="str">
        <x:v>SOURCE QUOTE; unvalidated / superseded assessments</x:v>
      </x:c>
      <x:c r="L2301" s="31" t="str">
        <x:v>D06, Markdown line 309; http://nas-1.tail55d152.ts.net:4100/static/MEDICAL_NORDICS_FINANCIALS_DOSSIER.html</x:v>
      </x:c>
    </x:row>
    <x:row r="2302" ht="42" customHeight="1">
      <x:c r="A2302" s="5" t="str">
        <x:v>D06</x:v>
      </x:c>
      <x:c r="B2302" s="5" t="str">
        <x:v>D06-T01</x:v>
      </x:c>
      <x:c r="C2302" s="5" t="str">
        <x:v>5. Complete Company Financial Table (135 Facilities Analyzed)</x:v>
      </x:c>
      <x:c r="D2302" s="5" t="n">
        <x:v>309</x:v>
      </x:c>
      <x:c r="E2302" s="5" t="n">
        <x:v>2</x:v>
      </x:c>
      <x:c r="F2302" s="5" t="str">
        <x:v>Company</x:v>
      </x:c>
      <x:c r="G2302" s="5" t="n">
        <x:v>1</x:v>
      </x:c>
      <x:c r="H2302" s="5" t="n">
        <x:v>1</x:v>
      </x:c>
      <x:c r="I2302" s="5" t="str">
        <x:v>Orexo</x:v>
      </x:c>
      <x:c r="J2302" s="5" t="str">
        <x:v>SOURCE QUOTE; unvalidated / superseded assessments</x:v>
      </x:c>
      <x:c r="L2302" s="31" t="str">
        <x:v>D06, Markdown line 309; http://nas-1.tail55d152.ts.net:4100/static/MEDICAL_NORDICS_FINANCIALS_DOSSIER.html</x:v>
      </x:c>
    </x:row>
    <x:row r="2303" ht="42" customHeight="1">
      <x:c r="A2303" s="5" t="str">
        <x:v>D06</x:v>
      </x:c>
      <x:c r="B2303" s="5" t="str">
        <x:v>D06-T01</x:v>
      </x:c>
      <x:c r="C2303" s="5" t="str">
        <x:v>5. Complete Company Financial Table (135 Facilities Analyzed)</x:v>
      </x:c>
      <x:c r="D2303" s="5" t="n">
        <x:v>309</x:v>
      </x:c>
      <x:c r="E2303" s="5" t="n">
        <x:v>3</x:v>
      </x:c>
      <x:c r="F2303" s="5" t="str">
        <x:v>Location</x:v>
      </x:c>
      <x:c r="G2303" s="5" t="n">
        <x:v>1</x:v>
      </x:c>
      <x:c r="H2303" s="5" t="n">
        <x:v>1</x:v>
      </x:c>
      <x:c r="I2303" s="5" t="str">
        <x:v>Uppsala, Sweden</x:v>
      </x:c>
      <x:c r="J2303" s="5" t="str">
        <x:v>SOURCE QUOTE; unvalidated / superseded assessments</x:v>
      </x:c>
      <x:c r="L2303" s="31" t="str">
        <x:v>D06, Markdown line 309; http://nas-1.tail55d152.ts.net:4100/static/MEDICAL_NORDICS_FINANCIALS_DOSSIER.html</x:v>
      </x:c>
    </x:row>
    <x:row r="2304" ht="42" customHeight="1">
      <x:c r="A2304" s="5" t="str">
        <x:v>D06</x:v>
      </x:c>
      <x:c r="B2304" s="5" t="str">
        <x:v>D06-T01</x:v>
      </x:c>
      <x:c r="C2304" s="5" t="str">
        <x:v>5. Complete Company Financial Table (135 Facilities Analyzed)</x:v>
      </x:c>
      <x:c r="D2304" s="5" t="n">
        <x:v>309</x:v>
      </x:c>
      <x:c r="E2304" s="5" t="n">
        <x:v>4</x:v>
      </x:c>
      <x:c r="F2304" s="5" t="str">
        <x:v>Focus Area</x:v>
      </x:c>
      <x:c r="G2304" s="5" t="n">
        <x:v>1</x:v>
      </x:c>
      <x:c r="H2304" s="5" t="n">
        <x:v>1</x:v>
      </x:c>
      <x:c r="I2304" s="5" t="str">
        <x:v>Zubsolv &amp; AmorphOX Nasal Formulations</x:v>
      </x:c>
      <x:c r="J2304" s="5" t="str">
        <x:v>SOURCE QUOTE; unvalidated / superseded assessments</x:v>
      </x:c>
      <x:c r="L2304" s="31" t="str">
        <x:v>D06, Markdown line 309; http://nas-1.tail55d152.ts.net:4100/static/MEDICAL_NORDICS_FINANCIALS_DOSSIER.html</x:v>
      </x:c>
    </x:row>
    <x:row r="2305" ht="42" customHeight="1">
      <x:c r="A2305" s="5" t="str">
        <x:v>D06</x:v>
      </x:c>
      <x:c r="B2305" s="5" t="str">
        <x:v>D06-T01</x:v>
      </x:c>
      <x:c r="C2305" s="5" t="str">
        <x:v>5. Complete Company Financial Table (135 Facilities Analyzed)</x:v>
      </x:c>
      <x:c r="D2305" s="5" t="n">
        <x:v>309</x:v>
      </x:c>
      <x:c r="E2305" s="5" t="n">
        <x:v>5</x:v>
      </x:c>
      <x:c r="F2305" s="5" t="str">
        <x:v>Revenue / Net Sales</x:v>
      </x:c>
      <x:c r="G2305" s="5" t="n">
        <x:v>1</x:v>
      </x:c>
      <x:c r="H2305" s="5" t="n">
        <x:v>1</x:v>
      </x:c>
      <x:c r="I2305" s="5" t="str">
        <x:v>SEK 590.0M</x:v>
      </x:c>
      <x:c r="J2305" s="5" t="str">
        <x:v>SOURCE QUOTE; unvalidated / superseded assessments</x:v>
      </x:c>
      <x:c r="L2305" s="31" t="str">
        <x:v>D06, Markdown line 309; http://nas-1.tail55d152.ts.net:4100/static/MEDICAL_NORDICS_FINANCIALS_DOSSIER.html</x:v>
      </x:c>
    </x:row>
    <x:row r="2306" ht="42" customHeight="1">
      <x:c r="A2306" s="5" t="str">
        <x:v>D06</x:v>
      </x:c>
      <x:c r="B2306" s="5" t="str">
        <x:v>D06-T01</x:v>
      </x:c>
      <x:c r="C2306" s="5" t="str">
        <x:v>5. Complete Company Financial Table (135 Facilities Analyzed)</x:v>
      </x:c>
      <x:c r="D2306" s="5" t="n">
        <x:v>309</x:v>
      </x:c>
      <x:c r="E2306" s="5" t="n">
        <x:v>6</x:v>
      </x:c>
      <x:c r="F2306" s="5" t="str">
        <x:v>R&amp;D Spend</x:v>
      </x:c>
      <x:c r="G2306" s="5" t="n">
        <x:v>1</x:v>
      </x:c>
      <x:c r="H2306" s="5" t="n">
        <x:v>1</x:v>
      </x:c>
      <x:c r="I2306" s="5" t="str">
        <x:v>SEK 148.6M</x:v>
      </x:c>
      <x:c r="J2306" s="5" t="str">
        <x:v>SOURCE QUOTE; unvalidated / superseded assessments</x:v>
      </x:c>
      <x:c r="L2306" s="31" t="str">
        <x:v>D06, Markdown line 309; http://nas-1.tail55d152.ts.net:4100/static/MEDICAL_NORDICS_FINANCIALS_DOSSIER.html</x:v>
      </x:c>
    </x:row>
    <x:row r="2307" ht="42" customHeight="1">
      <x:c r="A2307" s="5" t="str">
        <x:v>D06</x:v>
      </x:c>
      <x:c r="B2307" s="5" t="str">
        <x:v>D06-T01</x:v>
      </x:c>
      <x:c r="C2307" s="5" t="str">
        <x:v>5. Complete Company Financial Table (135 Facilities Analyzed)</x:v>
      </x:c>
      <x:c r="D2307" s="5" t="n">
        <x:v>309</x:v>
      </x:c>
      <x:c r="E2307" s="5" t="n">
        <x:v>7</x:v>
      </x:c>
      <x:c r="F2307" s="5" t="str">
        <x:v>Currency</x:v>
      </x:c>
      <x:c r="G2307" s="5" t="n">
        <x:v>1</x:v>
      </x:c>
      <x:c r="H2307" s="5" t="n">
        <x:v>1</x:v>
      </x:c>
      <x:c r="I2307" s="5" t="str">
        <x:v>SEK</x:v>
      </x:c>
      <x:c r="J2307" s="5" t="str">
        <x:v>SOURCE QUOTE; unvalidated / superseded assessments</x:v>
      </x:c>
      <x:c r="L2307" s="31" t="str">
        <x:v>D06, Markdown line 309; http://nas-1.tail55d152.ts.net:4100/static/MEDICAL_NORDICS_FINANCIALS_DOSSIER.html</x:v>
      </x:c>
    </x:row>
    <x:row r="2308" ht="42" customHeight="1">
      <x:c r="A2308" s="5" t="str">
        <x:v>D06</x:v>
      </x:c>
      <x:c r="B2308" s="5" t="str">
        <x:v>D06-T01</x:v>
      </x:c>
      <x:c r="C2308" s="5" t="str">
        <x:v>5. Complete Company Financial Table (135 Facilities Analyzed)</x:v>
      </x:c>
      <x:c r="D2308" s="5" t="n">
        <x:v>309</x:v>
      </x:c>
      <x:c r="E2308" s="5" t="n">
        <x:v>8</x:v>
      </x:c>
      <x:c r="F2308" s="5" t="str">
        <x:v>Fiscal Year</x:v>
      </x:c>
      <x:c r="G2308" s="5" t="n">
        <x:v>1</x:v>
      </x:c>
      <x:c r="H2308" s="5" t="n">
        <x:v>1</x:v>
      </x:c>
      <x:c r="I2308" s="5" t="str">
        <x:v>FY2024</x:v>
      </x:c>
      <x:c r="J2308" s="5" t="str">
        <x:v>SOURCE QUOTE; unvalidated / superseded assessments</x:v>
      </x:c>
      <x:c r="L2308" s="31" t="str">
        <x:v>D06, Markdown line 309; http://nas-1.tail55d152.ts.net:4100/static/MEDICAL_NORDICS_FINANCIALS_DOSSIER.html</x:v>
      </x:c>
    </x:row>
    <x:row r="2309" ht="42" customHeight="1">
      <x:c r="A2309" s="5" t="str">
        <x:v>D06</x:v>
      </x:c>
      <x:c r="B2309" s="5" t="str">
        <x:v>D06-T01</x:v>
      </x:c>
      <x:c r="C2309" s="5" t="str">
        <x:v>5. Complete Company Financial Table (135 Facilities Analyzed)</x:v>
      </x:c>
      <x:c r="D2309" s="5" t="n">
        <x:v>309</x:v>
      </x:c>
      <x:c r="E2309" s="5" t="n">
        <x:v>9</x:v>
      </x:c>
      <x:c r="F2309" s="5" t="str">
        <x:v>Status / Ownership / Strategic Service Alignment</x:v>
      </x:c>
      <x:c r="G2309" s="5" t="n">
        <x:v>1</x:v>
      </x:c>
      <x:c r="H2309" s="5" t="n">
        <x:v>1</x:v>
      </x:c>
      <x:c r="I2309" s="5" t="str">
        <x:v>Listed (Nasdaq: ORX); Package C &amp; D (US/Nordic specialty distribution &amp; nasal fill-finish)</x:v>
      </x:c>
      <x:c r="J2309" s="5" t="str">
        <x:v>SOURCE QUOTE; unvalidated / superseded assessments</x:v>
      </x:c>
      <x:c r="L2309" s="31" t="str">
        <x:v>D06, Markdown line 309; http://nas-1.tail55d152.ts.net:4100/static/MEDICAL_NORDICS_FINANCIALS_DOSSIER.html</x:v>
      </x:c>
    </x:row>
    <x:row r="2310" ht="42" customHeight="1">
      <x:c r="A2310" s="5" t="str">
        <x:v>D06</x:v>
      </x:c>
      <x:c r="B2310" s="5" t="str">
        <x:v>D06-T01</x:v>
      </x:c>
      <x:c r="C2310" s="5" t="str">
        <x:v>5. Complete Company Financial Table (135 Facilities Analyzed)</x:v>
      </x:c>
      <x:c r="D2310" s="5" t="n">
        <x:v>310</x:v>
      </x:c>
      <x:c r="E2310" s="5" t="n">
        <x:v>1</x:v>
      </x:c>
      <x:c r="F2310" s="5" t="str">
        <x:v>#</x:v>
      </x:c>
      <x:c r="G2310" s="5" t="n">
        <x:v>1</x:v>
      </x:c>
      <x:c r="H2310" s="5" t="n">
        <x:v>1</x:v>
      </x:c>
      <x:c r="I2310" s="5" t="str">
        <x:v>129</x:v>
      </x:c>
      <x:c r="J2310" s="5" t="str">
        <x:v>SOURCE QUOTE; unvalidated / superseded assessments</x:v>
      </x:c>
      <x:c r="L2310" s="31" t="str">
        <x:v>D06, Markdown line 310; http://nas-1.tail55d152.ts.net:4100/static/MEDICAL_NORDICS_FINANCIALS_DOSSIER.html</x:v>
      </x:c>
    </x:row>
    <x:row r="2311" ht="42" customHeight="1">
      <x:c r="A2311" s="5" t="str">
        <x:v>D06</x:v>
      </x:c>
      <x:c r="B2311" s="5" t="str">
        <x:v>D06-T01</x:v>
      </x:c>
      <x:c r="C2311" s="5" t="str">
        <x:v>5. Complete Company Financial Table (135 Facilities Analyzed)</x:v>
      </x:c>
      <x:c r="D2311" s="5" t="n">
        <x:v>310</x:v>
      </x:c>
      <x:c r="E2311" s="5" t="n">
        <x:v>2</x:v>
      </x:c>
      <x:c r="F2311" s="5" t="str">
        <x:v>Company</x:v>
      </x:c>
      <x:c r="G2311" s="5" t="n">
        <x:v>1</x:v>
      </x:c>
      <x:c r="H2311" s="5" t="n">
        <x:v>1</x:v>
      </x:c>
      <x:c r="I2311" s="5" t="str">
        <x:v>Q-Linea</x:v>
      </x:c>
      <x:c r="J2311" s="5" t="str">
        <x:v>SOURCE QUOTE; unvalidated / superseded assessments</x:v>
      </x:c>
      <x:c r="L2311" s="31" t="str">
        <x:v>D06, Markdown line 310; http://nas-1.tail55d152.ts.net:4100/static/MEDICAL_NORDICS_FINANCIALS_DOSSIER.html</x:v>
      </x:c>
    </x:row>
    <x:row r="2312" ht="42" customHeight="1">
      <x:c r="A2312" s="5" t="str">
        <x:v>D06</x:v>
      </x:c>
      <x:c r="B2312" s="5" t="str">
        <x:v>D06-T01</x:v>
      </x:c>
      <x:c r="C2312" s="5" t="str">
        <x:v>5. Complete Company Financial Table (135 Facilities Analyzed)</x:v>
      </x:c>
      <x:c r="D2312" s="5" t="n">
        <x:v>310</x:v>
      </x:c>
      <x:c r="E2312" s="5" t="n">
        <x:v>3</x:v>
      </x:c>
      <x:c r="F2312" s="5" t="str">
        <x:v>Location</x:v>
      </x:c>
      <x:c r="G2312" s="5" t="n">
        <x:v>1</x:v>
      </x:c>
      <x:c r="H2312" s="5" t="n">
        <x:v>1</x:v>
      </x:c>
      <x:c r="I2312" s="5" t="str">
        <x:v>Uppsala, Sweden</x:v>
      </x:c>
      <x:c r="J2312" s="5" t="str">
        <x:v>SOURCE QUOTE; unvalidated / superseded assessments</x:v>
      </x:c>
      <x:c r="L2312" s="31" t="str">
        <x:v>D06, Markdown line 310; http://nas-1.tail55d152.ts.net:4100/static/MEDICAL_NORDICS_FINANCIALS_DOSSIER.html</x:v>
      </x:c>
    </x:row>
    <x:row r="2313" ht="42" customHeight="1">
      <x:c r="A2313" s="5" t="str">
        <x:v>D06</x:v>
      </x:c>
      <x:c r="B2313" s="5" t="str">
        <x:v>D06-T01</x:v>
      </x:c>
      <x:c r="C2313" s="5" t="str">
        <x:v>5. Complete Company Financial Table (135 Facilities Analyzed)</x:v>
      </x:c>
      <x:c r="D2313" s="5" t="n">
        <x:v>310</x:v>
      </x:c>
      <x:c r="E2313" s="5" t="n">
        <x:v>4</x:v>
      </x:c>
      <x:c r="F2313" s="5" t="str">
        <x:v>Focus Area</x:v>
      </x:c>
      <x:c r="G2313" s="5" t="n">
        <x:v>1</x:v>
      </x:c>
      <x:c r="H2313" s="5" t="n">
        <x:v>1</x:v>
      </x:c>
      <x:c r="I2313" s="5" t="str">
        <x:v>ASTar Rapid Antimicrobial System</x:v>
      </x:c>
      <x:c r="J2313" s="5" t="str">
        <x:v>SOURCE QUOTE; unvalidated / superseded assessments</x:v>
      </x:c>
      <x:c r="L2313" s="31" t="str">
        <x:v>D06, Markdown line 310; http://nas-1.tail55d152.ts.net:4100/static/MEDICAL_NORDICS_FINANCIALS_DOSSIER.html</x:v>
      </x:c>
    </x:row>
    <x:row r="2314" ht="42" customHeight="1">
      <x:c r="A2314" s="5" t="str">
        <x:v>D06</x:v>
      </x:c>
      <x:c r="B2314" s="5" t="str">
        <x:v>D06-T01</x:v>
      </x:c>
      <x:c r="C2314" s="5" t="str">
        <x:v>5. Complete Company Financial Table (135 Facilities Analyzed)</x:v>
      </x:c>
      <x:c r="D2314" s="5" t="n">
        <x:v>310</x:v>
      </x:c>
      <x:c r="E2314" s="5" t="n">
        <x:v>5</x:v>
      </x:c>
      <x:c r="F2314" s="5" t="str">
        <x:v>Revenue / Net Sales</x:v>
      </x:c>
      <x:c r="G2314" s="5" t="n">
        <x:v>1</x:v>
      </x:c>
      <x:c r="H2314" s="5" t="n">
        <x:v>1</x:v>
      </x:c>
      <x:c r="I2314" s="5" t="str">
        <x:v>SEK 4.4M</x:v>
      </x:c>
      <x:c r="J2314" s="5" t="str">
        <x:v>SOURCE QUOTE; unvalidated / superseded assessments</x:v>
      </x:c>
      <x:c r="L2314" s="31" t="str">
        <x:v>D06, Markdown line 310; http://nas-1.tail55d152.ts.net:4100/static/MEDICAL_NORDICS_FINANCIALS_DOSSIER.html</x:v>
      </x:c>
    </x:row>
    <x:row r="2315" ht="42" customHeight="1">
      <x:c r="A2315" s="5" t="str">
        <x:v>D06</x:v>
      </x:c>
      <x:c r="B2315" s="5" t="str">
        <x:v>D06-T01</x:v>
      </x:c>
      <x:c r="C2315" s="5" t="str">
        <x:v>5. Complete Company Financial Table (135 Facilities Analyzed)</x:v>
      </x:c>
      <x:c r="D2315" s="5" t="n">
        <x:v>310</x:v>
      </x:c>
      <x:c r="E2315" s="5" t="n">
        <x:v>6</x:v>
      </x:c>
      <x:c r="F2315" s="5" t="str">
        <x:v>R&amp;D Spend</x:v>
      </x:c>
      <x:c r="G2315" s="5" t="n">
        <x:v>1</x:v>
      </x:c>
      <x:c r="H2315" s="5" t="n">
        <x:v>1</x:v>
      </x:c>
      <x:c r="I2315" s="5" t="str">
        <x:v>SEK 178.4M</x:v>
      </x:c>
      <x:c r="J2315" s="5" t="str">
        <x:v>SOURCE QUOTE; unvalidated / superseded assessments</x:v>
      </x:c>
      <x:c r="L2315" s="31" t="str">
        <x:v>D06, Markdown line 310; http://nas-1.tail55d152.ts.net:4100/static/MEDICAL_NORDICS_FINANCIALS_DOSSIER.html</x:v>
      </x:c>
    </x:row>
    <x:row r="2316" ht="42" customHeight="1">
      <x:c r="A2316" s="5" t="str">
        <x:v>D06</x:v>
      </x:c>
      <x:c r="B2316" s="5" t="str">
        <x:v>D06-T01</x:v>
      </x:c>
      <x:c r="C2316" s="5" t="str">
        <x:v>5. Complete Company Financial Table (135 Facilities Analyzed)</x:v>
      </x:c>
      <x:c r="D2316" s="5" t="n">
        <x:v>310</x:v>
      </x:c>
      <x:c r="E2316" s="5" t="n">
        <x:v>7</x:v>
      </x:c>
      <x:c r="F2316" s="5" t="str">
        <x:v>Currency</x:v>
      </x:c>
      <x:c r="G2316" s="5" t="n">
        <x:v>1</x:v>
      </x:c>
      <x:c r="H2316" s="5" t="n">
        <x:v>1</x:v>
      </x:c>
      <x:c r="I2316" s="5" t="str">
        <x:v>SEK</x:v>
      </x:c>
      <x:c r="J2316" s="5" t="str">
        <x:v>SOURCE QUOTE; unvalidated / superseded assessments</x:v>
      </x:c>
      <x:c r="L2316" s="31" t="str">
        <x:v>D06, Markdown line 310; http://nas-1.tail55d152.ts.net:4100/static/MEDICAL_NORDICS_FINANCIALS_DOSSIER.html</x:v>
      </x:c>
    </x:row>
    <x:row r="2317" ht="42" customHeight="1">
      <x:c r="A2317" s="5" t="str">
        <x:v>D06</x:v>
      </x:c>
      <x:c r="B2317" s="5" t="str">
        <x:v>D06-T01</x:v>
      </x:c>
      <x:c r="C2317" s="5" t="str">
        <x:v>5. Complete Company Financial Table (135 Facilities Analyzed)</x:v>
      </x:c>
      <x:c r="D2317" s="5" t="n">
        <x:v>310</x:v>
      </x:c>
      <x:c r="E2317" s="5" t="n">
        <x:v>8</x:v>
      </x:c>
      <x:c r="F2317" s="5" t="str">
        <x:v>Fiscal Year</x:v>
      </x:c>
      <x:c r="G2317" s="5" t="n">
        <x:v>1</x:v>
      </x:c>
      <x:c r="H2317" s="5" t="n">
        <x:v>1</x:v>
      </x:c>
      <x:c r="I2317" s="5" t="str">
        <x:v>FY2023/24</x:v>
      </x:c>
      <x:c r="J2317" s="5" t="str">
        <x:v>SOURCE QUOTE; unvalidated / superseded assessments</x:v>
      </x:c>
      <x:c r="L2317" s="31" t="str">
        <x:v>D06, Markdown line 310; http://nas-1.tail55d152.ts.net:4100/static/MEDICAL_NORDICS_FINANCIALS_DOSSIER.html</x:v>
      </x:c>
    </x:row>
    <x:row r="2318" ht="42" customHeight="1">
      <x:c r="A2318" s="5" t="str">
        <x:v>D06</x:v>
      </x:c>
      <x:c r="B2318" s="5" t="str">
        <x:v>D06-T01</x:v>
      </x:c>
      <x:c r="C2318" s="5" t="str">
        <x:v>5. Complete Company Financial Table (135 Facilities Analyzed)</x:v>
      </x:c>
      <x:c r="D2318" s="5" t="n">
        <x:v>310</x:v>
      </x:c>
      <x:c r="E2318" s="5" t="n">
        <x:v>9</x:v>
      </x:c>
      <x:c r="F2318" s="5" t="str">
        <x:v>Status / Ownership / Strategic Service Alignment</x:v>
      </x:c>
      <x:c r="G2318" s="5" t="n">
        <x:v>1</x:v>
      </x:c>
      <x:c r="H2318" s="5" t="n">
        <x:v>1</x:v>
      </x:c>
      <x:c r="I2318" s="5" t="str">
        <x:v>Listed (Nasdaq: QLINEA); Package A (Hospital microbiology lab consumable placement DaaS)</x:v>
      </x:c>
      <x:c r="J2318" s="5" t="str">
        <x:v>SOURCE QUOTE; unvalidated / superseded assessments</x:v>
      </x:c>
      <x:c r="L2318" s="31" t="str">
        <x:v>D06, Markdown line 310; http://nas-1.tail55d152.ts.net:4100/static/MEDICAL_NORDICS_FINANCIALS_DOSSIER.html</x:v>
      </x:c>
    </x:row>
    <x:row r="2319" ht="42" customHeight="1">
      <x:c r="A2319" s="5" t="str">
        <x:v>D06</x:v>
      </x:c>
      <x:c r="B2319" s="5" t="str">
        <x:v>D06-T01</x:v>
      </x:c>
      <x:c r="C2319" s="5" t="str">
        <x:v>5. Complete Company Financial Table (135 Facilities Analyzed)</x:v>
      </x:c>
      <x:c r="D2319" s="5" t="n">
        <x:v>311</x:v>
      </x:c>
      <x:c r="E2319" s="5" t="n">
        <x:v>1</x:v>
      </x:c>
      <x:c r="F2319" s="5" t="str">
        <x:v>#</x:v>
      </x:c>
      <x:c r="G2319" s="5" t="n">
        <x:v>1</x:v>
      </x:c>
      <x:c r="H2319" s="5" t="n">
        <x:v>1</x:v>
      </x:c>
      <x:c r="I2319" s="5" t="str">
        <x:v>130</x:v>
      </x:c>
      <x:c r="J2319" s="5" t="str">
        <x:v>SOURCE QUOTE; unvalidated / superseded assessments</x:v>
      </x:c>
      <x:c r="L2319" s="31" t="str">
        <x:v>D06, Markdown line 311; http://nas-1.tail55d152.ts.net:4100/static/MEDICAL_NORDICS_FINANCIALS_DOSSIER.html</x:v>
      </x:c>
    </x:row>
    <x:row r="2320" ht="42" customHeight="1">
      <x:c r="A2320" s="5" t="str">
        <x:v>D06</x:v>
      </x:c>
      <x:c r="B2320" s="5" t="str">
        <x:v>D06-T01</x:v>
      </x:c>
      <x:c r="C2320" s="5" t="str">
        <x:v>5. Complete Company Financial Table (135 Facilities Analyzed)</x:v>
      </x:c>
      <x:c r="D2320" s="5" t="n">
        <x:v>311</x:v>
      </x:c>
      <x:c r="E2320" s="5" t="n">
        <x:v>2</x:v>
      </x:c>
      <x:c r="F2320" s="5" t="str">
        <x:v>Company</x:v>
      </x:c>
      <x:c r="G2320" s="5" t="n">
        <x:v>1</x:v>
      </x:c>
      <x:c r="H2320" s="5" t="n">
        <x:v>1</x:v>
      </x:c>
      <x:c r="I2320" s="5" t="str">
        <x:v>Senzime</x:v>
      </x:c>
      <x:c r="J2320" s="5" t="str">
        <x:v>SOURCE QUOTE; unvalidated / superseded assessments</x:v>
      </x:c>
      <x:c r="L2320" s="31" t="str">
        <x:v>D06, Markdown line 311; http://nas-1.tail55d152.ts.net:4100/static/MEDICAL_NORDICS_FINANCIALS_DOSSIER.html</x:v>
      </x:c>
    </x:row>
    <x:row r="2321" ht="42" customHeight="1">
      <x:c r="A2321" s="5" t="str">
        <x:v>D06</x:v>
      </x:c>
      <x:c r="B2321" s="5" t="str">
        <x:v>D06-T01</x:v>
      </x:c>
      <x:c r="C2321" s="5" t="str">
        <x:v>5. Complete Company Financial Table (135 Facilities Analyzed)</x:v>
      </x:c>
      <x:c r="D2321" s="5" t="n">
        <x:v>311</x:v>
      </x:c>
      <x:c r="E2321" s="5" t="n">
        <x:v>3</x:v>
      </x:c>
      <x:c r="F2321" s="5" t="str">
        <x:v>Location</x:v>
      </x:c>
      <x:c r="G2321" s="5" t="n">
        <x:v>1</x:v>
      </x:c>
      <x:c r="H2321" s="5" t="n">
        <x:v>1</x:v>
      </x:c>
      <x:c r="I2321" s="5" t="str">
        <x:v>Uppsala, Sweden</x:v>
      </x:c>
      <x:c r="J2321" s="5" t="str">
        <x:v>SOURCE QUOTE; unvalidated / superseded assessments</x:v>
      </x:c>
      <x:c r="L2321" s="31" t="str">
        <x:v>D06, Markdown line 311; http://nas-1.tail55d152.ts.net:4100/static/MEDICAL_NORDICS_FINANCIALS_DOSSIER.html</x:v>
      </x:c>
    </x:row>
    <x:row r="2322" ht="42" customHeight="1">
      <x:c r="A2322" s="5" t="str">
        <x:v>D06</x:v>
      </x:c>
      <x:c r="B2322" s="5" t="str">
        <x:v>D06-T01</x:v>
      </x:c>
      <x:c r="C2322" s="5" t="str">
        <x:v>5. Complete Company Financial Table (135 Facilities Analyzed)</x:v>
      </x:c>
      <x:c r="D2322" s="5" t="n">
        <x:v>311</x:v>
      </x:c>
      <x:c r="E2322" s="5" t="n">
        <x:v>4</x:v>
      </x:c>
      <x:c r="F2322" s="5" t="str">
        <x:v>Focus Area</x:v>
      </x:c>
      <x:c r="G2322" s="5" t="n">
        <x:v>1</x:v>
      </x:c>
      <x:c r="H2322" s="5" t="n">
        <x:v>1</x:v>
      </x:c>
      <x:c r="I2322" s="5" t="str">
        <x:v>TetraGraph Neuromuscular Monitoring</x:v>
      </x:c>
      <x:c r="J2322" s="5" t="str">
        <x:v>SOURCE QUOTE; unvalidated / superseded assessments</x:v>
      </x:c>
      <x:c r="L2322" s="31" t="str">
        <x:v>D06, Markdown line 311; http://nas-1.tail55d152.ts.net:4100/static/MEDICAL_NORDICS_FINANCIALS_DOSSIER.html</x:v>
      </x:c>
    </x:row>
    <x:row r="2323" ht="42" customHeight="1">
      <x:c r="A2323" s="5" t="str">
        <x:v>D06</x:v>
      </x:c>
      <x:c r="B2323" s="5" t="str">
        <x:v>D06-T01</x:v>
      </x:c>
      <x:c r="C2323" s="5" t="str">
        <x:v>5. Complete Company Financial Table (135 Facilities Analyzed)</x:v>
      </x:c>
      <x:c r="D2323" s="5" t="n">
        <x:v>311</x:v>
      </x:c>
      <x:c r="E2323" s="5" t="n">
        <x:v>5</x:v>
      </x:c>
      <x:c r="F2323" s="5" t="str">
        <x:v>Revenue / Net Sales</x:v>
      </x:c>
      <x:c r="G2323" s="5" t="n">
        <x:v>1</x:v>
      </x:c>
      <x:c r="H2323" s="5" t="n">
        <x:v>1</x:v>
      </x:c>
      <x:c r="I2323" s="5" t="str">
        <x:v>SEK 58.5M (SEK 35.8M FY23)</x:v>
      </x:c>
      <x:c r="J2323" s="5" t="str">
        <x:v>SOURCE QUOTE; unvalidated / superseded assessments</x:v>
      </x:c>
      <x:c r="L2323" s="31" t="str">
        <x:v>D06, Markdown line 311; http://nas-1.tail55d152.ts.net:4100/static/MEDICAL_NORDICS_FINANCIALS_DOSSIER.html</x:v>
      </x:c>
    </x:row>
    <x:row r="2324" ht="42" customHeight="1">
      <x:c r="A2324" s="5" t="str">
        <x:v>D06</x:v>
      </x:c>
      <x:c r="B2324" s="5" t="str">
        <x:v>D06-T01</x:v>
      </x:c>
      <x:c r="C2324" s="5" t="str">
        <x:v>5. Complete Company Financial Table (135 Facilities Analyzed)</x:v>
      </x:c>
      <x:c r="D2324" s="5" t="n">
        <x:v>311</x:v>
      </x:c>
      <x:c r="E2324" s="5" t="n">
        <x:v>6</x:v>
      </x:c>
      <x:c r="F2324" s="5" t="str">
        <x:v>R&amp;D Spend</x:v>
      </x:c>
      <x:c r="G2324" s="5" t="n">
        <x:v>1</x:v>
      </x:c>
      <x:c r="H2324" s="5" t="n">
        <x:v>1</x:v>
      </x:c>
      <x:c r="I2324" s="5" t="str">
        <x:v>SEK 44.2M</x:v>
      </x:c>
      <x:c r="J2324" s="5" t="str">
        <x:v>SOURCE QUOTE; unvalidated / superseded assessments</x:v>
      </x:c>
      <x:c r="L2324" s="31" t="str">
        <x:v>D06, Markdown line 311; http://nas-1.tail55d152.ts.net:4100/static/MEDICAL_NORDICS_FINANCIALS_DOSSIER.html</x:v>
      </x:c>
    </x:row>
    <x:row r="2325" ht="42" customHeight="1">
      <x:c r="A2325" s="5" t="str">
        <x:v>D06</x:v>
      </x:c>
      <x:c r="B2325" s="5" t="str">
        <x:v>D06-T01</x:v>
      </x:c>
      <x:c r="C2325" s="5" t="str">
        <x:v>5. Complete Company Financial Table (135 Facilities Analyzed)</x:v>
      </x:c>
      <x:c r="D2325" s="5" t="n">
        <x:v>311</x:v>
      </x:c>
      <x:c r="E2325" s="5" t="n">
        <x:v>7</x:v>
      </x:c>
      <x:c r="F2325" s="5" t="str">
        <x:v>Currency</x:v>
      </x:c>
      <x:c r="G2325" s="5" t="n">
        <x:v>1</x:v>
      </x:c>
      <x:c r="H2325" s="5" t="n">
        <x:v>1</x:v>
      </x:c>
      <x:c r="I2325" s="5" t="str">
        <x:v>SEK</x:v>
      </x:c>
      <x:c r="J2325" s="5" t="str">
        <x:v>SOURCE QUOTE; unvalidated / superseded assessments</x:v>
      </x:c>
      <x:c r="L2325" s="31" t="str">
        <x:v>D06, Markdown line 311; http://nas-1.tail55d152.ts.net:4100/static/MEDICAL_NORDICS_FINANCIALS_DOSSIER.html</x:v>
      </x:c>
    </x:row>
    <x:row r="2326" ht="42" customHeight="1">
      <x:c r="A2326" s="5" t="str">
        <x:v>D06</x:v>
      </x:c>
      <x:c r="B2326" s="5" t="str">
        <x:v>D06-T01</x:v>
      </x:c>
      <x:c r="C2326" s="5" t="str">
        <x:v>5. Complete Company Financial Table (135 Facilities Analyzed)</x:v>
      </x:c>
      <x:c r="D2326" s="5" t="n">
        <x:v>311</x:v>
      </x:c>
      <x:c r="E2326" s="5" t="n">
        <x:v>8</x:v>
      </x:c>
      <x:c r="F2326" s="5" t="str">
        <x:v>Fiscal Year</x:v>
      </x:c>
      <x:c r="G2326" s="5" t="n">
        <x:v>1</x:v>
      </x:c>
      <x:c r="H2326" s="5" t="n">
        <x:v>1</x:v>
      </x:c>
      <x:c r="I2326" s="5" t="str">
        <x:v>FY2024</x:v>
      </x:c>
      <x:c r="J2326" s="5" t="str">
        <x:v>SOURCE QUOTE; unvalidated / superseded assessments</x:v>
      </x:c>
      <x:c r="L2326" s="31" t="str">
        <x:v>D06, Markdown line 311; http://nas-1.tail55d152.ts.net:4100/static/MEDICAL_NORDICS_FINANCIALS_DOSSIER.html</x:v>
      </x:c>
    </x:row>
    <x:row r="2327" ht="42" customHeight="1">
      <x:c r="A2327" s="5" t="str">
        <x:v>D06</x:v>
      </x:c>
      <x:c r="B2327" s="5" t="str">
        <x:v>D06-T01</x:v>
      </x:c>
      <x:c r="C2327" s="5" t="str">
        <x:v>5. Complete Company Financial Table (135 Facilities Analyzed)</x:v>
      </x:c>
      <x:c r="D2327" s="5" t="n">
        <x:v>311</x:v>
      </x:c>
      <x:c r="E2327" s="5" t="n">
        <x:v>9</x:v>
      </x:c>
      <x:c r="F2327" s="5" t="str">
        <x:v>Status / Ownership / Strategic Service Alignment</x:v>
      </x:c>
      <x:c r="G2327" s="5" t="n">
        <x:v>1</x:v>
      </x:c>
      <x:c r="H2327" s="5" t="n">
        <x:v>1</x:v>
      </x:c>
      <x:c r="I2327" s="5" t="str">
        <x:v>Listed (Nasdaq: SEZI); Package A (Anesthesia complication reduction hospital ROI models)</x:v>
      </x:c>
      <x:c r="J2327" s="5" t="str">
        <x:v>SOURCE QUOTE; unvalidated / superseded assessments</x:v>
      </x:c>
      <x:c r="L2327" s="31" t="str">
        <x:v>D06, Markdown line 311; http://nas-1.tail55d152.ts.net:4100/static/MEDICAL_NORDICS_FINANCIALS_DOSSIER.html</x:v>
      </x:c>
    </x:row>
    <x:row r="2328" ht="42" customHeight="1">
      <x:c r="A2328" s="5" t="str">
        <x:v>D06</x:v>
      </x:c>
      <x:c r="B2328" s="5" t="str">
        <x:v>D06-T01</x:v>
      </x:c>
      <x:c r="C2328" s="5" t="str">
        <x:v>5. Complete Company Financial Table (135 Facilities Analyzed)</x:v>
      </x:c>
      <x:c r="D2328" s="5" t="n">
        <x:v>312</x:v>
      </x:c>
      <x:c r="E2328" s="5" t="n">
        <x:v>1</x:v>
      </x:c>
      <x:c r="F2328" s="5" t="str">
        <x:v>#</x:v>
      </x:c>
      <x:c r="G2328" s="5" t="n">
        <x:v>1</x:v>
      </x:c>
      <x:c r="H2328" s="5" t="n">
        <x:v>1</x:v>
      </x:c>
      <x:c r="I2328" s="5" t="str">
        <x:v>131</x:v>
      </x:c>
      <x:c r="J2328" s="5" t="str">
        <x:v>SOURCE QUOTE; unvalidated / superseded assessments</x:v>
      </x:c>
      <x:c r="L2328" s="31" t="str">
        <x:v>D06, Markdown line 312; http://nas-1.tail55d152.ts.net:4100/static/MEDICAL_NORDICS_FINANCIALS_DOSSIER.html</x:v>
      </x:c>
    </x:row>
    <x:row r="2329" ht="42" customHeight="1">
      <x:c r="A2329" s="5" t="str">
        <x:v>D06</x:v>
      </x:c>
      <x:c r="B2329" s="5" t="str">
        <x:v>D06-T01</x:v>
      </x:c>
      <x:c r="C2329" s="5" t="str">
        <x:v>5. Complete Company Financial Table (135 Facilities Analyzed)</x:v>
      </x:c>
      <x:c r="D2329" s="5" t="n">
        <x:v>312</x:v>
      </x:c>
      <x:c r="E2329" s="5" t="n">
        <x:v>2</x:v>
      </x:c>
      <x:c r="F2329" s="5" t="str">
        <x:v>Company</x:v>
      </x:c>
      <x:c r="G2329" s="5" t="n">
        <x:v>1</x:v>
      </x:c>
      <x:c r="H2329" s="5" t="n">
        <x:v>1</x:v>
      </x:c>
      <x:c r="I2329" s="5" t="str">
        <x:v>Strike Pharma</x:v>
      </x:c>
      <x:c r="J2329" s="5" t="str">
        <x:v>SOURCE QUOTE; unvalidated / superseded assessments</x:v>
      </x:c>
      <x:c r="L2329" s="31" t="str">
        <x:v>D06, Markdown line 312; http://nas-1.tail55d152.ts.net:4100/static/MEDICAL_NORDICS_FINANCIALS_DOSSIER.html</x:v>
      </x:c>
    </x:row>
    <x:row r="2330" ht="42" customHeight="1">
      <x:c r="A2330" s="5" t="str">
        <x:v>D06</x:v>
      </x:c>
      <x:c r="B2330" s="5" t="str">
        <x:v>D06-T01</x:v>
      </x:c>
      <x:c r="C2330" s="5" t="str">
        <x:v>5. Complete Company Financial Table (135 Facilities Analyzed)</x:v>
      </x:c>
      <x:c r="D2330" s="5" t="n">
        <x:v>312</x:v>
      </x:c>
      <x:c r="E2330" s="5" t="n">
        <x:v>3</x:v>
      </x:c>
      <x:c r="F2330" s="5" t="str">
        <x:v>Location</x:v>
      </x:c>
      <x:c r="G2330" s="5" t="n">
        <x:v>1</x:v>
      </x:c>
      <x:c r="H2330" s="5" t="n">
        <x:v>1</x:v>
      </x:c>
      <x:c r="I2330" s="5" t="str">
        <x:v>Uppsala, Sweden</x:v>
      </x:c>
      <x:c r="J2330" s="5" t="str">
        <x:v>SOURCE QUOTE; unvalidated / superseded assessments</x:v>
      </x:c>
      <x:c r="L2330" s="31" t="str">
        <x:v>D06, Markdown line 312; http://nas-1.tail55d152.ts.net:4100/static/MEDICAL_NORDICS_FINANCIALS_DOSSIER.html</x:v>
      </x:c>
    </x:row>
    <x:row r="2331" ht="42" customHeight="1">
      <x:c r="A2331" s="5" t="str">
        <x:v>D06</x:v>
      </x:c>
      <x:c r="B2331" s="5" t="str">
        <x:v>D06-T01</x:v>
      </x:c>
      <x:c r="C2331" s="5" t="str">
        <x:v>5. Complete Company Financial Table (135 Facilities Analyzed)</x:v>
      </x:c>
      <x:c r="D2331" s="5" t="n">
        <x:v>312</x:v>
      </x:c>
      <x:c r="E2331" s="5" t="n">
        <x:v>4</x:v>
      </x:c>
      <x:c r="F2331" s="5" t="str">
        <x:v>Focus Area</x:v>
      </x:c>
      <x:c r="G2331" s="5" t="n">
        <x:v>1</x:v>
      </x:c>
      <x:c r="H2331" s="5" t="n">
        <x:v>1</x:v>
      </x:c>
      <x:c r="I2331" s="5" t="str">
        <x:v>Adapt vaCC Individualized Vaccines</x:v>
      </x:c>
      <x:c r="J2331" s="5" t="str">
        <x:v>SOURCE QUOTE; unvalidated / superseded assessments</x:v>
      </x:c>
      <x:c r="L2331" s="31" t="str">
        <x:v>D06, Markdown line 312; http://nas-1.tail55d152.ts.net:4100/static/MEDICAL_NORDICS_FINANCIALS_DOSSIER.html</x:v>
      </x:c>
    </x:row>
    <x:row r="2332" ht="42" customHeight="1">
      <x:c r="A2332" s="5" t="str">
        <x:v>D06</x:v>
      </x:c>
      <x:c r="B2332" s="5" t="str">
        <x:v>D06-T01</x:v>
      </x:c>
      <x:c r="C2332" s="5" t="str">
        <x:v>5. Complete Company Financial Table (135 Facilities Analyzed)</x:v>
      </x:c>
      <x:c r="D2332" s="5" t="n">
        <x:v>312</x:v>
      </x:c>
      <x:c r="E2332" s="5" t="n">
        <x:v>5</x:v>
      </x:c>
      <x:c r="F2332" s="5" t="str">
        <x:v>Revenue / Net Sales</x:v>
      </x:c>
      <x:c r="G2332" s="5" t="n">
        <x:v>1</x:v>
      </x:c>
      <x:c r="H2332" s="5" t="n">
        <x:v>1</x:v>
      </x:c>
      <x:c r="I2332" s="5" t="str">
        <x:v>SEK 0M (Pre-clinical)</x:v>
      </x:c>
      <x:c r="J2332" s="5" t="str">
        <x:v>SOURCE QUOTE; unvalidated / superseded assessments</x:v>
      </x:c>
      <x:c r="L2332" s="31" t="str">
        <x:v>D06, Markdown line 312; http://nas-1.tail55d152.ts.net:4100/static/MEDICAL_NORDICS_FINANCIALS_DOSSIER.html</x:v>
      </x:c>
    </x:row>
    <x:row r="2333" ht="42" customHeight="1">
      <x:c r="A2333" s="5" t="str">
        <x:v>D06</x:v>
      </x:c>
      <x:c r="B2333" s="5" t="str">
        <x:v>D06-T01</x:v>
      </x:c>
      <x:c r="C2333" s="5" t="str">
        <x:v>5. Complete Company Financial Table (135 Facilities Analyzed)</x:v>
      </x:c>
      <x:c r="D2333" s="5" t="n">
        <x:v>312</x:v>
      </x:c>
      <x:c r="E2333" s="5" t="n">
        <x:v>6</x:v>
      </x:c>
      <x:c r="F2333" s="5" t="str">
        <x:v>R&amp;D Spend</x:v>
      </x:c>
      <x:c r="G2333" s="5" t="n">
        <x:v>1</x:v>
      </x:c>
      <x:c r="H2333" s="5" t="n">
        <x:v>1</x:v>
      </x:c>
      <x:c r="I2333" s="5" t="str">
        <x:v>SEK 18.5M</x:v>
      </x:c>
      <x:c r="J2333" s="5" t="str">
        <x:v>SOURCE QUOTE; unvalidated / superseded assessments</x:v>
      </x:c>
      <x:c r="L2333" s="31" t="str">
        <x:v>D06, Markdown line 312; http://nas-1.tail55d152.ts.net:4100/static/MEDICAL_NORDICS_FINANCIALS_DOSSIER.html</x:v>
      </x:c>
    </x:row>
    <x:row r="2334" ht="42" customHeight="1">
      <x:c r="A2334" s="5" t="str">
        <x:v>D06</x:v>
      </x:c>
      <x:c r="B2334" s="5" t="str">
        <x:v>D06-T01</x:v>
      </x:c>
      <x:c r="C2334" s="5" t="str">
        <x:v>5. Complete Company Financial Table (135 Facilities Analyzed)</x:v>
      </x:c>
      <x:c r="D2334" s="5" t="n">
        <x:v>312</x:v>
      </x:c>
      <x:c r="E2334" s="5" t="n">
        <x:v>7</x:v>
      </x:c>
      <x:c r="F2334" s="5" t="str">
        <x:v>Currency</x:v>
      </x:c>
      <x:c r="G2334" s="5" t="n">
        <x:v>1</x:v>
      </x:c>
      <x:c r="H2334" s="5" t="n">
        <x:v>1</x:v>
      </x:c>
      <x:c r="I2334" s="5" t="str">
        <x:v>SEK</x:v>
      </x:c>
      <x:c r="J2334" s="5" t="str">
        <x:v>SOURCE QUOTE; unvalidated / superseded assessments</x:v>
      </x:c>
      <x:c r="L2334" s="31" t="str">
        <x:v>D06, Markdown line 312; http://nas-1.tail55d152.ts.net:4100/static/MEDICAL_NORDICS_FINANCIALS_DOSSIER.html</x:v>
      </x:c>
    </x:row>
    <x:row r="2335" ht="42" customHeight="1">
      <x:c r="A2335" s="5" t="str">
        <x:v>D06</x:v>
      </x:c>
      <x:c r="B2335" s="5" t="str">
        <x:v>D06-T01</x:v>
      </x:c>
      <x:c r="C2335" s="5" t="str">
        <x:v>5. Complete Company Financial Table (135 Facilities Analyzed)</x:v>
      </x:c>
      <x:c r="D2335" s="5" t="n">
        <x:v>312</x:v>
      </x:c>
      <x:c r="E2335" s="5" t="n">
        <x:v>8</x:v>
      </x:c>
      <x:c r="F2335" s="5" t="str">
        <x:v>Fiscal Year</x:v>
      </x:c>
      <x:c r="G2335" s="5" t="n">
        <x:v>1</x:v>
      </x:c>
      <x:c r="H2335" s="5" t="n">
        <x:v>1</x:v>
      </x:c>
      <x:c r="I2335" s="5" t="str">
        <x:v>FY2023/24</x:v>
      </x:c>
      <x:c r="J2335" s="5" t="str">
        <x:v>SOURCE QUOTE; unvalidated / superseded assessments</x:v>
      </x:c>
      <x:c r="L2335" s="31" t="str">
        <x:v>D06, Markdown line 312; http://nas-1.tail55d152.ts.net:4100/static/MEDICAL_NORDICS_FINANCIALS_DOSSIER.html</x:v>
      </x:c>
    </x:row>
    <x:row r="2336" ht="42" customHeight="1">
      <x:c r="A2336" s="5" t="str">
        <x:v>D06</x:v>
      </x:c>
      <x:c r="B2336" s="5" t="str">
        <x:v>D06-T01</x:v>
      </x:c>
      <x:c r="C2336" s="5" t="str">
        <x:v>5. Complete Company Financial Table (135 Facilities Analyzed)</x:v>
      </x:c>
      <x:c r="D2336" s="5" t="n">
        <x:v>312</x:v>
      </x:c>
      <x:c r="E2336" s="5" t="n">
        <x:v>9</x:v>
      </x:c>
      <x:c r="F2336" s="5" t="str">
        <x:v>Status / Ownership / Strategic Service Alignment</x:v>
      </x:c>
      <x:c r="G2336" s="5" t="n">
        <x:v>1</x:v>
      </x:c>
      <x:c r="H2336" s="5" t="n">
        <x:v>1</x:v>
      </x:c>
      <x:c r="I2336" s="5" t="str">
        <x:v>Private (SEK 45M funding); Package B (Neoantigen manufacturing specification files)</x:v>
      </x:c>
      <x:c r="J2336" s="5" t="str">
        <x:v>SOURCE QUOTE; unvalidated / superseded assessments</x:v>
      </x:c>
      <x:c r="L2336" s="31" t="str">
        <x:v>D06, Markdown line 312; http://nas-1.tail55d152.ts.net:4100/static/MEDICAL_NORDICS_FINANCIALS_DOSSIER.html</x:v>
      </x:c>
    </x:row>
    <x:row r="2337" ht="42" customHeight="1">
      <x:c r="A2337" s="5" t="str">
        <x:v>D06</x:v>
      </x:c>
      <x:c r="B2337" s="5" t="str">
        <x:v>D06-T01</x:v>
      </x:c>
      <x:c r="C2337" s="5" t="str">
        <x:v>5. Complete Company Financial Table (135 Facilities Analyzed)</x:v>
      </x:c>
      <x:c r="D2337" s="5" t="n">
        <x:v>313</x:v>
      </x:c>
      <x:c r="E2337" s="5" t="n">
        <x:v>1</x:v>
      </x:c>
      <x:c r="F2337" s="5" t="str">
        <x:v>#</x:v>
      </x:c>
      <x:c r="G2337" s="5" t="n">
        <x:v>1</x:v>
      </x:c>
      <x:c r="H2337" s="5" t="n">
        <x:v>1</x:v>
      </x:c>
      <x:c r="I2337" s="5" t="str">
        <x:v>132</x:v>
      </x:c>
      <x:c r="J2337" s="5" t="str">
        <x:v>SOURCE QUOTE; unvalidated / superseded assessments</x:v>
      </x:c>
      <x:c r="L2337" s="31" t="str">
        <x:v>D06, Markdown line 313; http://nas-1.tail55d152.ts.net:4100/static/MEDICAL_NORDICS_FINANCIALS_DOSSIER.html</x:v>
      </x:c>
    </x:row>
    <x:row r="2338" ht="42" customHeight="1">
      <x:c r="A2338" s="5" t="str">
        <x:v>D06</x:v>
      </x:c>
      <x:c r="B2338" s="5" t="str">
        <x:v>D06-T01</x:v>
      </x:c>
      <x:c r="C2338" s="5" t="str">
        <x:v>5. Complete Company Financial Table (135 Facilities Analyzed)</x:v>
      </x:c>
      <x:c r="D2338" s="5" t="n">
        <x:v>313</x:v>
      </x:c>
      <x:c r="E2338" s="5" t="n">
        <x:v>2</x:v>
      </x:c>
      <x:c r="F2338" s="5" t="str">
        <x:v>Company</x:v>
      </x:c>
      <x:c r="G2338" s="5" t="n">
        <x:v>1</x:v>
      </x:c>
      <x:c r="H2338" s="5" t="n">
        <x:v>1</x:v>
      </x:c>
      <x:c r="I2338" s="5" t="str">
        <x:v>Agrisera</x:v>
      </x:c>
      <x:c r="J2338" s="5" t="str">
        <x:v>SOURCE QUOTE; unvalidated / superseded assessments</x:v>
      </x:c>
      <x:c r="L2338" s="31" t="str">
        <x:v>D06, Markdown line 313; http://nas-1.tail55d152.ts.net:4100/static/MEDICAL_NORDICS_FINANCIALS_DOSSIER.html</x:v>
      </x:c>
    </x:row>
    <x:row r="2339" ht="42" customHeight="1">
      <x:c r="A2339" s="5" t="str">
        <x:v>D06</x:v>
      </x:c>
      <x:c r="B2339" s="5" t="str">
        <x:v>D06-T01</x:v>
      </x:c>
      <x:c r="C2339" s="5" t="str">
        <x:v>5. Complete Company Financial Table (135 Facilities Analyzed)</x:v>
      </x:c>
      <x:c r="D2339" s="5" t="n">
        <x:v>313</x:v>
      </x:c>
      <x:c r="E2339" s="5" t="n">
        <x:v>3</x:v>
      </x:c>
      <x:c r="F2339" s="5" t="str">
        <x:v>Location</x:v>
      </x:c>
      <x:c r="G2339" s="5" t="n">
        <x:v>1</x:v>
      </x:c>
      <x:c r="H2339" s="5" t="n">
        <x:v>1</x:v>
      </x:c>
      <x:c r="I2339" s="5" t="str">
        <x:v>Vännäs, Sweden</x:v>
      </x:c>
      <x:c r="J2339" s="5" t="str">
        <x:v>SOURCE QUOTE; unvalidated / superseded assessments</x:v>
      </x:c>
      <x:c r="L2339" s="31" t="str">
        <x:v>D06, Markdown line 313; http://nas-1.tail55d152.ts.net:4100/static/MEDICAL_NORDICS_FINANCIALS_DOSSIER.html</x:v>
      </x:c>
    </x:row>
    <x:row r="2340" ht="42" customHeight="1">
      <x:c r="A2340" s="5" t="str">
        <x:v>D06</x:v>
      </x:c>
      <x:c r="B2340" s="5" t="str">
        <x:v>D06-T01</x:v>
      </x:c>
      <x:c r="C2340" s="5" t="str">
        <x:v>5. Complete Company Financial Table (135 Facilities Analyzed)</x:v>
      </x:c>
      <x:c r="D2340" s="5" t="n">
        <x:v>313</x:v>
      </x:c>
      <x:c r="E2340" s="5" t="n">
        <x:v>4</x:v>
      </x:c>
      <x:c r="F2340" s="5" t="str">
        <x:v>Focus Area</x:v>
      </x:c>
      <x:c r="G2340" s="5" t="n">
        <x:v>1</x:v>
      </x:c>
      <x:c r="H2340" s="5" t="n">
        <x:v>1</x:v>
      </x:c>
      <x:c r="I2340" s="5" t="str">
        <x:v>Specialized Plant &amp; Algal Antibodies</x:v>
      </x:c>
      <x:c r="J2340" s="5" t="str">
        <x:v>SOURCE QUOTE; unvalidated / superseded assessments</x:v>
      </x:c>
      <x:c r="L2340" s="31" t="str">
        <x:v>D06, Markdown line 313; http://nas-1.tail55d152.ts.net:4100/static/MEDICAL_NORDICS_FINANCIALS_DOSSIER.html</x:v>
      </x:c>
    </x:row>
    <x:row r="2341" ht="42" customHeight="1">
      <x:c r="A2341" s="5" t="str">
        <x:v>D06</x:v>
      </x:c>
      <x:c r="B2341" s="5" t="str">
        <x:v>D06-T01</x:v>
      </x:c>
      <x:c r="C2341" s="5" t="str">
        <x:v>5. Complete Company Financial Table (135 Facilities Analyzed)</x:v>
      </x:c>
      <x:c r="D2341" s="5" t="n">
        <x:v>313</x:v>
      </x:c>
      <x:c r="E2341" s="5" t="n">
        <x:v>5</x:v>
      </x:c>
      <x:c r="F2341" s="5" t="str">
        <x:v>Revenue / Net Sales</x:v>
      </x:c>
      <x:c r="G2341" s="5" t="n">
        <x:v>1</x:v>
      </x:c>
      <x:c r="H2341" s="5" t="n">
        <x:v>1</x:v>
      </x:c>
      <x:c r="I2341" s="5" t="str">
        <x:v>SEK 42.5M</x:v>
      </x:c>
      <x:c r="J2341" s="5" t="str">
        <x:v>SOURCE QUOTE; unvalidated / superseded assessments</x:v>
      </x:c>
      <x:c r="L2341" s="31" t="str">
        <x:v>D06, Markdown line 313; http://nas-1.tail55d152.ts.net:4100/static/MEDICAL_NORDICS_FINANCIALS_DOSSIER.html</x:v>
      </x:c>
    </x:row>
    <x:row r="2342" ht="42" customHeight="1">
      <x:c r="A2342" s="5" t="str">
        <x:v>D06</x:v>
      </x:c>
      <x:c r="B2342" s="5" t="str">
        <x:v>D06-T01</x:v>
      </x:c>
      <x:c r="C2342" s="5" t="str">
        <x:v>5. Complete Company Financial Table (135 Facilities Analyzed)</x:v>
      </x:c>
      <x:c r="D2342" s="5" t="n">
        <x:v>313</x:v>
      </x:c>
      <x:c r="E2342" s="5" t="n">
        <x:v>6</x:v>
      </x:c>
      <x:c r="F2342" s="5" t="str">
        <x:v>R&amp;D Spend</x:v>
      </x:c>
      <x:c r="G2342" s="5" t="n">
        <x:v>1</x:v>
      </x:c>
      <x:c r="H2342" s="5" t="n">
        <x:v>1</x:v>
      </x:c>
      <x:c r="I2342" s="5" t="str">
        <x:v>SEK 5.2M</x:v>
      </x:c>
      <x:c r="J2342" s="5" t="str">
        <x:v>SOURCE QUOTE; unvalidated / superseded assessments</x:v>
      </x:c>
      <x:c r="L2342" s="31" t="str">
        <x:v>D06, Markdown line 313; http://nas-1.tail55d152.ts.net:4100/static/MEDICAL_NORDICS_FINANCIALS_DOSSIER.html</x:v>
      </x:c>
    </x:row>
    <x:row r="2343" ht="42" customHeight="1">
      <x:c r="A2343" s="5" t="str">
        <x:v>D06</x:v>
      </x:c>
      <x:c r="B2343" s="5" t="str">
        <x:v>D06-T01</x:v>
      </x:c>
      <x:c r="C2343" s="5" t="str">
        <x:v>5. Complete Company Financial Table (135 Facilities Analyzed)</x:v>
      </x:c>
      <x:c r="D2343" s="5" t="n">
        <x:v>313</x:v>
      </x:c>
      <x:c r="E2343" s="5" t="n">
        <x:v>7</x:v>
      </x:c>
      <x:c r="F2343" s="5" t="str">
        <x:v>Currency</x:v>
      </x:c>
      <x:c r="G2343" s="5" t="n">
        <x:v>1</x:v>
      </x:c>
      <x:c r="H2343" s="5" t="n">
        <x:v>1</x:v>
      </x:c>
      <x:c r="I2343" s="5" t="str">
        <x:v>SEK</x:v>
      </x:c>
      <x:c r="J2343" s="5" t="str">
        <x:v>SOURCE QUOTE; unvalidated / superseded assessments</x:v>
      </x:c>
      <x:c r="L2343" s="31" t="str">
        <x:v>D06, Markdown line 313; http://nas-1.tail55d152.ts.net:4100/static/MEDICAL_NORDICS_FINANCIALS_DOSSIER.html</x:v>
      </x:c>
    </x:row>
    <x:row r="2344" ht="42" customHeight="1">
      <x:c r="A2344" s="5" t="str">
        <x:v>D06</x:v>
      </x:c>
      <x:c r="B2344" s="5" t="str">
        <x:v>D06-T01</x:v>
      </x:c>
      <x:c r="C2344" s="5" t="str">
        <x:v>5. Complete Company Financial Table (135 Facilities Analyzed)</x:v>
      </x:c>
      <x:c r="D2344" s="5" t="n">
        <x:v>313</x:v>
      </x:c>
      <x:c r="E2344" s="5" t="n">
        <x:v>8</x:v>
      </x:c>
      <x:c r="F2344" s="5" t="str">
        <x:v>Fiscal Year</x:v>
      </x:c>
      <x:c r="G2344" s="5" t="n">
        <x:v>1</x:v>
      </x:c>
      <x:c r="H2344" s="5" t="n">
        <x:v>1</x:v>
      </x:c>
      <x:c r="I2344" s="5" t="str">
        <x:v>FY2023</x:v>
      </x:c>
      <x:c r="J2344" s="5" t="str">
        <x:v>SOURCE QUOTE; unvalidated / superseded assessments</x:v>
      </x:c>
      <x:c r="L2344" s="31" t="str">
        <x:v>D06, Markdown line 313; http://nas-1.tail55d152.ts.net:4100/static/MEDICAL_NORDICS_FINANCIALS_DOSSIER.html</x:v>
      </x:c>
    </x:row>
    <x:row r="2345" ht="42" customHeight="1">
      <x:c r="A2345" s="5" t="str">
        <x:v>D06</x:v>
      </x:c>
      <x:c r="B2345" s="5" t="str">
        <x:v>D06-T01</x:v>
      </x:c>
      <x:c r="C2345" s="5" t="str">
        <x:v>5. Complete Company Financial Table (135 Facilities Analyzed)</x:v>
      </x:c>
      <x:c r="D2345" s="5" t="n">
        <x:v>313</x:v>
      </x:c>
      <x:c r="E2345" s="5" t="n">
        <x:v>9</x:v>
      </x:c>
      <x:c r="F2345" s="5" t="str">
        <x:v>Status / Ownership / Strategic Service Alignment</x:v>
      </x:c>
      <x:c r="G2345" s="5" t="n">
        <x:v>1</x:v>
      </x:c>
      <x:c r="H2345" s="5" t="n">
        <x:v>1</x:v>
      </x:c>
      <x:c r="I2345" s="5" t="str">
        <x:v>Private antibody supplier; Package C (E-commerce research antibody distributor portal)</x:v>
      </x:c>
      <x:c r="J2345" s="5" t="str">
        <x:v>SOURCE QUOTE; unvalidated / superseded assessments</x:v>
      </x:c>
      <x:c r="L2345" s="31" t="str">
        <x:v>D06, Markdown line 313; http://nas-1.tail55d152.ts.net:4100/static/MEDICAL_NORDICS_FINANCIALS_DOSSIER.html</x:v>
      </x:c>
    </x:row>
    <x:row r="2346" ht="42" customHeight="1">
      <x:c r="A2346" s="5" t="str">
        <x:v>D06</x:v>
      </x:c>
      <x:c r="B2346" s="5" t="str">
        <x:v>D06-T01</x:v>
      </x:c>
      <x:c r="C2346" s="5" t="str">
        <x:v>5. Complete Company Financial Table (135 Facilities Analyzed)</x:v>
      </x:c>
      <x:c r="D2346" s="5" t="n">
        <x:v>314</x:v>
      </x:c>
      <x:c r="E2346" s="5" t="n">
        <x:v>1</x:v>
      </x:c>
      <x:c r="F2346" s="5" t="str">
        <x:v>#</x:v>
      </x:c>
      <x:c r="G2346" s="5" t="n">
        <x:v>1</x:v>
      </x:c>
      <x:c r="H2346" s="5" t="n">
        <x:v>1</x:v>
      </x:c>
      <x:c r="I2346" s="5" t="str">
        <x:v>133</x:v>
      </x:c>
      <x:c r="J2346" s="5" t="str">
        <x:v>SOURCE QUOTE; unvalidated / superseded assessments</x:v>
      </x:c>
      <x:c r="L2346" s="31" t="str">
        <x:v>D06, Markdown line 314; http://nas-1.tail55d152.ts.net:4100/static/MEDICAL_NORDICS_FINANCIALS_DOSSIER.html</x:v>
      </x:c>
    </x:row>
    <x:row r="2347" ht="42" customHeight="1">
      <x:c r="A2347" s="5" t="str">
        <x:v>D06</x:v>
      </x:c>
      <x:c r="B2347" s="5" t="str">
        <x:v>D06-T01</x:v>
      </x:c>
      <x:c r="C2347" s="5" t="str">
        <x:v>5. Complete Company Financial Table (135 Facilities Analyzed)</x:v>
      </x:c>
      <x:c r="D2347" s="5" t="n">
        <x:v>314</x:v>
      </x:c>
      <x:c r="E2347" s="5" t="n">
        <x:v>2</x:v>
      </x:c>
      <x:c r="F2347" s="5" t="str">
        <x:v>Company</x:v>
      </x:c>
      <x:c r="G2347" s="5" t="n">
        <x:v>1</x:v>
      </x:c>
      <x:c r="H2347" s="5" t="n">
        <x:v>1</x:v>
      </x:c>
      <x:c r="I2347" s="5" t="str">
        <x:v>Getinge</x:v>
      </x:c>
      <x:c r="J2347" s="5" t="str">
        <x:v>SOURCE QUOTE; unvalidated / superseded assessments</x:v>
      </x:c>
      <x:c r="L2347" s="31" t="str">
        <x:v>D06, Markdown line 314; http://nas-1.tail55d152.ts.net:4100/static/MEDICAL_NORDICS_FINANCIALS_DOSSIER.html</x:v>
      </x:c>
    </x:row>
    <x:row r="2348" ht="42" customHeight="1">
      <x:c r="A2348" s="5" t="str">
        <x:v>D06</x:v>
      </x:c>
      <x:c r="B2348" s="5" t="str">
        <x:v>D06-T01</x:v>
      </x:c>
      <x:c r="C2348" s="5" t="str">
        <x:v>5. Complete Company Financial Table (135 Facilities Analyzed)</x:v>
      </x:c>
      <x:c r="D2348" s="5" t="n">
        <x:v>314</x:v>
      </x:c>
      <x:c r="E2348" s="5" t="n">
        <x:v>3</x:v>
      </x:c>
      <x:c r="F2348" s="5" t="str">
        <x:v>Location</x:v>
      </x:c>
      <x:c r="G2348" s="5" t="n">
        <x:v>1</x:v>
      </x:c>
      <x:c r="H2348" s="5" t="n">
        <x:v>1</x:v>
      </x:c>
      <x:c r="I2348" s="5" t="str">
        <x:v>Växjö, Sweden</x:v>
      </x:c>
      <x:c r="J2348" s="5" t="str">
        <x:v>SOURCE QUOTE; unvalidated / superseded assessments</x:v>
      </x:c>
      <x:c r="L2348" s="31" t="str">
        <x:v>D06, Markdown line 314; http://nas-1.tail55d152.ts.net:4100/static/MEDICAL_NORDICS_FINANCIALS_DOSSIER.html</x:v>
      </x:c>
    </x:row>
    <x:row r="2349" ht="42" customHeight="1">
      <x:c r="A2349" s="5" t="str">
        <x:v>D06</x:v>
      </x:c>
      <x:c r="B2349" s="5" t="str">
        <x:v>D06-T01</x:v>
      </x:c>
      <x:c r="C2349" s="5" t="str">
        <x:v>5. Complete Company Financial Table (135 Facilities Analyzed)</x:v>
      </x:c>
      <x:c r="D2349" s="5" t="n">
        <x:v>314</x:v>
      </x:c>
      <x:c r="E2349" s="5" t="n">
        <x:v>4</x:v>
      </x:c>
      <x:c r="F2349" s="5" t="str">
        <x:v>Focus Area</x:v>
      </x:c>
      <x:c r="G2349" s="5" t="n">
        <x:v>1</x:v>
      </x:c>
      <x:c r="H2349" s="5" t="n">
        <x:v>1</x:v>
      </x:c>
      <x:c r="I2349" s="5" t="str">
        <x:v>Infection Control &amp; Hospital Disinfection</x:v>
      </x:c>
      <x:c r="J2349" s="5" t="str">
        <x:v>SOURCE QUOTE; unvalidated / superseded assessments</x:v>
      </x:c>
      <x:c r="L2349" s="31" t="str">
        <x:v>D06, Markdown line 314; http://nas-1.tail55d152.ts.net:4100/static/MEDICAL_NORDICS_FINANCIALS_DOSSIER.html</x:v>
      </x:c>
    </x:row>
    <x:row r="2350" ht="42" customHeight="1">
      <x:c r="A2350" s="5" t="str">
        <x:v>D06</x:v>
      </x:c>
      <x:c r="B2350" s="5" t="str">
        <x:v>D06-T01</x:v>
      </x:c>
      <x:c r="C2350" s="5" t="str">
        <x:v>5. Complete Company Financial Table (135 Facilities Analyzed)</x:v>
      </x:c>
      <x:c r="D2350" s="5" t="n">
        <x:v>314</x:v>
      </x:c>
      <x:c r="E2350" s="5" t="n">
        <x:v>5</x:v>
      </x:c>
      <x:c r="F2350" s="5" t="str">
        <x:v>Revenue / Net Sales</x:v>
      </x:c>
      <x:c r="G2350" s="5" t="n">
        <x:v>1</x:v>
      </x:c>
      <x:c r="H2350" s="5" t="n">
        <x:v>1</x:v>
      </x:c>
      <x:c r="I2350" s="5" t="str">
        <x:v>SEK 34,759.0M (SEK 34.76B)</x:v>
      </x:c>
      <x:c r="J2350" s="5" t="str">
        <x:v>SOURCE QUOTE; unvalidated / superseded assessments</x:v>
      </x:c>
      <x:c r="L2350" s="31" t="str">
        <x:v>D06, Markdown line 314; http://nas-1.tail55d152.ts.net:4100/static/MEDICAL_NORDICS_FINANCIALS_DOSSIER.html</x:v>
      </x:c>
    </x:row>
    <x:row r="2351" ht="42" customHeight="1">
      <x:c r="A2351" s="5" t="str">
        <x:v>D06</x:v>
      </x:c>
      <x:c r="B2351" s="5" t="str">
        <x:v>D06-T01</x:v>
      </x:c>
      <x:c r="C2351" s="5" t="str">
        <x:v>5. Complete Company Financial Table (135 Facilities Analyzed)</x:v>
      </x:c>
      <x:c r="D2351" s="5" t="n">
        <x:v>314</x:v>
      </x:c>
      <x:c r="E2351" s="5" t="n">
        <x:v>6</x:v>
      </x:c>
      <x:c r="F2351" s="5" t="str">
        <x:v>R&amp;D Spend</x:v>
      </x:c>
      <x:c r="G2351" s="5" t="n">
        <x:v>1</x:v>
      </x:c>
      <x:c r="H2351" s="5" t="n">
        <x:v>1</x:v>
      </x:c>
      <x:c r="I2351" s="5" t="str">
        <x:v>SEK 1,745.0M (~5.0% sales)</x:v>
      </x:c>
      <x:c r="J2351" s="5" t="str">
        <x:v>SOURCE QUOTE; unvalidated / superseded assessments</x:v>
      </x:c>
      <x:c r="L2351" s="31" t="str">
        <x:v>D06, Markdown line 314; http://nas-1.tail55d152.ts.net:4100/static/MEDICAL_NORDICS_FINANCIALS_DOSSIER.html</x:v>
      </x:c>
    </x:row>
    <x:row r="2352" ht="42" customHeight="1">
      <x:c r="A2352" s="5" t="str">
        <x:v>D06</x:v>
      </x:c>
      <x:c r="B2352" s="5" t="str">
        <x:v>D06-T01</x:v>
      </x:c>
      <x:c r="C2352" s="5" t="str">
        <x:v>5. Complete Company Financial Table (135 Facilities Analyzed)</x:v>
      </x:c>
      <x:c r="D2352" s="5" t="n">
        <x:v>314</x:v>
      </x:c>
      <x:c r="E2352" s="5" t="n">
        <x:v>7</x:v>
      </x:c>
      <x:c r="F2352" s="5" t="str">
        <x:v>Currency</x:v>
      </x:c>
      <x:c r="G2352" s="5" t="n">
        <x:v>1</x:v>
      </x:c>
      <x:c r="H2352" s="5" t="n">
        <x:v>1</x:v>
      </x:c>
      <x:c r="I2352" s="5" t="str">
        <x:v>SEK</x:v>
      </x:c>
      <x:c r="J2352" s="5" t="str">
        <x:v>SOURCE QUOTE; unvalidated / superseded assessments</x:v>
      </x:c>
      <x:c r="L2352" s="31" t="str">
        <x:v>D06, Markdown line 314; http://nas-1.tail55d152.ts.net:4100/static/MEDICAL_NORDICS_FINANCIALS_DOSSIER.html</x:v>
      </x:c>
    </x:row>
    <x:row r="2353" ht="42" customHeight="1">
      <x:c r="A2353" s="5" t="str">
        <x:v>D06</x:v>
      </x:c>
      <x:c r="B2353" s="5" t="str">
        <x:v>D06-T01</x:v>
      </x:c>
      <x:c r="C2353" s="5" t="str">
        <x:v>5. Complete Company Financial Table (135 Facilities Analyzed)</x:v>
      </x:c>
      <x:c r="D2353" s="5" t="n">
        <x:v>314</x:v>
      </x:c>
      <x:c r="E2353" s="5" t="n">
        <x:v>8</x:v>
      </x:c>
      <x:c r="F2353" s="5" t="str">
        <x:v>Fiscal Year</x:v>
      </x:c>
      <x:c r="G2353" s="5" t="n">
        <x:v>1</x:v>
      </x:c>
      <x:c r="H2353" s="5" t="n">
        <x:v>1</x:v>
      </x:c>
      <x:c r="I2353" s="5" t="str">
        <x:v>FY2024</x:v>
      </x:c>
      <x:c r="J2353" s="5" t="str">
        <x:v>SOURCE QUOTE; unvalidated / superseded assessments</x:v>
      </x:c>
      <x:c r="L2353" s="31" t="str">
        <x:v>D06, Markdown line 314; http://nas-1.tail55d152.ts.net:4100/static/MEDICAL_NORDICS_FINANCIALS_DOSSIER.html</x:v>
      </x:c>
    </x:row>
    <x:row r="2354" ht="42" customHeight="1">
      <x:c r="A2354" s="5" t="str">
        <x:v>D06</x:v>
      </x:c>
      <x:c r="B2354" s="5" t="str">
        <x:v>D06-T01</x:v>
      </x:c>
      <x:c r="C2354" s="5" t="str">
        <x:v>5. Complete Company Financial Table (135 Facilities Analyzed)</x:v>
      </x:c>
      <x:c r="D2354" s="5" t="n">
        <x:v>314</x:v>
      </x:c>
      <x:c r="E2354" s="5" t="n">
        <x:v>9</x:v>
      </x:c>
      <x:c r="F2354" s="5" t="str">
        <x:v>Status / Ownership / Strategic Service Alignment</x:v>
      </x:c>
      <x:c r="G2354" s="5" t="n">
        <x:v>1</x:v>
      </x:c>
      <x:c r="H2354" s="5" t="n">
        <x:v>1</x:v>
      </x:c>
      <x:c r="I2354" s="5" t="str">
        <x:v>Listed (Nasdaq: GETI B); Package A (Central sterile services department / CSSD contracts)</x:v>
      </x:c>
      <x:c r="J2354" s="5" t="str">
        <x:v>SOURCE QUOTE; unvalidated / superseded assessments</x:v>
      </x:c>
      <x:c r="L2354" s="31" t="str">
        <x:v>D06, Markdown line 314; http://nas-1.tail55d152.ts.net:4100/static/MEDICAL_NORDICS_FINANCIALS_DOSSIER.html</x:v>
      </x:c>
    </x:row>
    <x:row r="2355" ht="42" customHeight="1">
      <x:c r="A2355" s="5" t="str">
        <x:v>D06</x:v>
      </x:c>
      <x:c r="B2355" s="5" t="str">
        <x:v>D06-T01</x:v>
      </x:c>
      <x:c r="C2355" s="5" t="str">
        <x:v>5. Complete Company Financial Table (135 Facilities Analyzed)</x:v>
      </x:c>
      <x:c r="D2355" s="5" t="n">
        <x:v>315</x:v>
      </x:c>
      <x:c r="E2355" s="5" t="n">
        <x:v>1</x:v>
      </x:c>
      <x:c r="F2355" s="5" t="str">
        <x:v>#</x:v>
      </x:c>
      <x:c r="G2355" s="5" t="n">
        <x:v>1</x:v>
      </x:c>
      <x:c r="H2355" s="5" t="n">
        <x:v>1</x:v>
      </x:c>
      <x:c r="I2355" s="5" t="str">
        <x:v>134</x:v>
      </x:c>
      <x:c r="J2355" s="5" t="str">
        <x:v>SOURCE QUOTE; unvalidated / superseded assessments</x:v>
      </x:c>
      <x:c r="L2355" s="31" t="str">
        <x:v>D06, Markdown line 315; http://nas-1.tail55d152.ts.net:4100/static/MEDICAL_NORDICS_FINANCIALS_DOSSIER.html</x:v>
      </x:c>
    </x:row>
    <x:row r="2356" ht="42" customHeight="1">
      <x:c r="A2356" s="5" t="str">
        <x:v>D06</x:v>
      </x:c>
      <x:c r="B2356" s="5" t="str">
        <x:v>D06-T01</x:v>
      </x:c>
      <x:c r="C2356" s="5" t="str">
        <x:v>5. Complete Company Financial Table (135 Facilities Analyzed)</x:v>
      </x:c>
      <x:c r="D2356" s="5" t="n">
        <x:v>315</x:v>
      </x:c>
      <x:c r="E2356" s="5" t="n">
        <x:v>2</x:v>
      </x:c>
      <x:c r="F2356" s="5" t="str">
        <x:v>Company</x:v>
      </x:c>
      <x:c r="G2356" s="5" t="n">
        <x:v>1</x:v>
      </x:c>
      <x:c r="H2356" s="5" t="n">
        <x:v>1</x:v>
      </x:c>
      <x:c r="I2356" s="5" t="str">
        <x:v>Metenova</x:v>
      </x:c>
      <x:c r="J2356" s="5" t="str">
        <x:v>SOURCE QUOTE; unvalidated / superseded assessments</x:v>
      </x:c>
      <x:c r="L2356" s="31" t="str">
        <x:v>D06, Markdown line 315; http://nas-1.tail55d152.ts.net:4100/static/MEDICAL_NORDICS_FINANCIALS_DOSSIER.html</x:v>
      </x:c>
    </x:row>
    <x:row r="2357" ht="42" customHeight="1">
      <x:c r="A2357" s="5" t="str">
        <x:v>D06</x:v>
      </x:c>
      <x:c r="B2357" s="5" t="str">
        <x:v>D06-T01</x:v>
      </x:c>
      <x:c r="C2357" s="5" t="str">
        <x:v>5. Complete Company Financial Table (135 Facilities Analyzed)</x:v>
      </x:c>
      <x:c r="D2357" s="5" t="n">
        <x:v>315</x:v>
      </x:c>
      <x:c r="E2357" s="5" t="n">
        <x:v>3</x:v>
      </x:c>
      <x:c r="F2357" s="5" t="str">
        <x:v>Location</x:v>
      </x:c>
      <x:c r="G2357" s="5" t="n">
        <x:v>1</x:v>
      </x:c>
      <x:c r="H2357" s="5" t="n">
        <x:v>1</x:v>
      </x:c>
      <x:c r="I2357" s="5" t="str">
        <x:v>Gothenburg, Sweden</x:v>
      </x:c>
      <x:c r="J2357" s="5" t="str">
        <x:v>SOURCE QUOTE; unvalidated / superseded assessments</x:v>
      </x:c>
      <x:c r="L2357" s="31" t="str">
        <x:v>D06, Markdown line 315; http://nas-1.tail55d152.ts.net:4100/static/MEDICAL_NORDICS_FINANCIALS_DOSSIER.html</x:v>
      </x:c>
    </x:row>
    <x:row r="2358" ht="42" customHeight="1">
      <x:c r="A2358" s="5" t="str">
        <x:v>D06</x:v>
      </x:c>
      <x:c r="B2358" s="5" t="str">
        <x:v>D06-T01</x:v>
      </x:c>
      <x:c r="C2358" s="5" t="str">
        <x:v>5. Complete Company Financial Table (135 Facilities Analyzed)</x:v>
      </x:c>
      <x:c r="D2358" s="5" t="n">
        <x:v>315</x:v>
      </x:c>
      <x:c r="E2358" s="5" t="n">
        <x:v>4</x:v>
      </x:c>
      <x:c r="F2358" s="5" t="str">
        <x:v>Focus Area</x:v>
      </x:c>
      <x:c r="G2358" s="5" t="n">
        <x:v>1</x:v>
      </x:c>
      <x:c r="H2358" s="5" t="n">
        <x:v>1</x:v>
      </x:c>
      <x:c r="I2358" s="5" t="str">
        <x:v>Aseptic Magnetic Mixers for Biopharma</x:v>
      </x:c>
      <x:c r="J2358" s="5" t="str">
        <x:v>SOURCE QUOTE; unvalidated / superseded assessments</x:v>
      </x:c>
      <x:c r="L2358" s="31" t="str">
        <x:v>D06, Markdown line 315; http://nas-1.tail55d152.ts.net:4100/static/MEDICAL_NORDICS_FINANCIALS_DOSSIER.html</x:v>
      </x:c>
    </x:row>
    <x:row r="2359" ht="42" customHeight="1">
      <x:c r="A2359" s="5" t="str">
        <x:v>D06</x:v>
      </x:c>
      <x:c r="B2359" s="5" t="str">
        <x:v>D06-T01</x:v>
      </x:c>
      <x:c r="C2359" s="5" t="str">
        <x:v>5. Complete Company Financial Table (135 Facilities Analyzed)</x:v>
      </x:c>
      <x:c r="D2359" s="5" t="n">
        <x:v>315</x:v>
      </x:c>
      <x:c r="E2359" s="5" t="n">
        <x:v>5</x:v>
      </x:c>
      <x:c r="F2359" s="5" t="str">
        <x:v>Revenue / Net Sales</x:v>
      </x:c>
      <x:c r="G2359" s="5" t="n">
        <x:v>1</x:v>
      </x:c>
      <x:c r="H2359" s="5" t="n">
        <x:v>1</x:v>
      </x:c>
      <x:c r="I2359" s="5" t="str">
        <x:v>USD 24.5M (~SEK 255M)</x:v>
      </x:c>
      <x:c r="J2359" s="5" t="str">
        <x:v>SOURCE QUOTE; unvalidated / superseded assessments</x:v>
      </x:c>
      <x:c r="L2359" s="31" t="str">
        <x:v>D06, Markdown line 315; http://nas-1.tail55d152.ts.net:4100/static/MEDICAL_NORDICS_FINANCIALS_DOSSIER.html</x:v>
      </x:c>
    </x:row>
    <x:row r="2360" ht="42" customHeight="1">
      <x:c r="A2360" s="5" t="str">
        <x:v>D06</x:v>
      </x:c>
      <x:c r="B2360" s="5" t="str">
        <x:v>D06-T01</x:v>
      </x:c>
      <x:c r="C2360" s="5" t="str">
        <x:v>5. Complete Company Financial Table (135 Facilities Analyzed)</x:v>
      </x:c>
      <x:c r="D2360" s="5" t="n">
        <x:v>315</x:v>
      </x:c>
      <x:c r="E2360" s="5" t="n">
        <x:v>6</x:v>
      </x:c>
      <x:c r="F2360" s="5" t="str">
        <x:v>R&amp;D Spend</x:v>
      </x:c>
      <x:c r="G2360" s="5" t="n">
        <x:v>1</x:v>
      </x:c>
      <x:c r="H2360" s="5" t="n">
        <x:v>1</x:v>
      </x:c>
      <x:c r="I2360" s="5" t="str">
        <x:v>USD 4.2M (~SEK 44M)</x:v>
      </x:c>
      <x:c r="J2360" s="5" t="str">
        <x:v>SOURCE QUOTE; unvalidated / superseded assessments</x:v>
      </x:c>
      <x:c r="L2360" s="31" t="str">
        <x:v>D06, Markdown line 315; http://nas-1.tail55d152.ts.net:4100/static/MEDICAL_NORDICS_FINANCIALS_DOSSIER.html</x:v>
      </x:c>
    </x:row>
    <x:row r="2361" ht="42" customHeight="1">
      <x:c r="A2361" s="5" t="str">
        <x:v>D06</x:v>
      </x:c>
      <x:c r="B2361" s="5" t="str">
        <x:v>D06-T01</x:v>
      </x:c>
      <x:c r="C2361" s="5" t="str">
        <x:v>5. Complete Company Financial Table (135 Facilities Analyzed)</x:v>
      </x:c>
      <x:c r="D2361" s="5" t="n">
        <x:v>315</x:v>
      </x:c>
      <x:c r="E2361" s="5" t="n">
        <x:v>7</x:v>
      </x:c>
      <x:c r="F2361" s="5" t="str">
        <x:v>Currency</x:v>
      </x:c>
      <x:c r="G2361" s="5" t="n">
        <x:v>1</x:v>
      </x:c>
      <x:c r="H2361" s="5" t="n">
        <x:v>1</x:v>
      </x:c>
      <x:c r="I2361" s="5" t="str">
        <x:v>USD</x:v>
      </x:c>
      <x:c r="J2361" s="5" t="str">
        <x:v>SOURCE QUOTE; unvalidated / superseded assessments</x:v>
      </x:c>
      <x:c r="L2361" s="31" t="str">
        <x:v>D06, Markdown line 315; http://nas-1.tail55d152.ts.net:4100/static/MEDICAL_NORDICS_FINANCIALS_DOSSIER.html</x:v>
      </x:c>
    </x:row>
    <x:row r="2362" ht="42" customHeight="1">
      <x:c r="A2362" s="5" t="str">
        <x:v>D06</x:v>
      </x:c>
      <x:c r="B2362" s="5" t="str">
        <x:v>D06-T01</x:v>
      </x:c>
      <x:c r="C2362" s="5" t="str">
        <x:v>5. Complete Company Financial Table (135 Facilities Analyzed)</x:v>
      </x:c>
      <x:c r="D2362" s="5" t="n">
        <x:v>315</x:v>
      </x:c>
      <x:c r="E2362" s="5" t="n">
        <x:v>8</x:v>
      </x:c>
      <x:c r="F2362" s="5" t="str">
        <x:v>Fiscal Year</x:v>
      </x:c>
      <x:c r="G2362" s="5" t="n">
        <x:v>1</x:v>
      </x:c>
      <x:c r="H2362" s="5" t="n">
        <x:v>1</x:v>
      </x:c>
      <x:c r="I2362" s="5" t="str">
        <x:v>FY2023</x:v>
      </x:c>
      <x:c r="J2362" s="5" t="str">
        <x:v>SOURCE QUOTE; unvalidated / superseded assessments</x:v>
      </x:c>
      <x:c r="L2362" s="31" t="str">
        <x:v>D06, Markdown line 315; http://nas-1.tail55d152.ts.net:4100/static/MEDICAL_NORDICS_FINANCIALS_DOSSIER.html</x:v>
      </x:c>
    </x:row>
    <x:row r="2363" ht="42" customHeight="1">
      <x:c r="A2363" s="5" t="str">
        <x:v>D06</x:v>
      </x:c>
      <x:c r="B2363" s="5" t="str">
        <x:v>D06-T01</x:v>
      </x:c>
      <x:c r="C2363" s="5" t="str">
        <x:v>5. Complete Company Financial Table (135 Facilities Analyzed)</x:v>
      </x:c>
      <x:c r="D2363" s="5" t="n">
        <x:v>315</x:v>
      </x:c>
      <x:c r="E2363" s="5" t="n">
        <x:v>9</x:v>
      </x:c>
      <x:c r="F2363" s="5" t="str">
        <x:v>Status / Ownership / Strategic Service Alignment</x:v>
      </x:c>
      <x:c r="G2363" s="5" t="n">
        <x:v>1</x:v>
      </x:c>
      <x:c r="H2363" s="5" t="n">
        <x:v>1</x:v>
      </x:c>
      <x:c r="I2363" s="5" t="str">
        <x:v>Repligen (Nasdaq: RGEN) unit; Package D (Bioprocess fluid handling batch reliability proof)</x:v>
      </x:c>
      <x:c r="J2363" s="5" t="str">
        <x:v>SOURCE QUOTE; unvalidated / superseded assessments</x:v>
      </x:c>
      <x:c r="L2363" s="31" t="str">
        <x:v>D06, Markdown line 315; http://nas-1.tail55d152.ts.net:4100/static/MEDICAL_NORDICS_FINANCIALS_DOSSIER.html</x:v>
      </x:c>
    </x:row>
    <x:row r="2364" ht="42" customHeight="1">
      <x:c r="A2364" s="5" t="str">
        <x:v>D06</x:v>
      </x:c>
      <x:c r="B2364" s="5" t="str">
        <x:v>D06-T01</x:v>
      </x:c>
      <x:c r="C2364" s="5" t="str">
        <x:v>5. Complete Company Financial Table (135 Facilities Analyzed)</x:v>
      </x:c>
      <x:c r="D2364" s="5" t="n">
        <x:v>316</x:v>
      </x:c>
      <x:c r="E2364" s="5" t="n">
        <x:v>1</x:v>
      </x:c>
      <x:c r="F2364" s="5" t="str">
        <x:v>#</x:v>
      </x:c>
      <x:c r="G2364" s="5" t="n">
        <x:v>1</x:v>
      </x:c>
      <x:c r="H2364" s="5" t="n">
        <x:v>1</x:v>
      </x:c>
      <x:c r="I2364" s="5" t="str">
        <x:v>135</x:v>
      </x:c>
      <x:c r="J2364" s="5" t="str">
        <x:v>SOURCE QUOTE; unvalidated / superseded assessments</x:v>
      </x:c>
      <x:c r="L2364" s="31" t="str">
        <x:v>D06, Markdown line 316; http://nas-1.tail55d152.ts.net:4100/static/MEDICAL_NORDICS_FINANCIALS_DOSSIER.html</x:v>
      </x:c>
    </x:row>
    <x:row r="2365" ht="42" customHeight="1">
      <x:c r="A2365" s="5" t="str">
        <x:v>D06</x:v>
      </x:c>
      <x:c r="B2365" s="5" t="str">
        <x:v>D06-T01</x:v>
      </x:c>
      <x:c r="C2365" s="5" t="str">
        <x:v>5. Complete Company Financial Table (135 Facilities Analyzed)</x:v>
      </x:c>
      <x:c r="D2365" s="5" t="n">
        <x:v>316</x:v>
      </x:c>
      <x:c r="E2365" s="5" t="n">
        <x:v>2</x:v>
      </x:c>
      <x:c r="F2365" s="5" t="str">
        <x:v>Company</x:v>
      </x:c>
      <x:c r="G2365" s="5" t="n">
        <x:v>1</x:v>
      </x:c>
      <x:c r="H2365" s="5" t="n">
        <x:v>1</x:v>
      </x:c>
      <x:c r="I2365" s="5" t="str">
        <x:v>Optimapharm</x:v>
      </x:c>
      <x:c r="J2365" s="5" t="str">
        <x:v>SOURCE QUOTE; unvalidated / superseded assessments</x:v>
      </x:c>
      <x:c r="L2365" s="31" t="str">
        <x:v>D06, Markdown line 316; http://nas-1.tail55d152.ts.net:4100/static/MEDICAL_NORDICS_FINANCIALS_DOSSIER.html</x:v>
      </x:c>
    </x:row>
    <x:row r="2366" ht="42" customHeight="1">
      <x:c r="A2366" s="5" t="str">
        <x:v>D06</x:v>
      </x:c>
      <x:c r="B2366" s="5" t="str">
        <x:v>D06-T01</x:v>
      </x:c>
      <x:c r="C2366" s="5" t="str">
        <x:v>5. Complete Company Financial Table (135 Facilities Analyzed)</x:v>
      </x:c>
      <x:c r="D2366" s="5" t="n">
        <x:v>316</x:v>
      </x:c>
      <x:c r="E2366" s="5" t="n">
        <x:v>3</x:v>
      </x:c>
      <x:c r="F2366" s="5" t="str">
        <x:v>Location</x:v>
      </x:c>
      <x:c r="G2366" s="5" t="n">
        <x:v>1</x:v>
      </x:c>
      <x:c r="H2366" s="5" t="n">
        <x:v>1</x:v>
      </x:c>
      <x:c r="I2366" s="5" t="str">
        <x:v>Stockholm, Sweden</x:v>
      </x:c>
      <x:c r="J2366" s="5" t="str">
        <x:v>SOURCE QUOTE; unvalidated / superseded assessments</x:v>
      </x:c>
      <x:c r="L2366" s="31" t="str">
        <x:v>D06, Markdown line 316; http://nas-1.tail55d152.ts.net:4100/static/MEDICAL_NORDICS_FINANCIALS_DOSSIER.html</x:v>
      </x:c>
    </x:row>
    <x:row r="2367" ht="42" customHeight="1">
      <x:c r="A2367" s="5" t="str">
        <x:v>D06</x:v>
      </x:c>
      <x:c r="B2367" s="5" t="str">
        <x:v>D06-T01</x:v>
      </x:c>
      <x:c r="C2367" s="5" t="str">
        <x:v>5. Complete Company Financial Table (135 Facilities Analyzed)</x:v>
      </x:c>
      <x:c r="D2367" s="5" t="n">
        <x:v>316</x:v>
      </x:c>
      <x:c r="E2367" s="5" t="n">
        <x:v>4</x:v>
      </x:c>
      <x:c r="F2367" s="5" t="str">
        <x:v>Focus Area</x:v>
      </x:c>
      <x:c r="G2367" s="5" t="n">
        <x:v>1</x:v>
      </x:c>
      <x:c r="H2367" s="5" t="n">
        <x:v>1</x:v>
      </x:c>
      <x:c r="I2367" s="5" t="str">
        <x:v>Clinical Site Monitoring &amp; Biometrics Hub</x:v>
      </x:c>
      <x:c r="J2367" s="5" t="str">
        <x:v>SOURCE QUOTE; unvalidated / superseded assessments</x:v>
      </x:c>
      <x:c r="L2367" s="31" t="str">
        <x:v>D06, Markdown line 316; http://nas-1.tail55d152.ts.net:4100/static/MEDICAL_NORDICS_FINANCIALS_DOSSIER.html</x:v>
      </x:c>
    </x:row>
    <x:row r="2368" ht="42" customHeight="1">
      <x:c r="A2368" s="5" t="str">
        <x:v>D06</x:v>
      </x:c>
      <x:c r="B2368" s="5" t="str">
        <x:v>D06-T01</x:v>
      </x:c>
      <x:c r="C2368" s="5" t="str">
        <x:v>5. Complete Company Financial Table (135 Facilities Analyzed)</x:v>
      </x:c>
      <x:c r="D2368" s="5" t="n">
        <x:v>316</x:v>
      </x:c>
      <x:c r="E2368" s="5" t="n">
        <x:v>5</x:v>
      </x:c>
      <x:c r="F2368" s="5" t="str">
        <x:v>Revenue / Net Sales</x:v>
      </x:c>
      <x:c r="G2368" s="5" t="n">
        <x:v>1</x:v>
      </x:c>
      <x:c r="H2368" s="5" t="n">
        <x:v>1</x:v>
      </x:c>
      <x:c r="I2368" s="5" t="str">
        <x:v>EUR 52.0M est. (~SEK 590M)</x:v>
      </x:c>
      <x:c r="J2368" s="5" t="str">
        <x:v>SOURCE QUOTE; unvalidated / superseded assessments</x:v>
      </x:c>
      <x:c r="L2368" s="31" t="str">
        <x:v>D06, Markdown line 316; http://nas-1.tail55d152.ts.net:4100/static/MEDICAL_NORDICS_FINANCIALS_DOSSIER.html</x:v>
      </x:c>
    </x:row>
    <x:row r="2369" ht="42" customHeight="1">
      <x:c r="A2369" s="5" t="str">
        <x:v>D06</x:v>
      </x:c>
      <x:c r="B2369" s="5" t="str">
        <x:v>D06-T01</x:v>
      </x:c>
      <x:c r="C2369" s="5" t="str">
        <x:v>5. Complete Company Financial Table (135 Facilities Analyzed)</x:v>
      </x:c>
      <x:c r="D2369" s="5" t="n">
        <x:v>316</x:v>
      </x:c>
      <x:c r="E2369" s="5" t="n">
        <x:v>6</x:v>
      </x:c>
      <x:c r="F2369" s="5" t="str">
        <x:v>R&amp;D Spend</x:v>
      </x:c>
      <x:c r="G2369" s="5" t="n">
        <x:v>1</x:v>
      </x:c>
      <x:c r="H2369" s="5" t="n">
        <x:v>1</x:v>
      </x:c>
      <x:c r="I2369" s="5" t="str">
        <x:v>EUR 4.8M (~SEK 55M)</x:v>
      </x:c>
      <x:c r="J2369" s="5" t="str">
        <x:v>SOURCE QUOTE; unvalidated / superseded assessments</x:v>
      </x:c>
      <x:c r="L2369" s="31" t="str">
        <x:v>D06, Markdown line 316; http://nas-1.tail55d152.ts.net:4100/static/MEDICAL_NORDICS_FINANCIALS_DOSSIER.html</x:v>
      </x:c>
    </x:row>
    <x:row r="2370" ht="42" customHeight="1">
      <x:c r="A2370" s="5" t="str">
        <x:v>D06</x:v>
      </x:c>
      <x:c r="B2370" s="5" t="str">
        <x:v>D06-T01</x:v>
      </x:c>
      <x:c r="C2370" s="5" t="str">
        <x:v>5. Complete Company Financial Table (135 Facilities Analyzed)</x:v>
      </x:c>
      <x:c r="D2370" s="5" t="n">
        <x:v>316</x:v>
      </x:c>
      <x:c r="E2370" s="5" t="n">
        <x:v>7</x:v>
      </x:c>
      <x:c r="F2370" s="5" t="str">
        <x:v>Currency</x:v>
      </x:c>
      <x:c r="G2370" s="5" t="n">
        <x:v>1</x:v>
      </x:c>
      <x:c r="H2370" s="5" t="n">
        <x:v>1</x:v>
      </x:c>
      <x:c r="I2370" s="5" t="str">
        <x:v>EUR</x:v>
      </x:c>
      <x:c r="J2370" s="5" t="str">
        <x:v>SOURCE QUOTE; unvalidated / superseded assessments</x:v>
      </x:c>
      <x:c r="L2370" s="31" t="str">
        <x:v>D06, Markdown line 316; http://nas-1.tail55d152.ts.net:4100/static/MEDICAL_NORDICS_FINANCIALS_DOSSIER.html</x:v>
      </x:c>
    </x:row>
    <x:row r="2371" ht="42" customHeight="1">
      <x:c r="A2371" s="5" t="str">
        <x:v>D06</x:v>
      </x:c>
      <x:c r="B2371" s="5" t="str">
        <x:v>D06-T01</x:v>
      </x:c>
      <x:c r="C2371" s="5" t="str">
        <x:v>5. Complete Company Financial Table (135 Facilities Analyzed)</x:v>
      </x:c>
      <x:c r="D2371" s="5" t="n">
        <x:v>316</x:v>
      </x:c>
      <x:c r="E2371" s="5" t="n">
        <x:v>8</x:v>
      </x:c>
      <x:c r="F2371" s="5" t="str">
        <x:v>Fiscal Year</x:v>
      </x:c>
      <x:c r="G2371" s="5" t="n">
        <x:v>1</x:v>
      </x:c>
      <x:c r="H2371" s="5" t="n">
        <x:v>1</x:v>
      </x:c>
      <x:c r="I2371" s="5" t="str">
        <x:v>FY2023/24</x:v>
      </x:c>
      <x:c r="J2371" s="5" t="str">
        <x:v>SOURCE QUOTE; unvalidated / superseded assessments</x:v>
      </x:c>
      <x:c r="L2371" s="31" t="str">
        <x:v>D06, Markdown line 316; http://nas-1.tail55d152.ts.net:4100/static/MEDICAL_NORDICS_FINANCIALS_DOSSIER.html</x:v>
      </x:c>
    </x:row>
    <x:row r="2372" ht="42" customHeight="1">
      <x:c r="A2372" s="5" t="str">
        <x:v>D06</x:v>
      </x:c>
      <x:c r="B2372" s="5" t="str">
        <x:v>D06-T01</x:v>
      </x:c>
      <x:c r="C2372" s="5" t="str">
        <x:v>5. Complete Company Financial Table (135 Facilities Analyzed)</x:v>
      </x:c>
      <x:c r="D2372" s="5" t="n">
        <x:v>316</x:v>
      </x:c>
      <x:c r="E2372" s="5" t="n">
        <x:v>9</x:v>
      </x:c>
      <x:c r="F2372" s="5" t="str">
        <x:v>Status / Ownership / Strategic Service Alignment</x:v>
      </x:c>
      <x:c r="G2372" s="5" t="n">
        <x:v>1</x:v>
      </x:c>
      <x:c r="H2372" s="5" t="n">
        <x:v>1</x:v>
      </x:c>
      <x:c r="I2372" s="5" t="str">
        <x:v>Private CRO operations; Co-Opetition (Subcontracting 2S AI patient recruitment engine)</x:v>
      </x:c>
      <x:c r="J2372" s="5" t="str">
        <x:v>SOURCE QUOTE; unvalidated / superseded assessments</x:v>
      </x:c>
      <x:c r="L2372" s="31" t="str">
        <x:v>D06, Markdown line 316; http://nas-1.tail55d152.ts.net:4100/static/MEDICAL_NORDICS_FINANCIALS_DOSSIER.html</x:v>
      </x:c>
    </x:row>
    <x:row r="2373" ht="42" customHeight="1">
      <x:c r="A2373" s="5" t="str">
        <x:v>D08</x:v>
      </x:c>
      <x:c r="B2373" s="5" t="str">
        <x:v>D08-T01</x:v>
      </x:c>
      <x:c r="C2373" s="5" t="str">
        <x:v>3. Comprehensive Competitive Capability Matrix</x:v>
      </x:c>
      <x:c r="D2373" s="5" t="n">
        <x:v>133</x:v>
      </x:c>
      <x:c r="E2373" s="5" t="n">
        <x:v>1</x:v>
      </x:c>
      <x:c r="F2373" s="5" t="str">
        <x:v>Evaluation Dimension</x:v>
      </x:c>
      <x:c r="G2373" s="5" t="n">
        <x:v>1</x:v>
      </x:c>
      <x:c r="H2373" s="5" t="n">
        <x:v>1</x:v>
      </x:c>
      <x:c r="I2373" s="5" t="str">
        <x:v>Continuous Digital QA Platform</x:v>
      </x:c>
      <x:c r="J2373" s="5" t="str">
        <x:v>SOURCE QUOTE; unvalidated / superseded assessments</x:v>
      </x:c>
      <x:c r="L2373" s="31" t="str">
        <x:v>D08, Markdown line 133; http://nas-1.tail55d152.ts.net:4100/static/NORDIC_MEDTECH_COMPETITIVE_LANDSCAPE_AND_PEER_DOSSIER.html</x:v>
      </x:c>
    </x:row>
    <x:row r="2374" ht="42" customHeight="1">
      <x:c r="A2374" s="5" t="str">
        <x:v>D08</x:v>
      </x:c>
      <x:c r="B2374" s="5" t="str">
        <x:v>D08-T01</x:v>
      </x:c>
      <x:c r="C2374" s="5" t="str">
        <x:v>3. Comprehensive Competitive Capability Matrix</x:v>
      </x:c>
      <x:c r="D2374" s="5" t="n">
        <x:v>133</x:v>
      </x:c>
      <x:c r="E2374" s="5" t="n">
        <x:v>2</x:v>
      </x:c>
      <x:c r="F2374" s="5" t="str">
        <x:v>2S Consulting &amp; HCare360</x:v>
      </x:c>
      <x:c r="G2374" s="5" t="n">
        <x:v>1</x:v>
      </x:c>
      <x:c r="H2374" s="5" t="n">
        <x:v>1</x:v>
      </x:c>
      <x:c r="I2374" s="5" t="str">
        <x:v>YES (HCare360)</x:v>
      </x:c>
      <x:c r="J2374" s="5" t="str">
        <x:v>SOURCE QUOTE; unvalidated / superseded assessments</x:v>
      </x:c>
      <x:c r="L2374" s="31" t="str">
        <x:v>D08, Markdown line 133; http://nas-1.tail55d152.ts.net:4100/static/NORDIC_MEDTECH_COMPETITIVE_LANDSCAPE_AND_PEER_DOSSIER.html</x:v>
      </x:c>
    </x:row>
    <x:row r="2375" ht="42" customHeight="1">
      <x:c r="A2375" s="5" t="str">
        <x:v>D08</x:v>
      </x:c>
      <x:c r="B2375" s="5" t="str">
        <x:v>D08-T01</x:v>
      </x:c>
      <x:c r="C2375" s="5" t="str">
        <x:v>3. Comprehensive Competitive Capability Matrix</x:v>
      </x:c>
      <x:c r="D2375" s="5" t="n">
        <x:v>133</x:v>
      </x:c>
      <x:c r="E2375" s="5" t="n">
        <x:v>3</x:v>
      </x:c>
      <x:c r="F2375" s="5" t="str">
        <x:v>Plantvision / Knightec</x:v>
      </x:c>
      <x:c r="G2375" s="5" t="n">
        <x:v>1</x:v>
      </x:c>
      <x:c r="H2375" s="5" t="n">
        <x:v>1</x:v>
      </x:c>
      <x:c r="I2375" s="5" t="str">
        <x:v>NO (Manual T&amp;M)</x:v>
      </x:c>
      <x:c r="J2375" s="5" t="str">
        <x:v>SOURCE QUOTE; unvalidated / superseded assessments</x:v>
      </x:c>
      <x:c r="L2375" s="31" t="str">
        <x:v>D08, Markdown line 133; http://nas-1.tail55d152.ts.net:4100/static/NORDIC_MEDTECH_COMPETITIVE_LANDSCAPE_AND_PEER_DOSSIER.html</x:v>
      </x:c>
    </x:row>
    <x:row r="2376" ht="42" customHeight="1">
      <x:c r="A2376" s="5" t="str">
        <x:v>D08</x:v>
      </x:c>
      <x:c r="B2376" s="5" t="str">
        <x:v>D08-T01</x:v>
      </x:c>
      <x:c r="C2376" s="5" t="str">
        <x:v>3. Comprehensive Competitive Capability Matrix</x:v>
      </x:c>
      <x:c r="D2376" s="5" t="n">
        <x:v>133</x:v>
      </x:c>
      <x:c r="E2376" s="5" t="n">
        <x:v>4</x:v>
      </x:c>
      <x:c r="F2376" s="5" t="str">
        <x:v>Qadvis / Symbioteq</x:v>
      </x:c>
      <x:c r="G2376" s="5" t="n">
        <x:v>1</x:v>
      </x:c>
      <x:c r="H2376" s="5" t="n">
        <x:v>1</x:v>
      </x:c>
      <x:c r="I2376" s="5" t="str">
        <x:v>NO (Manual)</x:v>
      </x:c>
      <x:c r="J2376" s="5" t="str">
        <x:v>SOURCE QUOTE; unvalidated / superseded assessments</x:v>
      </x:c>
      <x:c r="L2376" s="31" t="str">
        <x:v>D08, Markdown line 133; http://nas-1.tail55d152.ts.net:4100/static/NORDIC_MEDTECH_COMPETITIVE_LANDSCAPE_AND_PEER_DOSSIER.html</x:v>
      </x:c>
    </x:row>
    <x:row r="2377" ht="42" customHeight="1">
      <x:c r="A2377" s="5" t="str">
        <x:v>D08</x:v>
      </x:c>
      <x:c r="B2377" s="5" t="str">
        <x:v>D08-T01</x:v>
      </x:c>
      <x:c r="C2377" s="5" t="str">
        <x:v>3. Comprehensive Competitive Capability Matrix</x:v>
      </x:c>
      <x:c r="D2377" s="5" t="n">
        <x:v>133</x:v>
      </x:c>
      <x:c r="E2377" s="5" t="n">
        <x:v>5</x:v>
      </x:c>
      <x:c r="F2377" s="5" t="str">
        <x:v>Emergo by UL</x:v>
      </x:c>
      <x:c r="G2377" s="5" t="n">
        <x:v>1</x:v>
      </x:c>
      <x:c r="H2377" s="5" t="n">
        <x:v>1</x:v>
      </x:c>
      <x:c r="I2377" s="5" t="str">
        <x:v>NO (Portal only)</x:v>
      </x:c>
      <x:c r="J2377" s="5" t="str">
        <x:v>SOURCE QUOTE; unvalidated / superseded assessments</x:v>
      </x:c>
      <x:c r="L2377" s="31" t="str">
        <x:v>D08, Markdown line 133; http://nas-1.tail55d152.ts.net:4100/static/NORDIC_MEDTECH_COMPETITIVE_LANDSCAPE_AND_PEER_DOSSIER.html</x:v>
      </x:c>
    </x:row>
    <x:row r="2378" ht="42" customHeight="1">
      <x:c r="A2378" s="5" t="str">
        <x:v>D08</x:v>
      </x:c>
      <x:c r="B2378" s="5" t="str">
        <x:v>D08-T01</x:v>
      </x:c>
      <x:c r="C2378" s="5" t="str">
        <x:v>3. Comprehensive Competitive Capability Matrix</x:v>
      </x:c>
      <x:c r="D2378" s="5" t="n">
        <x:v>133</x:v>
      </x:c>
      <x:c r="E2378" s="5" t="n">
        <x:v>6</x:v>
      </x:c>
      <x:c r="F2378" s="5" t="str">
        <x:v>LINK Medical</x:v>
      </x:c>
      <x:c r="G2378" s="5" t="n">
        <x:v>1</x:v>
      </x:c>
      <x:c r="H2378" s="5" t="n">
        <x:v>1</x:v>
      </x:c>
      <x:c r="I2378" s="5" t="str">
        <x:v>NO (eCRF only)</x:v>
      </x:c>
      <x:c r="J2378" s="5" t="str">
        <x:v>SOURCE QUOTE; unvalidated / superseded assessments</x:v>
      </x:c>
      <x:c r="L2378" s="31" t="str">
        <x:v>D08, Markdown line 133; http://nas-1.tail55d152.ts.net:4100/static/NORDIC_MEDTECH_COMPETITIVE_LANDSCAPE_AND_PEER_DOSSIER.html</x:v>
      </x:c>
    </x:row>
    <x:row r="2379" ht="42" customHeight="1">
      <x:c r="A2379" s="5" t="str">
        <x:v>D08</x:v>
      </x:c>
      <x:c r="B2379" s="5" t="str">
        <x:v>D08-T01</x:v>
      </x:c>
      <x:c r="C2379" s="5" t="str">
        <x:v>3. Comprehensive Competitive Capability Matrix</x:v>
      </x:c>
      <x:c r="D2379" s="5" t="n">
        <x:v>133</x:v>
      </x:c>
      <x:c r="E2379" s="5" t="n">
        <x:v>7</x:v>
      </x:c>
      <x:c r="F2379" s="5" t="str">
        <x:v>PA Consulting</x:v>
      </x:c>
      <x:c r="G2379" s="5" t="n">
        <x:v>1</x:v>
      </x:c>
      <x:c r="H2379" s="5" t="n">
        <x:v>1</x:v>
      </x:c>
      <x:c r="I2379" s="5" t="str">
        <x:v>NO</x:v>
      </x:c>
      <x:c r="J2379" s="5" t="str">
        <x:v>SOURCE QUOTE; unvalidated / superseded assessments</x:v>
      </x:c>
      <x:c r="L2379" s="31" t="str">
        <x:v>D08, Markdown line 133; http://nas-1.tail55d152.ts.net:4100/static/NORDIC_MEDTECH_COMPETITIVE_LANDSCAPE_AND_PEER_DOSSIER.html</x:v>
      </x:c>
    </x:row>
    <x:row r="2380" ht="42" customHeight="1">
      <x:c r="A2380" s="5" t="str">
        <x:v>D08</x:v>
      </x:c>
      <x:c r="B2380" s="5" t="str">
        <x:v>D08-T01</x:v>
      </x:c>
      <x:c r="C2380" s="5" t="str">
        <x:v>3. Comprehensive Competitive Capability Matrix</x:v>
      </x:c>
      <x:c r="D2380" s="5" t="n">
        <x:v>134</x:v>
      </x:c>
      <x:c r="E2380" s="5" t="n">
        <x:v>1</x:v>
      </x:c>
      <x:c r="F2380" s="5" t="str">
        <x:v>Evaluation Dimension</x:v>
      </x:c>
      <x:c r="G2380" s="5" t="n">
        <x:v>1</x:v>
      </x:c>
      <x:c r="H2380" s="5" t="n">
        <x:v>1</x:v>
      </x:c>
      <x:c r="I2380" s="5" t="str">
        <x:v>Notified Body Audit Speed</x:v>
      </x:c>
      <x:c r="J2380" s="5" t="str">
        <x:v>SOURCE QUOTE; unvalidated / superseded assessments</x:v>
      </x:c>
      <x:c r="L2380" s="31" t="str">
        <x:v>D08, Markdown line 134; http://nas-1.tail55d152.ts.net:4100/static/NORDIC_MEDTECH_COMPETITIVE_LANDSCAPE_AND_PEER_DOSSIER.html</x:v>
      </x:c>
    </x:row>
    <x:row r="2381" ht="42" customHeight="1">
      <x:c r="A2381" s="5" t="str">
        <x:v>D08</x:v>
      </x:c>
      <x:c r="B2381" s="5" t="str">
        <x:v>D08-T01</x:v>
      </x:c>
      <x:c r="C2381" s="5" t="str">
        <x:v>3. Comprehensive Competitive Capability Matrix</x:v>
      </x:c>
      <x:c r="D2381" s="5" t="n">
        <x:v>134</x:v>
      </x:c>
      <x:c r="E2381" s="5" t="n">
        <x:v>2</x:v>
      </x:c>
      <x:c r="F2381" s="5" t="str">
        <x:v>2S Consulting &amp; HCare360</x:v>
      </x:c>
      <x:c r="G2381" s="5" t="n">
        <x:v>1</x:v>
      </x:c>
      <x:c r="H2381" s="5" t="n">
        <x:v>1</x:v>
      </x:c>
      <x:c r="I2381" s="5" t="str">
        <x:v>90-Day Turnkey</x:v>
      </x:c>
      <x:c r="J2381" s="5" t="str">
        <x:v>SOURCE QUOTE; unvalidated / superseded assessments</x:v>
      </x:c>
      <x:c r="L2381" s="31" t="str">
        <x:v>D08, Markdown line 134; http://nas-1.tail55d152.ts.net:4100/static/NORDIC_MEDTECH_COMPETITIVE_LANDSCAPE_AND_PEER_DOSSIER.html</x:v>
      </x:c>
    </x:row>
    <x:row r="2382" ht="42" customHeight="1">
      <x:c r="A2382" s="5" t="str">
        <x:v>D08</x:v>
      </x:c>
      <x:c r="B2382" s="5" t="str">
        <x:v>D08-T01</x:v>
      </x:c>
      <x:c r="C2382" s="5" t="str">
        <x:v>3. Comprehensive Competitive Capability Matrix</x:v>
      </x:c>
      <x:c r="D2382" s="5" t="n">
        <x:v>134</x:v>
      </x:c>
      <x:c r="E2382" s="5" t="n">
        <x:v>3</x:v>
      </x:c>
      <x:c r="F2382" s="5" t="str">
        <x:v>Plantvision / Knightec</x:v>
      </x:c>
      <x:c r="G2382" s="5" t="n">
        <x:v>1</x:v>
      </x:c>
      <x:c r="H2382" s="5" t="n">
        <x:v>1</x:v>
      </x:c>
      <x:c r="I2382" s="5" t="str">
        <x:v>6–12 Months</x:v>
      </x:c>
      <x:c r="J2382" s="5" t="str">
        <x:v>SOURCE QUOTE; unvalidated / superseded assessments</x:v>
      </x:c>
      <x:c r="L2382" s="31" t="str">
        <x:v>D08, Markdown line 134; http://nas-1.tail55d152.ts.net:4100/static/NORDIC_MEDTECH_COMPETITIVE_LANDSCAPE_AND_PEER_DOSSIER.html</x:v>
      </x:c>
    </x:row>
    <x:row r="2383" ht="42" customHeight="1">
      <x:c r="A2383" s="5" t="str">
        <x:v>D08</x:v>
      </x:c>
      <x:c r="B2383" s="5" t="str">
        <x:v>D08-T01</x:v>
      </x:c>
      <x:c r="C2383" s="5" t="str">
        <x:v>3. Comprehensive Competitive Capability Matrix</x:v>
      </x:c>
      <x:c r="D2383" s="5" t="n">
        <x:v>134</x:v>
      </x:c>
      <x:c r="E2383" s="5" t="n">
        <x:v>4</x:v>
      </x:c>
      <x:c r="F2383" s="5" t="str">
        <x:v>Qadvis / Symbioteq</x:v>
      </x:c>
      <x:c r="G2383" s="5" t="n">
        <x:v>1</x:v>
      </x:c>
      <x:c r="H2383" s="5" t="n">
        <x:v>1</x:v>
      </x:c>
      <x:c r="I2383" s="5" t="str">
        <x:v>6–9 Months</x:v>
      </x:c>
      <x:c r="J2383" s="5" t="str">
        <x:v>SOURCE QUOTE; unvalidated / superseded assessments</x:v>
      </x:c>
      <x:c r="L2383" s="31" t="str">
        <x:v>D08, Markdown line 134; http://nas-1.tail55d152.ts.net:4100/static/NORDIC_MEDTECH_COMPETITIVE_LANDSCAPE_AND_PEER_DOSSIER.html</x:v>
      </x:c>
    </x:row>
    <x:row r="2384" ht="42" customHeight="1">
      <x:c r="A2384" s="5" t="str">
        <x:v>D08</x:v>
      </x:c>
      <x:c r="B2384" s="5" t="str">
        <x:v>D08-T01</x:v>
      </x:c>
      <x:c r="C2384" s="5" t="str">
        <x:v>3. Comprehensive Competitive Capability Matrix</x:v>
      </x:c>
      <x:c r="D2384" s="5" t="n">
        <x:v>134</x:v>
      </x:c>
      <x:c r="E2384" s="5" t="n">
        <x:v>5</x:v>
      </x:c>
      <x:c r="F2384" s="5" t="str">
        <x:v>Emergo by UL</x:v>
      </x:c>
      <x:c r="G2384" s="5" t="n">
        <x:v>1</x:v>
      </x:c>
      <x:c r="H2384" s="5" t="n">
        <x:v>1</x:v>
      </x:c>
      <x:c r="I2384" s="5" t="str">
        <x:v>9–14 Months</x:v>
      </x:c>
      <x:c r="J2384" s="5" t="str">
        <x:v>SOURCE QUOTE; unvalidated / superseded assessments</x:v>
      </x:c>
      <x:c r="L2384" s="31" t="str">
        <x:v>D08, Markdown line 134; http://nas-1.tail55d152.ts.net:4100/static/NORDIC_MEDTECH_COMPETITIVE_LANDSCAPE_AND_PEER_DOSSIER.html</x:v>
      </x:c>
    </x:row>
    <x:row r="2385" ht="42" customHeight="1">
      <x:c r="A2385" s="5" t="str">
        <x:v>D08</x:v>
      </x:c>
      <x:c r="B2385" s="5" t="str">
        <x:v>D08-T01</x:v>
      </x:c>
      <x:c r="C2385" s="5" t="str">
        <x:v>3. Comprehensive Competitive Capability Matrix</x:v>
      </x:c>
      <x:c r="D2385" s="5" t="n">
        <x:v>134</x:v>
      </x:c>
      <x:c r="E2385" s="5" t="n">
        <x:v>6</x:v>
      </x:c>
      <x:c r="F2385" s="5" t="str">
        <x:v>LINK Medical</x:v>
      </x:c>
      <x:c r="G2385" s="5" t="n">
        <x:v>1</x:v>
      </x:c>
      <x:c r="H2385" s="5" t="n">
        <x:v>1</x:v>
      </x:c>
      <x:c r="I2385" s="5" t="str">
        <x:v>N/A (CRO focus)</x:v>
      </x:c>
      <x:c r="J2385" s="5" t="str">
        <x:v>SOURCE QUOTE; unvalidated / superseded assessments</x:v>
      </x:c>
      <x:c r="L2385" s="31" t="str">
        <x:v>D08, Markdown line 134; http://nas-1.tail55d152.ts.net:4100/static/NORDIC_MEDTECH_COMPETITIVE_LANDSCAPE_AND_PEER_DOSSIER.html</x:v>
      </x:c>
    </x:row>
    <x:row r="2386" ht="42" customHeight="1">
      <x:c r="A2386" s="5" t="str">
        <x:v>D08</x:v>
      </x:c>
      <x:c r="B2386" s="5" t="str">
        <x:v>D08-T01</x:v>
      </x:c>
      <x:c r="C2386" s="5" t="str">
        <x:v>3. Comprehensive Competitive Capability Matrix</x:v>
      </x:c>
      <x:c r="D2386" s="5" t="n">
        <x:v>134</x:v>
      </x:c>
      <x:c r="E2386" s="5" t="n">
        <x:v>7</x:v>
      </x:c>
      <x:c r="F2386" s="5" t="str">
        <x:v>PA Consulting</x:v>
      </x:c>
      <x:c r="G2386" s="5" t="n">
        <x:v>1</x:v>
      </x:c>
      <x:c r="H2386" s="5" t="n">
        <x:v>1</x:v>
      </x:c>
      <x:c r="I2386" s="5" t="str">
        <x:v>Strategy only</x:v>
      </x:c>
      <x:c r="J2386" s="5" t="str">
        <x:v>SOURCE QUOTE; unvalidated / superseded assessments</x:v>
      </x:c>
      <x:c r="L2386" s="31" t="str">
        <x:v>D08, Markdown line 134; http://nas-1.tail55d152.ts.net:4100/static/NORDIC_MEDTECH_COMPETITIVE_LANDSCAPE_AND_PEER_DOSSIER.html</x:v>
      </x:c>
    </x:row>
    <x:row r="2387" ht="42" customHeight="1">
      <x:c r="A2387" s="5" t="str">
        <x:v>D08</x:v>
      </x:c>
      <x:c r="B2387" s="5" t="str">
        <x:v>D08-T01</x:v>
      </x:c>
      <x:c r="C2387" s="5" t="str">
        <x:v>3. Comprehensive Competitive Capability Matrix</x:v>
      </x:c>
      <x:c r="D2387" s="5" t="n">
        <x:v>135</x:v>
      </x:c>
      <x:c r="E2387" s="5" t="n">
        <x:v>1</x:v>
      </x:c>
      <x:c r="F2387" s="5" t="str">
        <x:v>Evaluation Dimension</x:v>
      </x:c>
      <x:c r="G2387" s="5" t="n">
        <x:v>1</x:v>
      </x:c>
      <x:c r="H2387" s="5" t="n">
        <x:v>1</x:v>
      </x:c>
      <x:c r="I2387" s="5" t="str">
        <x:v>AI SaMD &amp; EU AI Act Readiness</x:v>
      </x:c>
      <x:c r="J2387" s="5" t="str">
        <x:v>SOURCE QUOTE; unvalidated / superseded assessments</x:v>
      </x:c>
      <x:c r="L2387" s="31" t="str">
        <x:v>D08, Markdown line 135; http://nas-1.tail55d152.ts.net:4100/static/NORDIC_MEDTECH_COMPETITIVE_LANDSCAPE_AND_PEER_DOSSIER.html</x:v>
      </x:c>
    </x:row>
    <x:row r="2388" ht="42" customHeight="1">
      <x:c r="A2388" s="5" t="str">
        <x:v>D08</x:v>
      </x:c>
      <x:c r="B2388" s="5" t="str">
        <x:v>D08-T01</x:v>
      </x:c>
      <x:c r="C2388" s="5" t="str">
        <x:v>3. Comprehensive Competitive Capability Matrix</x:v>
      </x:c>
      <x:c r="D2388" s="5" t="n">
        <x:v>135</x:v>
      </x:c>
      <x:c r="E2388" s="5" t="n">
        <x:v>2</x:v>
      </x:c>
      <x:c r="F2388" s="5" t="str">
        <x:v>2S Consulting &amp; HCare360</x:v>
      </x:c>
      <x:c r="G2388" s="5" t="n">
        <x:v>1</x:v>
      </x:c>
      <x:c r="H2388" s="5" t="n">
        <x:v>1</x:v>
      </x:c>
      <x:c r="I2388" s="5" t="str">
        <x:v>HIGH (Native R&amp;D)</x:v>
      </x:c>
      <x:c r="J2388" s="5" t="str">
        <x:v>SOURCE QUOTE; unvalidated / superseded assessments</x:v>
      </x:c>
      <x:c r="L2388" s="31" t="str">
        <x:v>D08, Markdown line 135; http://nas-1.tail55d152.ts.net:4100/static/NORDIC_MEDTECH_COMPETITIVE_LANDSCAPE_AND_PEER_DOSSIER.html</x:v>
      </x:c>
    </x:row>
    <x:row r="2389" ht="42" customHeight="1">
      <x:c r="A2389" s="5" t="str">
        <x:v>D08</x:v>
      </x:c>
      <x:c r="B2389" s="5" t="str">
        <x:v>D08-T01</x:v>
      </x:c>
      <x:c r="C2389" s="5" t="str">
        <x:v>3. Comprehensive Competitive Capability Matrix</x:v>
      </x:c>
      <x:c r="D2389" s="5" t="n">
        <x:v>135</x:v>
      </x:c>
      <x:c r="E2389" s="5" t="n">
        <x:v>3</x:v>
      </x:c>
      <x:c r="F2389" s="5" t="str">
        <x:v>Plantvision / Knightec</x:v>
      </x:c>
      <x:c r="G2389" s="5" t="n">
        <x:v>1</x:v>
      </x:c>
      <x:c r="H2389" s="5" t="n">
        <x:v>1</x:v>
      </x:c>
      <x:c r="I2389" s="5" t="str">
        <x:v>Low (Staffing)</x:v>
      </x:c>
      <x:c r="J2389" s="5" t="str">
        <x:v>SOURCE QUOTE; unvalidated / superseded assessments</x:v>
      </x:c>
      <x:c r="L2389" s="31" t="str">
        <x:v>D08, Markdown line 135; http://nas-1.tail55d152.ts.net:4100/static/NORDIC_MEDTECH_COMPETITIVE_LANDSCAPE_AND_PEER_DOSSIER.html</x:v>
      </x:c>
    </x:row>
    <x:row r="2390" ht="42" customHeight="1">
      <x:c r="A2390" s="5" t="str">
        <x:v>D08</x:v>
      </x:c>
      <x:c r="B2390" s="5" t="str">
        <x:v>D08-T01</x:v>
      </x:c>
      <x:c r="C2390" s="5" t="str">
        <x:v>3. Comprehensive Competitive Capability Matrix</x:v>
      </x:c>
      <x:c r="D2390" s="5" t="n">
        <x:v>135</x:v>
      </x:c>
      <x:c r="E2390" s="5" t="n">
        <x:v>4</x:v>
      </x:c>
      <x:c r="F2390" s="5" t="str">
        <x:v>Qadvis / Symbioteq</x:v>
      </x:c>
      <x:c r="G2390" s="5" t="n">
        <x:v>1</x:v>
      </x:c>
      <x:c r="H2390" s="5" t="n">
        <x:v>1</x:v>
      </x:c>
      <x:c r="I2390" s="5" t="str">
        <x:v>Low (Traditional)</x:v>
      </x:c>
      <x:c r="J2390" s="5" t="str">
        <x:v>SOURCE QUOTE; unvalidated / superseded assessments</x:v>
      </x:c>
      <x:c r="L2390" s="31" t="str">
        <x:v>D08, Markdown line 135; http://nas-1.tail55d152.ts.net:4100/static/NORDIC_MEDTECH_COMPETITIVE_LANDSCAPE_AND_PEER_DOSSIER.html</x:v>
      </x:c>
    </x:row>
    <x:row r="2391" ht="42" customHeight="1">
      <x:c r="A2391" s="5" t="str">
        <x:v>D08</x:v>
      </x:c>
      <x:c r="B2391" s="5" t="str">
        <x:v>D08-T01</x:v>
      </x:c>
      <x:c r="C2391" s="5" t="str">
        <x:v>3. Comprehensive Competitive Capability Matrix</x:v>
      </x:c>
      <x:c r="D2391" s="5" t="n">
        <x:v>135</x:v>
      </x:c>
      <x:c r="E2391" s="5" t="n">
        <x:v>5</x:v>
      </x:c>
      <x:c r="F2391" s="5" t="str">
        <x:v>Emergo by UL</x:v>
      </x:c>
      <x:c r="G2391" s="5" t="n">
        <x:v>1</x:v>
      </x:c>
      <x:c r="H2391" s="5" t="n">
        <x:v>1</x:v>
      </x:c>
      <x:c r="I2391" s="5" t="str">
        <x:v>Medium (Global)</x:v>
      </x:c>
      <x:c r="J2391" s="5" t="str">
        <x:v>SOURCE QUOTE; unvalidated / superseded assessments</x:v>
      </x:c>
      <x:c r="L2391" s="31" t="str">
        <x:v>D08, Markdown line 135; http://nas-1.tail55d152.ts.net:4100/static/NORDIC_MEDTECH_COMPETITIVE_LANDSCAPE_AND_PEER_DOSSIER.html</x:v>
      </x:c>
    </x:row>
    <x:row r="2392" ht="42" customHeight="1">
      <x:c r="A2392" s="5" t="str">
        <x:v>D08</x:v>
      </x:c>
      <x:c r="B2392" s="5" t="str">
        <x:v>D08-T01</x:v>
      </x:c>
      <x:c r="C2392" s="5" t="str">
        <x:v>3. Comprehensive Competitive Capability Matrix</x:v>
      </x:c>
      <x:c r="D2392" s="5" t="n">
        <x:v>135</x:v>
      </x:c>
      <x:c r="E2392" s="5" t="n">
        <x:v>6</x:v>
      </x:c>
      <x:c r="F2392" s="5" t="str">
        <x:v>LINK Medical</x:v>
      </x:c>
      <x:c r="G2392" s="5" t="n">
        <x:v>1</x:v>
      </x:c>
      <x:c r="H2392" s="5" t="n">
        <x:v>1</x:v>
      </x:c>
      <x:c r="I2392" s="5" t="str">
        <x:v>Low (Clinical)</x:v>
      </x:c>
      <x:c r="J2392" s="5" t="str">
        <x:v>SOURCE QUOTE; unvalidated / superseded assessments</x:v>
      </x:c>
      <x:c r="L2392" s="31" t="str">
        <x:v>D08, Markdown line 135; http://nas-1.tail55d152.ts.net:4100/static/NORDIC_MEDTECH_COMPETITIVE_LANDSCAPE_AND_PEER_DOSSIER.html</x:v>
      </x:c>
    </x:row>
    <x:row r="2393" ht="42" customHeight="1">
      <x:c r="A2393" s="5" t="str">
        <x:v>D08</x:v>
      </x:c>
      <x:c r="B2393" s="5" t="str">
        <x:v>D08-T01</x:v>
      </x:c>
      <x:c r="C2393" s="5" t="str">
        <x:v>3. Comprehensive Competitive Capability Matrix</x:v>
      </x:c>
      <x:c r="D2393" s="5" t="n">
        <x:v>135</x:v>
      </x:c>
      <x:c r="E2393" s="5" t="n">
        <x:v>7</x:v>
      </x:c>
      <x:c r="F2393" s="5" t="str">
        <x:v>PA Consulting</x:v>
      </x:c>
      <x:c r="G2393" s="5" t="n">
        <x:v>1</x:v>
      </x:c>
      <x:c r="H2393" s="5" t="n">
        <x:v>1</x:v>
      </x:c>
      <x:c r="I2393" s="5" t="str">
        <x:v>High (Concept)</x:v>
      </x:c>
      <x:c r="J2393" s="5" t="str">
        <x:v>SOURCE QUOTE; unvalidated / superseded assessments</x:v>
      </x:c>
      <x:c r="L2393" s="31" t="str">
        <x:v>D08, Markdown line 135; http://nas-1.tail55d152.ts.net:4100/static/NORDIC_MEDTECH_COMPETITIVE_LANDSCAPE_AND_PEER_DOSSIER.html</x:v>
      </x:c>
    </x:row>
    <x:row r="2394" ht="42" customHeight="1">
      <x:c r="A2394" s="5" t="str">
        <x:v>D08</x:v>
      </x:c>
      <x:c r="B2394" s="5" t="str">
        <x:v>D08-T01</x:v>
      </x:c>
      <x:c r="C2394" s="5" t="str">
        <x:v>3. Comprehensive Competitive Capability Matrix</x:v>
      </x:c>
      <x:c r="D2394" s="5" t="n">
        <x:v>136</x:v>
      </x:c>
      <x:c r="E2394" s="5" t="n">
        <x:v>1</x:v>
      </x:c>
      <x:c r="F2394" s="5" t="str">
        <x:v>Evaluation Dimension</x:v>
      </x:c>
      <x:c r="G2394" s="5" t="n">
        <x:v>1</x:v>
      </x:c>
      <x:c r="H2394" s="5" t="n">
        <x:v>1</x:v>
      </x:c>
      <x:c r="I2394" s="5" t="str">
        <x:v>IEC 62304 &amp; Cyber (MDCG 2019-16)</x:v>
      </x:c>
      <x:c r="J2394" s="5" t="str">
        <x:v>SOURCE QUOTE; unvalidated / superseded assessments</x:v>
      </x:c>
      <x:c r="L2394" s="31" t="str">
        <x:v>D08, Markdown line 136; http://nas-1.tail55d152.ts.net:4100/static/NORDIC_MEDTECH_COMPETITIVE_LANDSCAPE_AND_PEER_DOSSIER.html</x:v>
      </x:c>
    </x:row>
    <x:row r="2395" ht="42" customHeight="1">
      <x:c r="A2395" s="5" t="str">
        <x:v>D08</x:v>
      </x:c>
      <x:c r="B2395" s="5" t="str">
        <x:v>D08-T01</x:v>
      </x:c>
      <x:c r="C2395" s="5" t="str">
        <x:v>3. Comprehensive Competitive Capability Matrix</x:v>
      </x:c>
      <x:c r="D2395" s="5" t="n">
        <x:v>136</x:v>
      </x:c>
      <x:c r="E2395" s="5" t="n">
        <x:v>2</x:v>
      </x:c>
      <x:c r="F2395" s="5" t="str">
        <x:v>2S Consulting &amp; HCare360</x:v>
      </x:c>
      <x:c r="G2395" s="5" t="n">
        <x:v>1</x:v>
      </x:c>
      <x:c r="H2395" s="5" t="n">
        <x:v>1</x:v>
      </x:c>
      <x:c r="I2395" s="5" t="str">
        <x:v>FULL ENGINEERING</x:v>
      </x:c>
      <x:c r="J2395" s="5" t="str">
        <x:v>SOURCE QUOTE; unvalidated / superseded assessments</x:v>
      </x:c>
      <x:c r="L2395" s="31" t="str">
        <x:v>D08, Markdown line 136; http://nas-1.tail55d152.ts.net:4100/static/NORDIC_MEDTECH_COMPETITIVE_LANDSCAPE_AND_PEER_DOSSIER.html</x:v>
      </x:c>
    </x:row>
    <x:row r="2396" ht="42" customHeight="1">
      <x:c r="A2396" s="5" t="str">
        <x:v>D08</x:v>
      </x:c>
      <x:c r="B2396" s="5" t="str">
        <x:v>D08-T01</x:v>
      </x:c>
      <x:c r="C2396" s="5" t="str">
        <x:v>3. Comprehensive Competitive Capability Matrix</x:v>
      </x:c>
      <x:c r="D2396" s="5" t="n">
        <x:v>136</x:v>
      </x:c>
      <x:c r="E2396" s="5" t="n">
        <x:v>3</x:v>
      </x:c>
      <x:c r="F2396" s="5" t="str">
        <x:v>Plantvision / Knightec</x:v>
      </x:c>
      <x:c r="G2396" s="5" t="n">
        <x:v>1</x:v>
      </x:c>
      <x:c r="H2396" s="5" t="n">
        <x:v>1</x:v>
      </x:c>
      <x:c r="I2396" s="5" t="str">
        <x:v>Mixed</x:v>
      </x:c>
      <x:c r="J2396" s="5" t="str">
        <x:v>SOURCE QUOTE; unvalidated / superseded assessments</x:v>
      </x:c>
      <x:c r="L2396" s="31" t="str">
        <x:v>D08, Markdown line 136; http://nas-1.tail55d152.ts.net:4100/static/NORDIC_MEDTECH_COMPETITIVE_LANDSCAPE_AND_PEER_DOSSIER.html</x:v>
      </x:c>
    </x:row>
    <x:row r="2397" ht="42" customHeight="1">
      <x:c r="A2397" s="5" t="str">
        <x:v>D08</x:v>
      </x:c>
      <x:c r="B2397" s="5" t="str">
        <x:v>D08-T01</x:v>
      </x:c>
      <x:c r="C2397" s="5" t="str">
        <x:v>3. Comprehensive Competitive Capability Matrix</x:v>
      </x:c>
      <x:c r="D2397" s="5" t="n">
        <x:v>136</x:v>
      </x:c>
      <x:c r="E2397" s="5" t="n">
        <x:v>4</x:v>
      </x:c>
      <x:c r="F2397" s="5" t="str">
        <x:v>Qadvis / Symbioteq</x:v>
      </x:c>
      <x:c r="G2397" s="5" t="n">
        <x:v>1</x:v>
      </x:c>
      <x:c r="H2397" s="5" t="n">
        <x:v>1</x:v>
      </x:c>
      <x:c r="I2397" s="5" t="str">
        <x:v>Strong (Docs)</x:v>
      </x:c>
      <x:c r="J2397" s="5" t="str">
        <x:v>SOURCE QUOTE; unvalidated / superseded assessments</x:v>
      </x:c>
      <x:c r="L2397" s="31" t="str">
        <x:v>D08, Markdown line 136; http://nas-1.tail55d152.ts.net:4100/static/NORDIC_MEDTECH_COMPETITIVE_LANDSCAPE_AND_PEER_DOSSIER.html</x:v>
      </x:c>
    </x:row>
    <x:row r="2398" ht="42" customHeight="1">
      <x:c r="A2398" s="5" t="str">
        <x:v>D08</x:v>
      </x:c>
      <x:c r="B2398" s="5" t="str">
        <x:v>D08-T01</x:v>
      </x:c>
      <x:c r="C2398" s="5" t="str">
        <x:v>3. Comprehensive Competitive Capability Matrix</x:v>
      </x:c>
      <x:c r="D2398" s="5" t="n">
        <x:v>136</x:v>
      </x:c>
      <x:c r="E2398" s="5" t="n">
        <x:v>5</x:v>
      </x:c>
      <x:c r="F2398" s="5" t="str">
        <x:v>Emergo by UL</x:v>
      </x:c>
      <x:c r="G2398" s="5" t="n">
        <x:v>1</x:v>
      </x:c>
      <x:c r="H2398" s="5" t="n">
        <x:v>1</x:v>
      </x:c>
      <x:c r="I2398" s="5" t="str">
        <x:v>Strong (Docs)</x:v>
      </x:c>
      <x:c r="J2398" s="5" t="str">
        <x:v>SOURCE QUOTE; unvalidated / superseded assessments</x:v>
      </x:c>
      <x:c r="L2398" s="31" t="str">
        <x:v>D08, Markdown line 136; http://nas-1.tail55d152.ts.net:4100/static/NORDIC_MEDTECH_COMPETITIVE_LANDSCAPE_AND_PEER_DOSSIER.html</x:v>
      </x:c>
    </x:row>
    <x:row r="2399" ht="42" customHeight="1">
      <x:c r="A2399" s="5" t="str">
        <x:v>D08</x:v>
      </x:c>
      <x:c r="B2399" s="5" t="str">
        <x:v>D08-T01</x:v>
      </x:c>
      <x:c r="C2399" s="5" t="str">
        <x:v>3. Comprehensive Competitive Capability Matrix</x:v>
      </x:c>
      <x:c r="D2399" s="5" t="n">
        <x:v>136</x:v>
      </x:c>
      <x:c r="E2399" s="5" t="n">
        <x:v>6</x:v>
      </x:c>
      <x:c r="F2399" s="5" t="str">
        <x:v>LINK Medical</x:v>
      </x:c>
      <x:c r="G2399" s="5" t="n">
        <x:v>1</x:v>
      </x:c>
      <x:c r="H2399" s="5" t="n">
        <x:v>1</x:v>
      </x:c>
      <x:c r="I2399" s="5" t="str">
        <x:v>Weak</x:v>
      </x:c>
      <x:c r="J2399" s="5" t="str">
        <x:v>SOURCE QUOTE; unvalidated / superseded assessments</x:v>
      </x:c>
      <x:c r="L2399" s="31" t="str">
        <x:v>D08, Markdown line 136; http://nas-1.tail55d152.ts.net:4100/static/NORDIC_MEDTECH_COMPETITIVE_LANDSCAPE_AND_PEER_DOSSIER.html</x:v>
      </x:c>
    </x:row>
    <x:row r="2400" ht="42" customHeight="1">
      <x:c r="A2400" s="5" t="str">
        <x:v>D08</x:v>
      </x:c>
      <x:c r="B2400" s="5" t="str">
        <x:v>D08-T01</x:v>
      </x:c>
      <x:c r="C2400" s="5" t="str">
        <x:v>3. Comprehensive Competitive Capability Matrix</x:v>
      </x:c>
      <x:c r="D2400" s="5" t="n">
        <x:v>136</x:v>
      </x:c>
      <x:c r="E2400" s="5" t="n">
        <x:v>7</x:v>
      </x:c>
      <x:c r="F2400" s="5" t="str">
        <x:v>PA Consulting</x:v>
      </x:c>
      <x:c r="G2400" s="5" t="n">
        <x:v>1</x:v>
      </x:c>
      <x:c r="H2400" s="5" t="n">
        <x:v>1</x:v>
      </x:c>
      <x:c r="I2400" s="5" t="str">
        <x:v>Strong (Design)</x:v>
      </x:c>
      <x:c r="J2400" s="5" t="str">
        <x:v>SOURCE QUOTE; unvalidated / superseded assessments</x:v>
      </x:c>
      <x:c r="L2400" s="31" t="str">
        <x:v>D08, Markdown line 136; http://nas-1.tail55d152.ts.net:4100/static/NORDIC_MEDTECH_COMPETITIVE_LANDSCAPE_AND_PEER_DOSSIER.html</x:v>
      </x:c>
    </x:row>
    <x:row r="2401" ht="42" customHeight="1">
      <x:c r="A2401" s="5" t="str">
        <x:v>D08</x:v>
      </x:c>
      <x:c r="B2401" s="5" t="str">
        <x:v>D08-T01</x:v>
      </x:c>
      <x:c r="C2401" s="5" t="str">
        <x:v>3. Comprehensive Competitive Capability Matrix</x:v>
      </x:c>
      <x:c r="D2401" s="5" t="n">
        <x:v>137</x:v>
      </x:c>
      <x:c r="E2401" s="5" t="n">
        <x:v>1</x:v>
      </x:c>
      <x:c r="F2401" s="5" t="str">
        <x:v>Evaluation Dimension</x:v>
      </x:c>
      <x:c r="G2401" s="5" t="n">
        <x:v>1</x:v>
      </x:c>
      <x:c r="H2401" s="5" t="n">
        <x:v>1</x:v>
      </x:c>
      <x:c r="I2401" s="5" t="str">
        <x:v>Clinical Evidence &amp; CER (MDR XIV)</x:v>
      </x:c>
      <x:c r="J2401" s="5" t="str">
        <x:v>SOURCE QUOTE; unvalidated / superseded assessments</x:v>
      </x:c>
      <x:c r="L2401" s="31" t="str">
        <x:v>D08, Markdown line 137; http://nas-1.tail55d152.ts.net:4100/static/NORDIC_MEDTECH_COMPETITIVE_LANDSCAPE_AND_PEER_DOSSIER.html</x:v>
      </x:c>
    </x:row>
    <x:row r="2402" ht="42" customHeight="1">
      <x:c r="A2402" s="5" t="str">
        <x:v>D08</x:v>
      </x:c>
      <x:c r="B2402" s="5" t="str">
        <x:v>D08-T01</x:v>
      </x:c>
      <x:c r="C2402" s="5" t="str">
        <x:v>3. Comprehensive Competitive Capability Matrix</x:v>
      </x:c>
      <x:c r="D2402" s="5" t="n">
        <x:v>137</x:v>
      </x:c>
      <x:c r="E2402" s="5" t="n">
        <x:v>2</x:v>
      </x:c>
      <x:c r="F2402" s="5" t="str">
        <x:v>2S Consulting &amp; HCare360</x:v>
      </x:c>
      <x:c r="G2402" s="5" t="n">
        <x:v>1</x:v>
      </x:c>
      <x:c r="H2402" s="5" t="n">
        <x:v>1</x:v>
      </x:c>
      <x:c r="I2402" s="5" t="str">
        <x:v>CMO-LED (Safa)</x:v>
      </x:c>
      <x:c r="J2402" s="5" t="str">
        <x:v>SOURCE QUOTE; unvalidated / superseded assessments</x:v>
      </x:c>
      <x:c r="L2402" s="31" t="str">
        <x:v>D08, Markdown line 137; http://nas-1.tail55d152.ts.net:4100/static/NORDIC_MEDTECH_COMPETITIVE_LANDSCAPE_AND_PEER_DOSSIER.html</x:v>
      </x:c>
    </x:row>
    <x:row r="2403" ht="42" customHeight="1">
      <x:c r="A2403" s="5" t="str">
        <x:v>D08</x:v>
      </x:c>
      <x:c r="B2403" s="5" t="str">
        <x:v>D08-T01</x:v>
      </x:c>
      <x:c r="C2403" s="5" t="str">
        <x:v>3. Comprehensive Competitive Capability Matrix</x:v>
      </x:c>
      <x:c r="D2403" s="5" t="n">
        <x:v>137</x:v>
      </x:c>
      <x:c r="E2403" s="5" t="n">
        <x:v>3</x:v>
      </x:c>
      <x:c r="F2403" s="5" t="str">
        <x:v>Plantvision / Knightec</x:v>
      </x:c>
      <x:c r="G2403" s="5" t="n">
        <x:v>1</x:v>
      </x:c>
      <x:c r="H2403" s="5" t="n">
        <x:v>1</x:v>
      </x:c>
      <x:c r="I2403" s="5" t="str">
        <x:v>Moderate</x:v>
      </x:c>
      <x:c r="J2403" s="5" t="str">
        <x:v>SOURCE QUOTE; unvalidated / superseded assessments</x:v>
      </x:c>
      <x:c r="L2403" s="31" t="str">
        <x:v>D08, Markdown line 137; http://nas-1.tail55d152.ts.net:4100/static/NORDIC_MEDTECH_COMPETITIVE_LANDSCAPE_AND_PEER_DOSSIER.html</x:v>
      </x:c>
    </x:row>
    <x:row r="2404" ht="42" customHeight="1">
      <x:c r="A2404" s="5" t="str">
        <x:v>D08</x:v>
      </x:c>
      <x:c r="B2404" s="5" t="str">
        <x:v>D08-T01</x:v>
      </x:c>
      <x:c r="C2404" s="5" t="str">
        <x:v>3. Comprehensive Competitive Capability Matrix</x:v>
      </x:c>
      <x:c r="D2404" s="5" t="n">
        <x:v>137</x:v>
      </x:c>
      <x:c r="E2404" s="5" t="n">
        <x:v>4</x:v>
      </x:c>
      <x:c r="F2404" s="5" t="str">
        <x:v>Qadvis / Symbioteq</x:v>
      </x:c>
      <x:c r="G2404" s="5" t="n">
        <x:v>1</x:v>
      </x:c>
      <x:c r="H2404" s="5" t="n">
        <x:v>1</x:v>
      </x:c>
      <x:c r="I2404" s="5" t="str">
        <x:v>Strong</x:v>
      </x:c>
      <x:c r="J2404" s="5" t="str">
        <x:v>SOURCE QUOTE; unvalidated / superseded assessments</x:v>
      </x:c>
      <x:c r="L2404" s="31" t="str">
        <x:v>D08, Markdown line 137; http://nas-1.tail55d152.ts.net:4100/static/NORDIC_MEDTECH_COMPETITIVE_LANDSCAPE_AND_PEER_DOSSIER.html</x:v>
      </x:c>
    </x:row>
    <x:row r="2405" ht="42" customHeight="1">
      <x:c r="A2405" s="5" t="str">
        <x:v>D08</x:v>
      </x:c>
      <x:c r="B2405" s="5" t="str">
        <x:v>D08-T01</x:v>
      </x:c>
      <x:c r="C2405" s="5" t="str">
        <x:v>3. Comprehensive Competitive Capability Matrix</x:v>
      </x:c>
      <x:c r="D2405" s="5" t="n">
        <x:v>137</x:v>
      </x:c>
      <x:c r="E2405" s="5" t="n">
        <x:v>5</x:v>
      </x:c>
      <x:c r="F2405" s="5" t="str">
        <x:v>Emergo by UL</x:v>
      </x:c>
      <x:c r="G2405" s="5" t="n">
        <x:v>1</x:v>
      </x:c>
      <x:c r="H2405" s="5" t="n">
        <x:v>1</x:v>
      </x:c>
      <x:c r="I2405" s="5" t="str">
        <x:v>Strong</x:v>
      </x:c>
      <x:c r="J2405" s="5" t="str">
        <x:v>SOURCE QUOTE; unvalidated / superseded assessments</x:v>
      </x:c>
      <x:c r="L2405" s="31" t="str">
        <x:v>D08, Markdown line 137; http://nas-1.tail55d152.ts.net:4100/static/NORDIC_MEDTECH_COMPETITIVE_LANDSCAPE_AND_PEER_DOSSIER.html</x:v>
      </x:c>
    </x:row>
    <x:row r="2406" ht="42" customHeight="1">
      <x:c r="A2406" s="5" t="str">
        <x:v>D08</x:v>
      </x:c>
      <x:c r="B2406" s="5" t="str">
        <x:v>D08-T01</x:v>
      </x:c>
      <x:c r="C2406" s="5" t="str">
        <x:v>3. Comprehensive Competitive Capability Matrix</x:v>
      </x:c>
      <x:c r="D2406" s="5" t="n">
        <x:v>137</x:v>
      </x:c>
      <x:c r="E2406" s="5" t="n">
        <x:v>6</x:v>
      </x:c>
      <x:c r="F2406" s="5" t="str">
        <x:v>LINK Medical</x:v>
      </x:c>
      <x:c r="G2406" s="5" t="n">
        <x:v>1</x:v>
      </x:c>
      <x:c r="H2406" s="5" t="n">
        <x:v>1</x:v>
      </x:c>
      <x:c r="I2406" s="5" t="str">
        <x:v>EXCELLENT</x:v>
      </x:c>
      <x:c r="J2406" s="5" t="str">
        <x:v>SOURCE QUOTE; unvalidated / superseded assessments</x:v>
      </x:c>
      <x:c r="L2406" s="31" t="str">
        <x:v>D08, Markdown line 137; http://nas-1.tail55d152.ts.net:4100/static/NORDIC_MEDTECH_COMPETITIVE_LANDSCAPE_AND_PEER_DOSSIER.html</x:v>
      </x:c>
    </x:row>
    <x:row r="2407" ht="42" customHeight="1">
      <x:c r="A2407" s="5" t="str">
        <x:v>D08</x:v>
      </x:c>
      <x:c r="B2407" s="5" t="str">
        <x:v>D08-T01</x:v>
      </x:c>
      <x:c r="C2407" s="5" t="str">
        <x:v>3. Comprehensive Competitive Capability Matrix</x:v>
      </x:c>
      <x:c r="D2407" s="5" t="n">
        <x:v>137</x:v>
      </x:c>
      <x:c r="E2407" s="5" t="n">
        <x:v>7</x:v>
      </x:c>
      <x:c r="F2407" s="5" t="str">
        <x:v>PA Consulting</x:v>
      </x:c>
      <x:c r="G2407" s="5" t="n">
        <x:v>1</x:v>
      </x:c>
      <x:c r="H2407" s="5" t="n">
        <x:v>1</x:v>
      </x:c>
      <x:c r="I2407" s="5" t="str">
        <x:v>Moderate</x:v>
      </x:c>
      <x:c r="J2407" s="5" t="str">
        <x:v>SOURCE QUOTE; unvalidated / superseded assessments</x:v>
      </x:c>
      <x:c r="L2407" s="31" t="str">
        <x:v>D08, Markdown line 137; http://nas-1.tail55d152.ts.net:4100/static/NORDIC_MEDTECH_COMPETITIVE_LANDSCAPE_AND_PEER_DOSSIER.html</x:v>
      </x:c>
    </x:row>
    <x:row r="2408" ht="42" customHeight="1">
      <x:c r="A2408" s="5" t="str">
        <x:v>D08</x:v>
      </x:c>
      <x:c r="B2408" s="5" t="str">
        <x:v>D08-T01</x:v>
      </x:c>
      <x:c r="C2408" s="5" t="str">
        <x:v>3. Comprehensive Competitive Capability Matrix</x:v>
      </x:c>
      <x:c r="D2408" s="5" t="n">
        <x:v>138</x:v>
      </x:c>
      <x:c r="E2408" s="5" t="n">
        <x:v>1</x:v>
      </x:c>
      <x:c r="F2408" s="5" t="str">
        <x:v>Evaluation Dimension</x:v>
      </x:c>
      <x:c r="G2408" s="5" t="n">
        <x:v>1</x:v>
      </x:c>
      <x:c r="H2408" s="5" t="n">
        <x:v>1</x:v>
      </x:c>
      <x:c r="I2408" s="5" t="str">
        <x:v>Nordic Market Access &amp; TLV Dossiers</x:v>
      </x:c>
      <x:c r="J2408" s="5" t="str">
        <x:v>SOURCE QUOTE; unvalidated / superseded assessments</x:v>
      </x:c>
      <x:c r="L2408" s="31" t="str">
        <x:v>D08, Markdown line 138; http://nas-1.tail55d152.ts.net:4100/static/NORDIC_MEDTECH_COMPETITIVE_LANDSCAPE_AND_PEER_DOSSIER.html</x:v>
      </x:c>
    </x:row>
    <x:row r="2409" ht="42" customHeight="1">
      <x:c r="A2409" s="5" t="str">
        <x:v>D08</x:v>
      </x:c>
      <x:c r="B2409" s="5" t="str">
        <x:v>D08-T01</x:v>
      </x:c>
      <x:c r="C2409" s="5" t="str">
        <x:v>3. Comprehensive Competitive Capability Matrix</x:v>
      </x:c>
      <x:c r="D2409" s="5" t="n">
        <x:v>138</x:v>
      </x:c>
      <x:c r="E2409" s="5" t="n">
        <x:v>2</x:v>
      </x:c>
      <x:c r="F2409" s="5" t="str">
        <x:v>2S Consulting &amp; HCare360</x:v>
      </x:c>
      <x:c r="G2409" s="5" t="n">
        <x:v>1</x:v>
      </x:c>
      <x:c r="H2409" s="5" t="n">
        <x:v>1</x:v>
      </x:c>
      <x:c r="I2409" s="5" t="str">
        <x:v>YES</x:v>
      </x:c>
      <x:c r="J2409" s="5" t="str">
        <x:v>SOURCE QUOTE; unvalidated / superseded assessments</x:v>
      </x:c>
      <x:c r="L2409" s="31" t="str">
        <x:v>D08, Markdown line 138; http://nas-1.tail55d152.ts.net:4100/static/NORDIC_MEDTECH_COMPETITIVE_LANDSCAPE_AND_PEER_DOSSIER.html</x:v>
      </x:c>
    </x:row>
    <x:row r="2410" ht="42" customHeight="1">
      <x:c r="A2410" s="5" t="str">
        <x:v>D08</x:v>
      </x:c>
      <x:c r="B2410" s="5" t="str">
        <x:v>D08-T01</x:v>
      </x:c>
      <x:c r="C2410" s="5" t="str">
        <x:v>3. Comprehensive Competitive Capability Matrix</x:v>
      </x:c>
      <x:c r="D2410" s="5" t="n">
        <x:v>138</x:v>
      </x:c>
      <x:c r="E2410" s="5" t="n">
        <x:v>3</x:v>
      </x:c>
      <x:c r="F2410" s="5" t="str">
        <x:v>Plantvision / Knightec</x:v>
      </x:c>
      <x:c r="G2410" s="5" t="n">
        <x:v>1</x:v>
      </x:c>
      <x:c r="H2410" s="5" t="n">
        <x:v>1</x:v>
      </x:c>
      <x:c r="I2410" s="5" t="str">
        <x:v>Weak</x:v>
      </x:c>
      <x:c r="J2410" s="5" t="str">
        <x:v>SOURCE QUOTE; unvalidated / superseded assessments</x:v>
      </x:c>
      <x:c r="L2410" s="31" t="str">
        <x:v>D08, Markdown line 138; http://nas-1.tail55d152.ts.net:4100/static/NORDIC_MEDTECH_COMPETITIVE_LANDSCAPE_AND_PEER_DOSSIER.html</x:v>
      </x:c>
    </x:row>
    <x:row r="2411" ht="42" customHeight="1">
      <x:c r="A2411" s="5" t="str">
        <x:v>D08</x:v>
      </x:c>
      <x:c r="B2411" s="5" t="str">
        <x:v>D08-T01</x:v>
      </x:c>
      <x:c r="C2411" s="5" t="str">
        <x:v>3. Comprehensive Competitive Capability Matrix</x:v>
      </x:c>
      <x:c r="D2411" s="5" t="n">
        <x:v>138</x:v>
      </x:c>
      <x:c r="E2411" s="5" t="n">
        <x:v>4</x:v>
      </x:c>
      <x:c r="F2411" s="5" t="str">
        <x:v>Qadvis / Symbioteq</x:v>
      </x:c>
      <x:c r="G2411" s="5" t="n">
        <x:v>1</x:v>
      </x:c>
      <x:c r="H2411" s="5" t="n">
        <x:v>1</x:v>
      </x:c>
      <x:c r="I2411" s="5" t="str">
        <x:v>Weak</x:v>
      </x:c>
      <x:c r="J2411" s="5" t="str">
        <x:v>SOURCE QUOTE; unvalidated / superseded assessments</x:v>
      </x:c>
      <x:c r="L2411" s="31" t="str">
        <x:v>D08, Markdown line 138; http://nas-1.tail55d152.ts.net:4100/static/NORDIC_MEDTECH_COMPETITIVE_LANDSCAPE_AND_PEER_DOSSIER.html</x:v>
      </x:c>
    </x:row>
    <x:row r="2412" ht="42" customHeight="1">
      <x:c r="A2412" s="5" t="str">
        <x:v>D08</x:v>
      </x:c>
      <x:c r="B2412" s="5" t="str">
        <x:v>D08-T01</x:v>
      </x:c>
      <x:c r="C2412" s="5" t="str">
        <x:v>3. Comprehensive Competitive Capability Matrix</x:v>
      </x:c>
      <x:c r="D2412" s="5" t="n">
        <x:v>138</x:v>
      </x:c>
      <x:c r="E2412" s="5" t="n">
        <x:v>5</x:v>
      </x:c>
      <x:c r="F2412" s="5" t="str">
        <x:v>Emergo by UL</x:v>
      </x:c>
      <x:c r="G2412" s="5" t="n">
        <x:v>1</x:v>
      </x:c>
      <x:c r="H2412" s="5" t="n">
        <x:v>1</x:v>
      </x:c>
      <x:c r="I2412" s="5" t="str">
        <x:v>Weak</x:v>
      </x:c>
      <x:c r="J2412" s="5" t="str">
        <x:v>SOURCE QUOTE; unvalidated / superseded assessments</x:v>
      </x:c>
      <x:c r="L2412" s="31" t="str">
        <x:v>D08, Markdown line 138; http://nas-1.tail55d152.ts.net:4100/static/NORDIC_MEDTECH_COMPETITIVE_LANDSCAPE_AND_PEER_DOSSIER.html</x:v>
      </x:c>
    </x:row>
    <x:row r="2413" ht="42" customHeight="1">
      <x:c r="A2413" s="5" t="str">
        <x:v>D08</x:v>
      </x:c>
      <x:c r="B2413" s="5" t="str">
        <x:v>D08-T01</x:v>
      </x:c>
      <x:c r="C2413" s="5" t="str">
        <x:v>3. Comprehensive Competitive Capability Matrix</x:v>
      </x:c>
      <x:c r="D2413" s="5" t="n">
        <x:v>138</x:v>
      </x:c>
      <x:c r="E2413" s="5" t="n">
        <x:v>6</x:v>
      </x:c>
      <x:c r="F2413" s="5" t="str">
        <x:v>LINK Medical</x:v>
      </x:c>
      <x:c r="G2413" s="5" t="n">
        <x:v>1</x:v>
      </x:c>
      <x:c r="H2413" s="5" t="n">
        <x:v>1</x:v>
      </x:c>
      <x:c r="I2413" s="5" t="str">
        <x:v>Moderate</x:v>
      </x:c>
      <x:c r="J2413" s="5" t="str">
        <x:v>SOURCE QUOTE; unvalidated / superseded assessments</x:v>
      </x:c>
      <x:c r="L2413" s="31" t="str">
        <x:v>D08, Markdown line 138; http://nas-1.tail55d152.ts.net:4100/static/NORDIC_MEDTECH_COMPETITIVE_LANDSCAPE_AND_PEER_DOSSIER.html</x:v>
      </x:c>
    </x:row>
    <x:row r="2414" ht="42" customHeight="1">
      <x:c r="A2414" s="5" t="str">
        <x:v>D08</x:v>
      </x:c>
      <x:c r="B2414" s="5" t="str">
        <x:v>D08-T01</x:v>
      </x:c>
      <x:c r="C2414" s="5" t="str">
        <x:v>3. Comprehensive Competitive Capability Matrix</x:v>
      </x:c>
      <x:c r="D2414" s="5" t="n">
        <x:v>138</x:v>
      </x:c>
      <x:c r="E2414" s="5" t="n">
        <x:v>7</x:v>
      </x:c>
      <x:c r="F2414" s="5" t="str">
        <x:v>PA Consulting</x:v>
      </x:c>
      <x:c r="G2414" s="5" t="n">
        <x:v>1</x:v>
      </x:c>
      <x:c r="H2414" s="5" t="n">
        <x:v>1</x:v>
      </x:c>
      <x:c r="I2414" s="5" t="str">
        <x:v>Strong</x:v>
      </x:c>
      <x:c r="J2414" s="5" t="str">
        <x:v>SOURCE QUOTE; unvalidated / superseded assessments</x:v>
      </x:c>
      <x:c r="L2414" s="31" t="str">
        <x:v>D08, Markdown line 138; http://nas-1.tail55d152.ts.net:4100/static/NORDIC_MEDTECH_COMPETITIVE_LANDSCAPE_AND_PEER_DOSSIER.html</x:v>
      </x:c>
    </x:row>
    <x:row r="2415" ht="42" customHeight="1">
      <x:c r="A2415" s="5" t="str">
        <x:v>D08</x:v>
      </x:c>
      <x:c r="B2415" s="5" t="str">
        <x:v>D08-T01</x:v>
      </x:c>
      <x:c r="C2415" s="5" t="str">
        <x:v>3. Comprehensive Competitive Capability Matrix</x:v>
      </x:c>
      <x:c r="D2415" s="5" t="n">
        <x:v>139</x:v>
      </x:c>
      <x:c r="E2415" s="5" t="n">
        <x:v>1</x:v>
      </x:c>
      <x:c r="F2415" s="5" t="str">
        <x:v>Evaluation Dimension</x:v>
      </x:c>
      <x:c r="G2415" s="5" t="n">
        <x:v>1</x:v>
      </x:c>
      <x:c r="H2415" s="5" t="n">
        <x:v>1</x:v>
      </x:c>
      <x:c r="I2415" s="5" t="str">
        <x:v>Pricing Transparency &amp; Risk-Sharing</x:v>
      </x:c>
      <x:c r="J2415" s="5" t="str">
        <x:v>SOURCE QUOTE; unvalidated / superseded assessments</x:v>
      </x:c>
      <x:c r="L2415" s="31" t="str">
        <x:v>D08, Markdown line 139; http://nas-1.tail55d152.ts.net:4100/static/NORDIC_MEDTECH_COMPETITIVE_LANDSCAPE_AND_PEER_DOSSIER.html</x:v>
      </x:c>
    </x:row>
    <x:row r="2416" ht="42" customHeight="1">
      <x:c r="A2416" s="5" t="str">
        <x:v>D08</x:v>
      </x:c>
      <x:c r="B2416" s="5" t="str">
        <x:v>D08-T01</x:v>
      </x:c>
      <x:c r="C2416" s="5" t="str">
        <x:v>3. Comprehensive Competitive Capability Matrix</x:v>
      </x:c>
      <x:c r="D2416" s="5" t="n">
        <x:v>139</x:v>
      </x:c>
      <x:c r="E2416" s="5" t="n">
        <x:v>2</x:v>
      </x:c>
      <x:c r="F2416" s="5" t="str">
        <x:v>2S Consulting &amp; HCare360</x:v>
      </x:c>
      <x:c r="G2416" s="5" t="n">
        <x:v>1</x:v>
      </x:c>
      <x:c r="H2416" s="5" t="n">
        <x:v>1</x:v>
      </x:c>
      <x:c r="I2416" s="5" t="str">
        <x:v>Fixed Wedge / Retainer</x:v>
      </x:c>
      <x:c r="J2416" s="5" t="str">
        <x:v>SOURCE QUOTE; unvalidated / superseded assessments</x:v>
      </x:c>
      <x:c r="L2416" s="31" t="str">
        <x:v>D08, Markdown line 139; http://nas-1.tail55d152.ts.net:4100/static/NORDIC_MEDTECH_COMPETITIVE_LANDSCAPE_AND_PEER_DOSSIER.html</x:v>
      </x:c>
    </x:row>
    <x:row r="2417" ht="42" customHeight="1">
      <x:c r="A2417" s="5" t="str">
        <x:v>D08</x:v>
      </x:c>
      <x:c r="B2417" s="5" t="str">
        <x:v>D08-T01</x:v>
      </x:c>
      <x:c r="C2417" s="5" t="str">
        <x:v>3. Comprehensive Competitive Capability Matrix</x:v>
      </x:c>
      <x:c r="D2417" s="5" t="n">
        <x:v>139</x:v>
      </x:c>
      <x:c r="E2417" s="5" t="n">
        <x:v>3</x:v>
      </x:c>
      <x:c r="F2417" s="5" t="str">
        <x:v>Plantvision / Knightec</x:v>
      </x:c>
      <x:c r="G2417" s="5" t="n">
        <x:v>1</x:v>
      </x:c>
      <x:c r="H2417" s="5" t="n">
        <x:v>1</x:v>
      </x:c>
      <x:c r="I2417" s="5" t="str">
        <x:v>Hourly Billing</x:v>
      </x:c>
      <x:c r="J2417" s="5" t="str">
        <x:v>SOURCE QUOTE; unvalidated / superseded assessments</x:v>
      </x:c>
      <x:c r="L2417" s="31" t="str">
        <x:v>D08, Markdown line 139; http://nas-1.tail55d152.ts.net:4100/static/NORDIC_MEDTECH_COMPETITIVE_LANDSCAPE_AND_PEER_DOSSIER.html</x:v>
      </x:c>
    </x:row>
    <x:row r="2418" ht="42" customHeight="1">
      <x:c r="A2418" s="5" t="str">
        <x:v>D08</x:v>
      </x:c>
      <x:c r="B2418" s="5" t="str">
        <x:v>D08-T01</x:v>
      </x:c>
      <x:c r="C2418" s="5" t="str">
        <x:v>3. Comprehensive Competitive Capability Matrix</x:v>
      </x:c>
      <x:c r="D2418" s="5" t="n">
        <x:v>139</x:v>
      </x:c>
      <x:c r="E2418" s="5" t="n">
        <x:v>4</x:v>
      </x:c>
      <x:c r="F2418" s="5" t="str">
        <x:v>Qadvis / Symbioteq</x:v>
      </x:c>
      <x:c r="G2418" s="5" t="n">
        <x:v>1</x:v>
      </x:c>
      <x:c r="H2418" s="5" t="n">
        <x:v>1</x:v>
      </x:c>
      <x:c r="I2418" s="5" t="str">
        <x:v>Hourly Billing</x:v>
      </x:c>
      <x:c r="J2418" s="5" t="str">
        <x:v>SOURCE QUOTE; unvalidated / superseded assessments</x:v>
      </x:c>
      <x:c r="L2418" s="31" t="str">
        <x:v>D08, Markdown line 139; http://nas-1.tail55d152.ts.net:4100/static/NORDIC_MEDTECH_COMPETITIVE_LANDSCAPE_AND_PEER_DOSSIER.html</x:v>
      </x:c>
    </x:row>
    <x:row r="2419" ht="42" customHeight="1">
      <x:c r="A2419" s="5" t="str">
        <x:v>D08</x:v>
      </x:c>
      <x:c r="B2419" s="5" t="str">
        <x:v>D08-T01</x:v>
      </x:c>
      <x:c r="C2419" s="5" t="str">
        <x:v>3. Comprehensive Competitive Capability Matrix</x:v>
      </x:c>
      <x:c r="D2419" s="5" t="n">
        <x:v>139</x:v>
      </x:c>
      <x:c r="E2419" s="5" t="n">
        <x:v>5</x:v>
      </x:c>
      <x:c r="F2419" s="5" t="str">
        <x:v>Emergo by UL</x:v>
      </x:c>
      <x:c r="G2419" s="5" t="n">
        <x:v>1</x:v>
      </x:c>
      <x:c r="H2419" s="5" t="n">
        <x:v>1</x:v>
      </x:c>
      <x:c r="I2419" s="5" t="str">
        <x:v>High Fixed Retainer</x:v>
      </x:c>
      <x:c r="J2419" s="5" t="str">
        <x:v>SOURCE QUOTE; unvalidated / superseded assessments</x:v>
      </x:c>
      <x:c r="L2419" s="31" t="str">
        <x:v>D08, Markdown line 139; http://nas-1.tail55d152.ts.net:4100/static/NORDIC_MEDTECH_COMPETITIVE_LANDSCAPE_AND_PEER_DOSSIER.html</x:v>
      </x:c>
    </x:row>
    <x:row r="2420" ht="42" customHeight="1">
      <x:c r="A2420" s="5" t="str">
        <x:v>D08</x:v>
      </x:c>
      <x:c r="B2420" s="5" t="str">
        <x:v>D08-T01</x:v>
      </x:c>
      <x:c r="C2420" s="5" t="str">
        <x:v>3. Comprehensive Competitive Capability Matrix</x:v>
      </x:c>
      <x:c r="D2420" s="5" t="n">
        <x:v>139</x:v>
      </x:c>
      <x:c r="E2420" s="5" t="n">
        <x:v>6</x:v>
      </x:c>
      <x:c r="F2420" s="5" t="str">
        <x:v>LINK Medical</x:v>
      </x:c>
      <x:c r="G2420" s="5" t="n">
        <x:v>1</x:v>
      </x:c>
      <x:c r="H2420" s="5" t="n">
        <x:v>1</x:v>
      </x:c>
      <x:c r="I2420" s="5" t="str">
        <x:v>Clinical Milestone</x:v>
      </x:c>
      <x:c r="J2420" s="5" t="str">
        <x:v>SOURCE QUOTE; unvalidated / superseded assessments</x:v>
      </x:c>
      <x:c r="L2420" s="31" t="str">
        <x:v>D08, Markdown line 139; http://nas-1.tail55d152.ts.net:4100/static/NORDIC_MEDTECH_COMPETITIVE_LANDSCAPE_AND_PEER_DOSSIER.html</x:v>
      </x:c>
    </x:row>
    <x:row r="2421" ht="42" customHeight="1">
      <x:c r="A2421" s="5" t="str">
        <x:v>D08</x:v>
      </x:c>
      <x:c r="B2421" s="5" t="str">
        <x:v>D08-T01</x:v>
      </x:c>
      <x:c r="C2421" s="5" t="str">
        <x:v>3. Comprehensive Competitive Capability Matrix</x:v>
      </x:c>
      <x:c r="D2421" s="5" t="n">
        <x:v>139</x:v>
      </x:c>
      <x:c r="E2421" s="5" t="n">
        <x:v>7</x:v>
      </x:c>
      <x:c r="F2421" s="5" t="str">
        <x:v>PA Consulting</x:v>
      </x:c>
      <x:c r="G2421" s="5" t="n">
        <x:v>1</x:v>
      </x:c>
      <x:c r="H2421" s="5" t="n">
        <x:v>1</x:v>
      </x:c>
      <x:c r="I2421" s="5" t="str">
        <x:v>Top-Tier Retainer</x:v>
      </x:c>
      <x:c r="J2421" s="5" t="str">
        <x:v>SOURCE QUOTE; unvalidated / superseded assessments</x:v>
      </x:c>
      <x:c r="L2421" s="31" t="str">
        <x:v>D08, Markdown line 139; http://nas-1.tail55d152.ts.net:4100/static/NORDIC_MEDTECH_COMPETITIVE_LANDSCAPE_AND_PEER_DOSSIER.html</x:v>
      </x:c>
    </x:row>
    <x:row r="2422" ht="42" customHeight="1">
      <x:c r="A2422" s="5" t="str">
        <x:v>D08</x:v>
      </x:c>
      <x:c r="B2422" s="5" t="str">
        <x:v>D08-T01</x:v>
      </x:c>
      <x:c r="C2422" s="5" t="str">
        <x:v>3. Comprehensive Competitive Capability Matrix</x:v>
      </x:c>
      <x:c r="D2422" s="5" t="n">
        <x:v>140</x:v>
      </x:c>
      <x:c r="E2422" s="5" t="n">
        <x:v>1</x:v>
      </x:c>
      <x:c r="F2422" s="5" t="str">
        <x:v>Evaluation Dimension</x:v>
      </x:c>
      <x:c r="G2422" s="5" t="n">
        <x:v>1</x:v>
      </x:c>
      <x:c r="H2422" s="5" t="n">
        <x:v>1</x:v>
      </x:c>
      <x:c r="I2422" s="5" t="str">
        <x:v>Senior Partner Immersion</x:v>
      </x:c>
      <x:c r="J2422" s="5" t="str">
        <x:v>SOURCE QUOTE; unvalidated / superseded assessments</x:v>
      </x:c>
      <x:c r="L2422" s="31" t="str">
        <x:v>D08, Markdown line 140; http://nas-1.tail55d152.ts.net:4100/static/NORDIC_MEDTECH_COMPETITIVE_LANDSCAPE_AND_PEER_DOSSIER.html</x:v>
      </x:c>
    </x:row>
    <x:row r="2423" ht="42" customHeight="1">
      <x:c r="A2423" s="5" t="str">
        <x:v>D08</x:v>
      </x:c>
      <x:c r="B2423" s="5" t="str">
        <x:v>D08-T01</x:v>
      </x:c>
      <x:c r="C2423" s="5" t="str">
        <x:v>3. Comprehensive Competitive Capability Matrix</x:v>
      </x:c>
      <x:c r="D2423" s="5" t="n">
        <x:v>140</x:v>
      </x:c>
      <x:c r="E2423" s="5" t="n">
        <x:v>2</x:v>
      </x:c>
      <x:c r="F2423" s="5" t="str">
        <x:v>2S Consulting &amp; HCare360</x:v>
      </x:c>
      <x:c r="G2423" s="5" t="n">
        <x:v>1</x:v>
      </x:c>
      <x:c r="H2423" s="5" t="n">
        <x:v>1</x:v>
      </x:c>
      <x:c r="I2423" s="5" t="str">
        <x:v>100% Direct</x:v>
      </x:c>
      <x:c r="J2423" s="5" t="str">
        <x:v>SOURCE QUOTE; unvalidated / superseded assessments</x:v>
      </x:c>
      <x:c r="L2423" s="31" t="str">
        <x:v>D08, Markdown line 140; http://nas-1.tail55d152.ts.net:4100/static/NORDIC_MEDTECH_COMPETITIVE_LANDSCAPE_AND_PEER_DOSSIER.html</x:v>
      </x:c>
    </x:row>
    <x:row r="2424" ht="42" customHeight="1">
      <x:c r="A2424" s="5" t="str">
        <x:v>D08</x:v>
      </x:c>
      <x:c r="B2424" s="5" t="str">
        <x:v>D08-T01</x:v>
      </x:c>
      <x:c r="C2424" s="5" t="str">
        <x:v>3. Comprehensive Competitive Capability Matrix</x:v>
      </x:c>
      <x:c r="D2424" s="5" t="n">
        <x:v>140</x:v>
      </x:c>
      <x:c r="E2424" s="5" t="n">
        <x:v>3</x:v>
      </x:c>
      <x:c r="F2424" s="5" t="str">
        <x:v>Plantvision / Knightec</x:v>
      </x:c>
      <x:c r="G2424" s="5" t="n">
        <x:v>1</x:v>
      </x:c>
      <x:c r="H2424" s="5" t="n">
        <x:v>1</x:v>
      </x:c>
      <x:c r="I2424" s="5" t="str">
        <x:v>Account Managers</x:v>
      </x:c>
      <x:c r="J2424" s="5" t="str">
        <x:v>SOURCE QUOTE; unvalidated / superseded assessments</x:v>
      </x:c>
      <x:c r="L2424" s="31" t="str">
        <x:v>D08, Markdown line 140; http://nas-1.tail55d152.ts.net:4100/static/NORDIC_MEDTECH_COMPETITIVE_LANDSCAPE_AND_PEER_DOSSIER.html</x:v>
      </x:c>
    </x:row>
    <x:row r="2425" ht="42" customHeight="1">
      <x:c r="A2425" s="5" t="str">
        <x:v>D08</x:v>
      </x:c>
      <x:c r="B2425" s="5" t="str">
        <x:v>D08-T01</x:v>
      </x:c>
      <x:c r="C2425" s="5" t="str">
        <x:v>3. Comprehensive Competitive Capability Matrix</x:v>
      </x:c>
      <x:c r="D2425" s="5" t="n">
        <x:v>140</x:v>
      </x:c>
      <x:c r="E2425" s="5" t="n">
        <x:v>4</x:v>
      </x:c>
      <x:c r="F2425" s="5" t="str">
        <x:v>Qadvis / Symbioteq</x:v>
      </x:c>
      <x:c r="G2425" s="5" t="n">
        <x:v>1</x:v>
      </x:c>
      <x:c r="H2425" s="5" t="n">
        <x:v>1</x:v>
      </x:c>
      <x:c r="I2425" s="5" t="str">
        <x:v>Senior Billed</x:v>
      </x:c>
      <x:c r="J2425" s="5" t="str">
        <x:v>SOURCE QUOTE; unvalidated / superseded assessments</x:v>
      </x:c>
      <x:c r="L2425" s="31" t="str">
        <x:v>D08, Markdown line 140; http://nas-1.tail55d152.ts.net:4100/static/NORDIC_MEDTECH_COMPETITIVE_LANDSCAPE_AND_PEER_DOSSIER.html</x:v>
      </x:c>
    </x:row>
    <x:row r="2426" ht="42" customHeight="1">
      <x:c r="A2426" s="5" t="str">
        <x:v>D08</x:v>
      </x:c>
      <x:c r="B2426" s="5" t="str">
        <x:v>D08-T01</x:v>
      </x:c>
      <x:c r="C2426" s="5" t="str">
        <x:v>3. Comprehensive Competitive Capability Matrix</x:v>
      </x:c>
      <x:c r="D2426" s="5" t="n">
        <x:v>140</x:v>
      </x:c>
      <x:c r="E2426" s="5" t="n">
        <x:v>5</x:v>
      </x:c>
      <x:c r="F2426" s="5" t="str">
        <x:v>Emergo by UL</x:v>
      </x:c>
      <x:c r="G2426" s="5" t="n">
        <x:v>1</x:v>
      </x:c>
      <x:c r="H2426" s="5" t="n">
        <x:v>1</x:v>
      </x:c>
      <x:c r="I2426" s="5" t="str">
        <x:v>Delegated Junior</x:v>
      </x:c>
      <x:c r="J2426" s="5" t="str">
        <x:v>SOURCE QUOTE; unvalidated / superseded assessments</x:v>
      </x:c>
      <x:c r="L2426" s="31" t="str">
        <x:v>D08, Markdown line 140; http://nas-1.tail55d152.ts.net:4100/static/NORDIC_MEDTECH_COMPETITIVE_LANDSCAPE_AND_PEER_DOSSIER.html</x:v>
      </x:c>
    </x:row>
    <x:row r="2427" ht="42" customHeight="1">
      <x:c r="A2427" s="5" t="str">
        <x:v>D08</x:v>
      </x:c>
      <x:c r="B2427" s="5" t="str">
        <x:v>D08-T01</x:v>
      </x:c>
      <x:c r="C2427" s="5" t="str">
        <x:v>3. Comprehensive Competitive Capability Matrix</x:v>
      </x:c>
      <x:c r="D2427" s="5" t="n">
        <x:v>140</x:v>
      </x:c>
      <x:c r="E2427" s="5" t="n">
        <x:v>6</x:v>
      </x:c>
      <x:c r="F2427" s="5" t="str">
        <x:v>LINK Medical</x:v>
      </x:c>
      <x:c r="G2427" s="5" t="n">
        <x:v>1</x:v>
      </x:c>
      <x:c r="H2427" s="5" t="n">
        <x:v>1</x:v>
      </x:c>
      <x:c r="I2427" s="5" t="str">
        <x:v>Project Lead</x:v>
      </x:c>
      <x:c r="J2427" s="5" t="str">
        <x:v>SOURCE QUOTE; unvalidated / superseded assessments</x:v>
      </x:c>
      <x:c r="L2427" s="31" t="str">
        <x:v>D08, Markdown line 140; http://nas-1.tail55d152.ts.net:4100/static/NORDIC_MEDTECH_COMPETITIVE_LANDSCAPE_AND_PEER_DOSSIER.html</x:v>
      </x:c>
    </x:row>
    <x:row r="2428" ht="42" customHeight="1">
      <x:c r="A2428" s="5" t="str">
        <x:v>D08</x:v>
      </x:c>
      <x:c r="B2428" s="5" t="str">
        <x:v>D08-T01</x:v>
      </x:c>
      <x:c r="C2428" s="5" t="str">
        <x:v>3. Comprehensive Competitive Capability Matrix</x:v>
      </x:c>
      <x:c r="D2428" s="5" t="n">
        <x:v>140</x:v>
      </x:c>
      <x:c r="E2428" s="5" t="n">
        <x:v>7</x:v>
      </x:c>
      <x:c r="F2428" s="5" t="str">
        <x:v>PA Consulting</x:v>
      </x:c>
      <x:c r="G2428" s="5" t="n">
        <x:v>1</x:v>
      </x:c>
      <x:c r="H2428" s="5" t="n">
        <x:v>1</x:v>
      </x:c>
      <x:c r="I2428" s="5" t="str">
        <x:v>Partner Pitches</x:v>
      </x:c>
      <x:c r="J2428" s="5" t="str">
        <x:v>SOURCE QUOTE; unvalidated / superseded assessments</x:v>
      </x:c>
      <x:c r="L2428" s="31" t="str">
        <x:v>D08, Markdown line 140; http://nas-1.tail55d152.ts.net:4100/static/NORDIC_MEDTECH_COMPETITIVE_LANDSCAPE_AND_PEER_DOSSIER.html</x:v>
      </x:c>
    </x:row>
    <x:row r="2429" ht="42" customHeight="1">
      <x:c r="A2429" s="5" t="str">
        <x:v>D08</x:v>
      </x:c>
      <x:c r="B2429" s="5" t="str">
        <x:v>D08-T01</x:v>
      </x:c>
      <x:c r="C2429" s="5" t="str">
        <x:v>3. Comprehensive Competitive Capability Matrix</x:v>
      </x:c>
      <x:c r="D2429" s="5" t="n">
        <x:v>141</x:v>
      </x:c>
      <x:c r="E2429" s="5" t="n">
        <x:v>1</x:v>
      </x:c>
      <x:c r="F2429" s="5" t="str">
        <x:v>Evaluation Dimension</x:v>
      </x:c>
      <x:c r="G2429" s="5" t="n">
        <x:v>1</x:v>
      </x:c>
      <x:c r="H2429" s="5" t="n">
        <x:v>1</x:v>
      </x:c>
      <x:c r="I2429" s="5" t="str">
        <x:v>On-Site Nordic Presence</x:v>
      </x:c>
      <x:c r="J2429" s="5" t="str">
        <x:v>SOURCE QUOTE; unvalidated / superseded assessments</x:v>
      </x:c>
      <x:c r="L2429" s="31" t="str">
        <x:v>D08, Markdown line 141; http://nas-1.tail55d152.ts.net:4100/static/NORDIC_MEDTECH_COMPETITIVE_LANDSCAPE_AND_PEER_DOSSIER.html</x:v>
      </x:c>
    </x:row>
    <x:row r="2430" ht="42" customHeight="1">
      <x:c r="A2430" s="5" t="str">
        <x:v>D08</x:v>
      </x:c>
      <x:c r="B2430" s="5" t="str">
        <x:v>D08-T01</x:v>
      </x:c>
      <x:c r="C2430" s="5" t="str">
        <x:v>3. Comprehensive Competitive Capability Matrix</x:v>
      </x:c>
      <x:c r="D2430" s="5" t="n">
        <x:v>141</x:v>
      </x:c>
      <x:c r="E2430" s="5" t="n">
        <x:v>2</x:v>
      </x:c>
      <x:c r="F2430" s="5" t="str">
        <x:v>2S Consulting &amp; HCare360</x:v>
      </x:c>
      <x:c r="G2430" s="5" t="n">
        <x:v>1</x:v>
      </x:c>
      <x:c r="H2430" s="5" t="n">
        <x:v>1</x:v>
      </x:c>
      <x:c r="I2430" s="5" t="str">
        <x:v>Stockholm/Lund/Helsinki</x:v>
      </x:c>
      <x:c r="J2430" s="5" t="str">
        <x:v>SOURCE QUOTE; unvalidated / superseded assessments</x:v>
      </x:c>
      <x:c r="L2430" s="31" t="str">
        <x:v>D08, Markdown line 141; http://nas-1.tail55d152.ts.net:4100/static/NORDIC_MEDTECH_COMPETITIVE_LANDSCAPE_AND_PEER_DOSSIER.html</x:v>
      </x:c>
    </x:row>
    <x:row r="2431" ht="42" customHeight="1">
      <x:c r="A2431" s="5" t="str">
        <x:v>D08</x:v>
      </x:c>
      <x:c r="B2431" s="5" t="str">
        <x:v>D08-T01</x:v>
      </x:c>
      <x:c r="C2431" s="5" t="str">
        <x:v>3. Comprehensive Competitive Capability Matrix</x:v>
      </x:c>
      <x:c r="D2431" s="5" t="n">
        <x:v>141</x:v>
      </x:c>
      <x:c r="E2431" s="5" t="n">
        <x:v>3</x:v>
      </x:c>
      <x:c r="F2431" s="5" t="str">
        <x:v>Plantvision / Knightec</x:v>
      </x:c>
      <x:c r="G2431" s="5" t="n">
        <x:v>1</x:v>
      </x:c>
      <x:c r="H2431" s="5" t="n">
        <x:v>1</x:v>
      </x:c>
      <x:c r="I2431" s="5" t="str">
        <x:v>Sweden Only</x:v>
      </x:c>
      <x:c r="J2431" s="5" t="str">
        <x:v>SOURCE QUOTE; unvalidated / superseded assessments</x:v>
      </x:c>
      <x:c r="L2431" s="31" t="str">
        <x:v>D08, Markdown line 141; http://nas-1.tail55d152.ts.net:4100/static/NORDIC_MEDTECH_COMPETITIVE_LANDSCAPE_AND_PEER_DOSSIER.html</x:v>
      </x:c>
    </x:row>
    <x:row r="2432" ht="42" customHeight="1">
      <x:c r="A2432" s="5" t="str">
        <x:v>D08</x:v>
      </x:c>
      <x:c r="B2432" s="5" t="str">
        <x:v>D08-T01</x:v>
      </x:c>
      <x:c r="C2432" s="5" t="str">
        <x:v>3. Comprehensive Competitive Capability Matrix</x:v>
      </x:c>
      <x:c r="D2432" s="5" t="n">
        <x:v>141</x:v>
      </x:c>
      <x:c r="E2432" s="5" t="n">
        <x:v>4</x:v>
      </x:c>
      <x:c r="F2432" s="5" t="str">
        <x:v>Qadvis / Symbioteq</x:v>
      </x:c>
      <x:c r="G2432" s="5" t="n">
        <x:v>1</x:v>
      </x:c>
      <x:c r="H2432" s="5" t="n">
        <x:v>1</x:v>
      </x:c>
      <x:c r="I2432" s="5" t="str">
        <x:v>Sweden Only</x:v>
      </x:c>
      <x:c r="J2432" s="5" t="str">
        <x:v>SOURCE QUOTE; unvalidated / superseded assessments</x:v>
      </x:c>
      <x:c r="L2432" s="31" t="str">
        <x:v>D08, Markdown line 141; http://nas-1.tail55d152.ts.net:4100/static/NORDIC_MEDTECH_COMPETITIVE_LANDSCAPE_AND_PEER_DOSSIER.html</x:v>
      </x:c>
    </x:row>
    <x:row r="2433" ht="42" customHeight="1">
      <x:c r="A2433" s="5" t="str">
        <x:v>D08</x:v>
      </x:c>
      <x:c r="B2433" s="5" t="str">
        <x:v>D08-T01</x:v>
      </x:c>
      <x:c r="C2433" s="5" t="str">
        <x:v>3. Comprehensive Competitive Capability Matrix</x:v>
      </x:c>
      <x:c r="D2433" s="5" t="n">
        <x:v>141</x:v>
      </x:c>
      <x:c r="E2433" s="5" t="n">
        <x:v>5</x:v>
      </x:c>
      <x:c r="F2433" s="5" t="str">
        <x:v>Emergo by UL</x:v>
      </x:c>
      <x:c r="G2433" s="5" t="n">
        <x:v>1</x:v>
      </x:c>
      <x:c r="H2433" s="5" t="n">
        <x:v>1</x:v>
      </x:c>
      <x:c r="I2433" s="5" t="str">
        <x:v>Regional Agent</x:v>
      </x:c>
      <x:c r="J2433" s="5" t="str">
        <x:v>SOURCE QUOTE; unvalidated / superseded assessments</x:v>
      </x:c>
      <x:c r="L2433" s="31" t="str">
        <x:v>D08, Markdown line 141; http://nas-1.tail55d152.ts.net:4100/static/NORDIC_MEDTECH_COMPETITIVE_LANDSCAPE_AND_PEER_DOSSIER.html</x:v>
      </x:c>
    </x:row>
    <x:row r="2434" ht="42" customHeight="1">
      <x:c r="A2434" s="5" t="str">
        <x:v>D08</x:v>
      </x:c>
      <x:c r="B2434" s="5" t="str">
        <x:v>D08-T01</x:v>
      </x:c>
      <x:c r="C2434" s="5" t="str">
        <x:v>3. Comprehensive Competitive Capability Matrix</x:v>
      </x:c>
      <x:c r="D2434" s="5" t="n">
        <x:v>141</x:v>
      </x:c>
      <x:c r="E2434" s="5" t="n">
        <x:v>6</x:v>
      </x:c>
      <x:c r="F2434" s="5" t="str">
        <x:v>LINK Medical</x:v>
      </x:c>
      <x:c r="G2434" s="5" t="n">
        <x:v>1</x:v>
      </x:c>
      <x:c r="H2434" s="5" t="n">
        <x:v>1</x:v>
      </x:c>
      <x:c r="I2434" s="5" t="str">
        <x:v>SE / NO / DK</x:v>
      </x:c>
      <x:c r="J2434" s="5" t="str">
        <x:v>SOURCE QUOTE; unvalidated / superseded assessments</x:v>
      </x:c>
      <x:c r="L2434" s="31" t="str">
        <x:v>D08, Markdown line 141; http://nas-1.tail55d152.ts.net:4100/static/NORDIC_MEDTECH_COMPETITIVE_LANDSCAPE_AND_PEER_DOSSIER.html</x:v>
      </x:c>
    </x:row>
    <x:row r="2435" ht="42" customHeight="1">
      <x:c r="A2435" s="5" t="str">
        <x:v>D08</x:v>
      </x:c>
      <x:c r="B2435" s="5" t="str">
        <x:v>D08-T01</x:v>
      </x:c>
      <x:c r="C2435" s="5" t="str">
        <x:v>3. Comprehensive Competitive Capability Matrix</x:v>
      </x:c>
      <x:c r="D2435" s="5" t="n">
        <x:v>141</x:v>
      </x:c>
      <x:c r="E2435" s="5" t="n">
        <x:v>7</x:v>
      </x:c>
      <x:c r="F2435" s="5" t="str">
        <x:v>PA Consulting</x:v>
      </x:c>
      <x:c r="G2435" s="5" t="n">
        <x:v>1</x:v>
      </x:c>
      <x:c r="H2435" s="5" t="n">
        <x:v>1</x:v>
      </x:c>
      <x:c r="I2435" s="5" t="str">
        <x:v>Sweden / Denmark</x:v>
      </x:c>
      <x:c r="J2435" s="5" t="str">
        <x:v>SOURCE QUOTE; unvalidated / superseded assessments</x:v>
      </x:c>
      <x:c r="L2435" s="31" t="str">
        <x:v>D08, Markdown line 141; http://nas-1.tail55d152.ts.net:4100/static/NORDIC_MEDTECH_COMPETITIVE_LANDSCAPE_AND_PEER_DOSSIER.html</x:v>
      </x:c>
    </x:row>
    <x:row r="2436" ht="42" customHeight="1">
      <x:c r="A2436" s="5" t="str">
        <x:v>D08</x:v>
      </x:c>
      <x:c r="B2436" s="5" t="str">
        <x:v>D08-T02</x:v>
      </x:c>
      <x:c r="C2436" s="5" t="str">
        <x:v>8.2 Diagnostic Disconfirmation Matrix</x:v>
      </x:c>
      <x:c r="D2436" s="5" t="n">
        <x:v>226</x:v>
      </x:c>
      <x:c r="E2436" s="5" t="n">
        <x:v>1</x:v>
      </x:c>
      <x:c r="F2436" s="5" t="str">
        <x:v>Diagnostic Indicator</x:v>
      </x:c>
      <x:c r="G2436" s="5" t="n">
        <x:v>1</x:v>
      </x:c>
      <x:c r="H2436" s="5" t="n">
        <x:v>1</x:v>
      </x:c>
      <x:c r="I2436" s="5" t="str">
        <x:v>$D_1$: Notified Body MDR Rule 11 Rigor</x:v>
      </x:c>
      <x:c r="J2436" s="5" t="str">
        <x:v>SOURCE QUOTE; unvalidated / superseded assessments</x:v>
      </x:c>
      <x:c r="L2436" s="31" t="str">
        <x:v>D08, Markdown line 226; http://nas-1.tail55d152.ts.net:4100/static/NORDIC_MEDTECH_COMPETITIVE_LANDSCAPE_AND_PEER_DOSSIER.html</x:v>
      </x:c>
    </x:row>
    <x:row r="2437" ht="42" customHeight="1">
      <x:c r="A2437" s="5" t="str">
        <x:v>D08</x:v>
      </x:c>
      <x:c r="B2437" s="5" t="str">
        <x:v>D08-T02</x:v>
      </x:c>
      <x:c r="C2437" s="5" t="str">
        <x:v>8.2 Diagnostic Disconfirmation Matrix</x:v>
      </x:c>
      <x:c r="D2437" s="5" t="n">
        <x:v>226</x:v>
      </x:c>
      <x:c r="E2437" s="5" t="n">
        <x:v>2</x:v>
      </x:c>
      <x:c r="F2437" s="5" t="str">
        <x:v>Diagnostic Weight</x:v>
      </x:c>
      <x:c r="G2437" s="5" t="n">
        <x:v>1</x:v>
      </x:c>
      <x:c r="H2437" s="5" t="n">
        <x:v>1</x:v>
      </x:c>
      <x:c r="I2437" s="5" t="str">
        <x:v>High</x:v>
      </x:c>
      <x:c r="J2437" s="5" t="str">
        <x:v>SOURCE QUOTE; unvalidated / superseded assessments</x:v>
      </x:c>
      <x:c r="L2437" s="31" t="str">
        <x:v>D08, Markdown line 226; http://nas-1.tail55d152.ts.net:4100/static/NORDIC_MEDTECH_COMPETITIVE_LANDSCAPE_AND_PEER_DOSSIER.html</x:v>
      </x:c>
    </x:row>
    <x:row r="2438" ht="42" customHeight="1">
      <x:c r="A2438" s="5" t="str">
        <x:v>D08</x:v>
      </x:c>
      <x:c r="B2438" s="5" t="str">
        <x:v>D08-T02</x:v>
      </x:c>
      <x:c r="C2438" s="5" t="str">
        <x:v>8.2 Diagnostic Disconfirmation Matrix</x:v>
      </x:c>
      <x:c r="D2438" s="5" t="n">
        <x:v>226</x:v>
      </x:c>
      <x:c r="E2438" s="5" t="n">
        <x:v>3</x:v>
      </x:c>
      <x:c r="F2438" s="5" t="str">
        <x:v>$H_1$ (Incumbent Adaptation)</x:v>
      </x:c>
      <x:c r="G2438" s="5" t="n">
        <x:v>1</x:v>
      </x:c>
      <x:c r="H2438" s="5" t="n">
        <x:v>1</x:v>
      </x:c>
      <x:c r="I2438" s="5" t="str">
        <x:v>I (Inconsistent)</x:v>
      </x:c>
      <x:c r="J2438" s="5" t="str">
        <x:v>SOURCE QUOTE; unvalidated / superseded assessments</x:v>
      </x:c>
      <x:c r="L2438" s="31" t="str">
        <x:v>D08, Markdown line 226; http://nas-1.tail55d152.ts.net:4100/static/NORDIC_MEDTECH_COMPETITIVE_LANDSCAPE_AND_PEER_DOSSIER.html</x:v>
      </x:c>
    </x:row>
    <x:row r="2439" ht="42" customHeight="1">
      <x:c r="A2439" s="5" t="str">
        <x:v>D08</x:v>
      </x:c>
      <x:c r="B2439" s="5" t="str">
        <x:v>D08-T02</x:v>
      </x:c>
      <x:c r="C2439" s="5" t="str">
        <x:v>8.2 Diagnostic Disconfirmation Matrix</x:v>
      </x:c>
      <x:c r="D2439" s="5" t="n">
        <x:v>226</x:v>
      </x:c>
      <x:c r="E2439" s="5" t="n">
        <x:v>4</x:v>
      </x:c>
      <x:c r="F2439" s="5" t="str">
        <x:v>$H_2$ (Structural Inertia)</x:v>
      </x:c>
      <x:c r="G2439" s="5" t="n">
        <x:v>1</x:v>
      </x:c>
      <x:c r="H2439" s="5" t="n">
        <x:v>1</x:v>
      </x:c>
      <x:c r="I2439" s="5" t="str">
        <x:v>C (Consistent)</x:v>
      </x:c>
      <x:c r="J2439" s="5" t="str">
        <x:v>SOURCE QUOTE; unvalidated / superseded assessments</x:v>
      </x:c>
      <x:c r="L2439" s="31" t="str">
        <x:v>D08, Markdown line 226; http://nas-1.tail55d152.ts.net:4100/static/NORDIC_MEDTECH_COMPETITIVE_LANDSCAPE_AND_PEER_DOSSIER.html</x:v>
      </x:c>
    </x:row>
    <x:row r="2440" ht="42" customHeight="1">
      <x:c r="A2440" s="5" t="str">
        <x:v>D08</x:v>
      </x:c>
      <x:c r="B2440" s="5" t="str">
        <x:v>D08-T02</x:v>
      </x:c>
      <x:c r="C2440" s="5" t="str">
        <x:v>8.2 Diagnostic Disconfirmation Matrix</x:v>
      </x:c>
      <x:c r="D2440" s="5" t="n">
        <x:v>226</x:v>
      </x:c>
      <x:c r="E2440" s="5" t="n">
        <x:v>5</x:v>
      </x:c>
      <x:c r="F2440" s="5" t="str">
        <x:v>$H_3$ (Global Commoditization)</x:v>
      </x:c>
      <x:c r="G2440" s="5" t="n">
        <x:v>1</x:v>
      </x:c>
      <x:c r="H2440" s="5" t="n">
        <x:v>1</x:v>
      </x:c>
      <x:c r="I2440" s="5" t="str">
        <x:v>I (Inconsistent)</x:v>
      </x:c>
      <x:c r="J2440" s="5" t="str">
        <x:v>SOURCE QUOTE; unvalidated / superseded assessments</x:v>
      </x:c>
      <x:c r="L2440" s="31" t="str">
        <x:v>D08, Markdown line 226; http://nas-1.tail55d152.ts.net:4100/static/NORDIC_MEDTECH_COMPETITIVE_LANDSCAPE_AND_PEER_DOSSIER.html</x:v>
      </x:c>
    </x:row>
    <x:row r="2441" ht="42" customHeight="1">
      <x:c r="A2441" s="5" t="str">
        <x:v>D08</x:v>
      </x:c>
      <x:c r="B2441" s="5" t="str">
        <x:v>D08-T02</x:v>
      </x:c>
      <x:c r="C2441" s="5" t="str">
        <x:v>8.2 Diagnostic Disconfirmation Matrix</x:v>
      </x:c>
      <x:c r="D2441" s="5" t="n">
        <x:v>227</x:v>
      </x:c>
      <x:c r="E2441" s="5" t="n">
        <x:v>1</x:v>
      </x:c>
      <x:c r="F2441" s="5" t="str">
        <x:v>Diagnostic Indicator</x:v>
      </x:c>
      <x:c r="G2441" s="5" t="n">
        <x:v>1</x:v>
      </x:c>
      <x:c r="H2441" s="5" t="n">
        <x:v>1</x:v>
      </x:c>
      <x:c r="I2441" s="5" t="str">
        <x:v>$D_2$: Incumbent Hourly Billing Lock-in</x:v>
      </x:c>
      <x:c r="J2441" s="5" t="str">
        <x:v>SOURCE QUOTE; unvalidated / superseded assessments</x:v>
      </x:c>
      <x:c r="L2441" s="31" t="str">
        <x:v>D08, Markdown line 227; http://nas-1.tail55d152.ts.net:4100/static/NORDIC_MEDTECH_COMPETITIVE_LANDSCAPE_AND_PEER_DOSSIER.html</x:v>
      </x:c>
    </x:row>
    <x:row r="2442" ht="42" customHeight="1">
      <x:c r="A2442" s="5" t="str">
        <x:v>D08</x:v>
      </x:c>
      <x:c r="B2442" s="5" t="str">
        <x:v>D08-T02</x:v>
      </x:c>
      <x:c r="C2442" s="5" t="str">
        <x:v>8.2 Diagnostic Disconfirmation Matrix</x:v>
      </x:c>
      <x:c r="D2442" s="5" t="n">
        <x:v>227</x:v>
      </x:c>
      <x:c r="E2442" s="5" t="n">
        <x:v>2</x:v>
      </x:c>
      <x:c r="F2442" s="5" t="str">
        <x:v>Diagnostic Weight</x:v>
      </x:c>
      <x:c r="G2442" s="5" t="n">
        <x:v>1</x:v>
      </x:c>
      <x:c r="H2442" s="5" t="n">
        <x:v>1</x:v>
      </x:c>
      <x:c r="I2442" s="5" t="str">
        <x:v>High</x:v>
      </x:c>
      <x:c r="J2442" s="5" t="str">
        <x:v>SOURCE QUOTE; unvalidated / superseded assessments</x:v>
      </x:c>
      <x:c r="L2442" s="31" t="str">
        <x:v>D08, Markdown line 227; http://nas-1.tail55d152.ts.net:4100/static/NORDIC_MEDTECH_COMPETITIVE_LANDSCAPE_AND_PEER_DOSSIER.html</x:v>
      </x:c>
    </x:row>
    <x:row r="2443" ht="42" customHeight="1">
      <x:c r="A2443" s="5" t="str">
        <x:v>D08</x:v>
      </x:c>
      <x:c r="B2443" s="5" t="str">
        <x:v>D08-T02</x:v>
      </x:c>
      <x:c r="C2443" s="5" t="str">
        <x:v>8.2 Diagnostic Disconfirmation Matrix</x:v>
      </x:c>
      <x:c r="D2443" s="5" t="n">
        <x:v>227</x:v>
      </x:c>
      <x:c r="E2443" s="5" t="n">
        <x:v>3</x:v>
      </x:c>
      <x:c r="F2443" s="5" t="str">
        <x:v>$H_1$ (Incumbent Adaptation)</x:v>
      </x:c>
      <x:c r="G2443" s="5" t="n">
        <x:v>1</x:v>
      </x:c>
      <x:c r="H2443" s="5" t="n">
        <x:v>1</x:v>
      </x:c>
      <x:c r="I2443" s="5" t="str">
        <x:v>I (Inconsistent)</x:v>
      </x:c>
      <x:c r="J2443" s="5" t="str">
        <x:v>SOURCE QUOTE; unvalidated / superseded assessments</x:v>
      </x:c>
      <x:c r="L2443" s="31" t="str">
        <x:v>D08, Markdown line 227; http://nas-1.tail55d152.ts.net:4100/static/NORDIC_MEDTECH_COMPETITIVE_LANDSCAPE_AND_PEER_DOSSIER.html</x:v>
      </x:c>
    </x:row>
    <x:row r="2444" ht="42" customHeight="1">
      <x:c r="A2444" s="5" t="str">
        <x:v>D08</x:v>
      </x:c>
      <x:c r="B2444" s="5" t="str">
        <x:v>D08-T02</x:v>
      </x:c>
      <x:c r="C2444" s="5" t="str">
        <x:v>8.2 Diagnostic Disconfirmation Matrix</x:v>
      </x:c>
      <x:c r="D2444" s="5" t="n">
        <x:v>227</x:v>
      </x:c>
      <x:c r="E2444" s="5" t="n">
        <x:v>4</x:v>
      </x:c>
      <x:c r="F2444" s="5" t="str">
        <x:v>$H_2$ (Structural Inertia)</x:v>
      </x:c>
      <x:c r="G2444" s="5" t="n">
        <x:v>1</x:v>
      </x:c>
      <x:c r="H2444" s="5" t="n">
        <x:v>1</x:v>
      </x:c>
      <x:c r="I2444" s="5" t="str">
        <x:v>C (Consistent)</x:v>
      </x:c>
      <x:c r="J2444" s="5" t="str">
        <x:v>SOURCE QUOTE; unvalidated / superseded assessments</x:v>
      </x:c>
      <x:c r="L2444" s="31" t="str">
        <x:v>D08, Markdown line 227; http://nas-1.tail55d152.ts.net:4100/static/NORDIC_MEDTECH_COMPETITIVE_LANDSCAPE_AND_PEER_DOSSIER.html</x:v>
      </x:c>
    </x:row>
    <x:row r="2445" ht="42" customHeight="1">
      <x:c r="A2445" s="5" t="str">
        <x:v>D08</x:v>
      </x:c>
      <x:c r="B2445" s="5" t="str">
        <x:v>D08-T02</x:v>
      </x:c>
      <x:c r="C2445" s="5" t="str">
        <x:v>8.2 Diagnostic Disconfirmation Matrix</x:v>
      </x:c>
      <x:c r="D2445" s="5" t="n">
        <x:v>227</x:v>
      </x:c>
      <x:c r="E2445" s="5" t="n">
        <x:v>5</x:v>
      </x:c>
      <x:c r="F2445" s="5" t="str">
        <x:v>$H_3$ (Global Commoditization)</x:v>
      </x:c>
      <x:c r="G2445" s="5" t="n">
        <x:v>1</x:v>
      </x:c>
      <x:c r="H2445" s="5" t="n">
        <x:v>1</x:v>
      </x:c>
      <x:c r="I2445" s="5" t="str">
        <x:v>N (Neutral)</x:v>
      </x:c>
      <x:c r="J2445" s="5" t="str">
        <x:v>SOURCE QUOTE; unvalidated / superseded assessments</x:v>
      </x:c>
      <x:c r="L2445" s="31" t="str">
        <x:v>D08, Markdown line 227; http://nas-1.tail55d152.ts.net:4100/static/NORDIC_MEDTECH_COMPETITIVE_LANDSCAPE_AND_PEER_DOSSIER.html</x:v>
      </x:c>
    </x:row>
    <x:row r="2446" ht="42" customHeight="1">
      <x:c r="A2446" s="5" t="str">
        <x:v>D08</x:v>
      </x:c>
      <x:c r="B2446" s="5" t="str">
        <x:v>D08-T02</x:v>
      </x:c>
      <x:c r="C2446" s="5" t="str">
        <x:v>8.2 Diagnostic Disconfirmation Matrix</x:v>
      </x:c>
      <x:c r="D2446" s="5" t="n">
        <x:v>228</x:v>
      </x:c>
      <x:c r="E2446" s="5" t="n">
        <x:v>1</x:v>
      </x:c>
      <x:c r="F2446" s="5" t="str">
        <x:v>Diagnostic Indicator</x:v>
      </x:c>
      <x:c r="G2446" s="5" t="n">
        <x:v>1</x:v>
      </x:c>
      <x:c r="H2446" s="5" t="n">
        <x:v>1</x:v>
      </x:c>
      <x:c r="I2446" s="5" t="str">
        <x:v>$D_3$: Senior Software Competency Gap</x:v>
      </x:c>
      <x:c r="J2446" s="5" t="str">
        <x:v>SOURCE QUOTE; unvalidated / superseded assessments</x:v>
      </x:c>
      <x:c r="L2446" s="31" t="str">
        <x:v>D08, Markdown line 228; http://nas-1.tail55d152.ts.net:4100/static/NORDIC_MEDTECH_COMPETITIVE_LANDSCAPE_AND_PEER_DOSSIER.html</x:v>
      </x:c>
    </x:row>
    <x:row r="2447" ht="42" customHeight="1">
      <x:c r="A2447" s="5" t="str">
        <x:v>D08</x:v>
      </x:c>
      <x:c r="B2447" s="5" t="str">
        <x:v>D08-T02</x:v>
      </x:c>
      <x:c r="C2447" s="5" t="str">
        <x:v>8.2 Diagnostic Disconfirmation Matrix</x:v>
      </x:c>
      <x:c r="D2447" s="5" t="n">
        <x:v>228</x:v>
      </x:c>
      <x:c r="E2447" s="5" t="n">
        <x:v>2</x:v>
      </x:c>
      <x:c r="F2447" s="5" t="str">
        <x:v>Diagnostic Weight</x:v>
      </x:c>
      <x:c r="G2447" s="5" t="n">
        <x:v>1</x:v>
      </x:c>
      <x:c r="H2447" s="5" t="n">
        <x:v>1</x:v>
      </x:c>
      <x:c r="I2447" s="5" t="str">
        <x:v>High</x:v>
      </x:c>
      <x:c r="J2447" s="5" t="str">
        <x:v>SOURCE QUOTE; unvalidated / superseded assessments</x:v>
      </x:c>
      <x:c r="L2447" s="31" t="str">
        <x:v>D08, Markdown line 228; http://nas-1.tail55d152.ts.net:4100/static/NORDIC_MEDTECH_COMPETITIVE_LANDSCAPE_AND_PEER_DOSSIER.html</x:v>
      </x:c>
    </x:row>
    <x:row r="2448" ht="42" customHeight="1">
      <x:c r="A2448" s="5" t="str">
        <x:v>D08</x:v>
      </x:c>
      <x:c r="B2448" s="5" t="str">
        <x:v>D08-T02</x:v>
      </x:c>
      <x:c r="C2448" s="5" t="str">
        <x:v>8.2 Diagnostic Disconfirmation Matrix</x:v>
      </x:c>
      <x:c r="D2448" s="5" t="n">
        <x:v>228</x:v>
      </x:c>
      <x:c r="E2448" s="5" t="n">
        <x:v>3</x:v>
      </x:c>
      <x:c r="F2448" s="5" t="str">
        <x:v>$H_1$ (Incumbent Adaptation)</x:v>
      </x:c>
      <x:c r="G2448" s="5" t="n">
        <x:v>1</x:v>
      </x:c>
      <x:c r="H2448" s="5" t="n">
        <x:v>1</x:v>
      </x:c>
      <x:c r="I2448" s="5" t="str">
        <x:v>I (Inconsistent)</x:v>
      </x:c>
      <x:c r="J2448" s="5" t="str">
        <x:v>SOURCE QUOTE; unvalidated / superseded assessments</x:v>
      </x:c>
      <x:c r="L2448" s="31" t="str">
        <x:v>D08, Markdown line 228; http://nas-1.tail55d152.ts.net:4100/static/NORDIC_MEDTECH_COMPETITIVE_LANDSCAPE_AND_PEER_DOSSIER.html</x:v>
      </x:c>
    </x:row>
    <x:row r="2449" ht="42" customHeight="1">
      <x:c r="A2449" s="5" t="str">
        <x:v>D08</x:v>
      </x:c>
      <x:c r="B2449" s="5" t="str">
        <x:v>D08-T02</x:v>
      </x:c>
      <x:c r="C2449" s="5" t="str">
        <x:v>8.2 Diagnostic Disconfirmation Matrix</x:v>
      </x:c>
      <x:c r="D2449" s="5" t="n">
        <x:v>228</x:v>
      </x:c>
      <x:c r="E2449" s="5" t="n">
        <x:v>4</x:v>
      </x:c>
      <x:c r="F2449" s="5" t="str">
        <x:v>$H_2$ (Structural Inertia)</x:v>
      </x:c>
      <x:c r="G2449" s="5" t="n">
        <x:v>1</x:v>
      </x:c>
      <x:c r="H2449" s="5" t="n">
        <x:v>1</x:v>
      </x:c>
      <x:c r="I2449" s="5" t="str">
        <x:v>C (Consistent)</x:v>
      </x:c>
      <x:c r="J2449" s="5" t="str">
        <x:v>SOURCE QUOTE; unvalidated / superseded assessments</x:v>
      </x:c>
      <x:c r="L2449" s="31" t="str">
        <x:v>D08, Markdown line 228; http://nas-1.tail55d152.ts.net:4100/static/NORDIC_MEDTECH_COMPETITIVE_LANDSCAPE_AND_PEER_DOSSIER.html</x:v>
      </x:c>
    </x:row>
    <x:row r="2450" ht="42" customHeight="1">
      <x:c r="A2450" s="5" t="str">
        <x:v>D08</x:v>
      </x:c>
      <x:c r="B2450" s="5" t="str">
        <x:v>D08-T02</x:v>
      </x:c>
      <x:c r="C2450" s="5" t="str">
        <x:v>8.2 Diagnostic Disconfirmation Matrix</x:v>
      </x:c>
      <x:c r="D2450" s="5" t="n">
        <x:v>228</x:v>
      </x:c>
      <x:c r="E2450" s="5" t="n">
        <x:v>5</x:v>
      </x:c>
      <x:c r="F2450" s="5" t="str">
        <x:v>$H_3$ (Global Commoditization)</x:v>
      </x:c>
      <x:c r="G2450" s="5" t="n">
        <x:v>1</x:v>
      </x:c>
      <x:c r="H2450" s="5" t="n">
        <x:v>1</x:v>
      </x:c>
      <x:c r="I2450" s="5" t="str">
        <x:v>I (Inconsistent)</x:v>
      </x:c>
      <x:c r="J2450" s="5" t="str">
        <x:v>SOURCE QUOTE; unvalidated / superseded assessments</x:v>
      </x:c>
      <x:c r="L2450" s="31" t="str">
        <x:v>D08, Markdown line 228; http://nas-1.tail55d152.ts.net:4100/static/NORDIC_MEDTECH_COMPETITIVE_LANDSCAPE_AND_PEER_DOSSIER.html</x:v>
      </x:c>
    </x:row>
    <x:row r="2451" ht="42" customHeight="1">
      <x:c r="A2451" s="5" t="str">
        <x:v>D08</x:v>
      </x:c>
      <x:c r="B2451" s="5" t="str">
        <x:v>D08-T02</x:v>
      </x:c>
      <x:c r="C2451" s="5" t="str">
        <x:v>8.2 Diagnostic Disconfirmation Matrix</x:v>
      </x:c>
      <x:c r="D2451" s="5" t="n">
        <x:v>229</x:v>
      </x:c>
      <x:c r="E2451" s="5" t="n">
        <x:v>1</x:v>
      </x:c>
      <x:c r="F2451" s="5" t="str">
        <x:v>Diagnostic Indicator</x:v>
      </x:c>
      <x:c r="G2451" s="5" t="n">
        <x:v>1</x:v>
      </x:c>
      <x:c r="H2451" s="5" t="n">
        <x:v>1</x:v>
      </x:c>
      <x:c r="I2451" s="5" t="str">
        <x:v>$D_4$: Off-MSA Emergency Procurement</x:v>
      </x:c>
      <x:c r="J2451" s="5" t="str">
        <x:v>SOURCE QUOTE; unvalidated / superseded assessments</x:v>
      </x:c>
      <x:c r="L2451" s="31" t="str">
        <x:v>D08, Markdown line 229; http://nas-1.tail55d152.ts.net:4100/static/NORDIC_MEDTECH_COMPETITIVE_LANDSCAPE_AND_PEER_DOSSIER.html</x:v>
      </x:c>
    </x:row>
    <x:row r="2452" ht="42" customHeight="1">
      <x:c r="A2452" s="5" t="str">
        <x:v>D08</x:v>
      </x:c>
      <x:c r="B2452" s="5" t="str">
        <x:v>D08-T02</x:v>
      </x:c>
      <x:c r="C2452" s="5" t="str">
        <x:v>8.2 Diagnostic Disconfirmation Matrix</x:v>
      </x:c>
      <x:c r="D2452" s="5" t="n">
        <x:v>229</x:v>
      </x:c>
      <x:c r="E2452" s="5" t="n">
        <x:v>2</x:v>
      </x:c>
      <x:c r="F2452" s="5" t="str">
        <x:v>Diagnostic Weight</x:v>
      </x:c>
      <x:c r="G2452" s="5" t="n">
        <x:v>1</x:v>
      </x:c>
      <x:c r="H2452" s="5" t="n">
        <x:v>1</x:v>
      </x:c>
      <x:c r="I2452" s="5" t="str">
        <x:v>Medium</x:v>
      </x:c>
      <x:c r="J2452" s="5" t="str">
        <x:v>SOURCE QUOTE; unvalidated / superseded assessments</x:v>
      </x:c>
      <x:c r="L2452" s="31" t="str">
        <x:v>D08, Markdown line 229; http://nas-1.tail55d152.ts.net:4100/static/NORDIC_MEDTECH_COMPETITIVE_LANDSCAPE_AND_PEER_DOSSIER.html</x:v>
      </x:c>
    </x:row>
    <x:row r="2453" ht="42" customHeight="1">
      <x:c r="A2453" s="5" t="str">
        <x:v>D08</x:v>
      </x:c>
      <x:c r="B2453" s="5" t="str">
        <x:v>D08-T02</x:v>
      </x:c>
      <x:c r="C2453" s="5" t="str">
        <x:v>8.2 Diagnostic Disconfirmation Matrix</x:v>
      </x:c>
      <x:c r="D2453" s="5" t="n">
        <x:v>229</x:v>
      </x:c>
      <x:c r="E2453" s="5" t="n">
        <x:v>3</x:v>
      </x:c>
      <x:c r="F2453" s="5" t="str">
        <x:v>$H_1$ (Incumbent Adaptation)</x:v>
      </x:c>
      <x:c r="G2453" s="5" t="n">
        <x:v>1</x:v>
      </x:c>
      <x:c r="H2453" s="5" t="n">
        <x:v>1</x:v>
      </x:c>
      <x:c r="I2453" s="5" t="str">
        <x:v>I (Inconsistent)</x:v>
      </x:c>
      <x:c r="J2453" s="5" t="str">
        <x:v>SOURCE QUOTE; unvalidated / superseded assessments</x:v>
      </x:c>
      <x:c r="L2453" s="31" t="str">
        <x:v>D08, Markdown line 229; http://nas-1.tail55d152.ts.net:4100/static/NORDIC_MEDTECH_COMPETITIVE_LANDSCAPE_AND_PEER_DOSSIER.html</x:v>
      </x:c>
    </x:row>
    <x:row r="2454" ht="42" customHeight="1">
      <x:c r="A2454" s="5" t="str">
        <x:v>D08</x:v>
      </x:c>
      <x:c r="B2454" s="5" t="str">
        <x:v>D08-T02</x:v>
      </x:c>
      <x:c r="C2454" s="5" t="str">
        <x:v>8.2 Diagnostic Disconfirmation Matrix</x:v>
      </x:c>
      <x:c r="D2454" s="5" t="n">
        <x:v>229</x:v>
      </x:c>
      <x:c r="E2454" s="5" t="n">
        <x:v>4</x:v>
      </x:c>
      <x:c r="F2454" s="5" t="str">
        <x:v>$H_2$ (Structural Inertia)</x:v>
      </x:c>
      <x:c r="G2454" s="5" t="n">
        <x:v>1</x:v>
      </x:c>
      <x:c r="H2454" s="5" t="n">
        <x:v>1</x:v>
      </x:c>
      <x:c r="I2454" s="5" t="str">
        <x:v>C (Consistent)</x:v>
      </x:c>
      <x:c r="J2454" s="5" t="str">
        <x:v>SOURCE QUOTE; unvalidated / superseded assessments</x:v>
      </x:c>
      <x:c r="L2454" s="31" t="str">
        <x:v>D08, Markdown line 229; http://nas-1.tail55d152.ts.net:4100/static/NORDIC_MEDTECH_COMPETITIVE_LANDSCAPE_AND_PEER_DOSSIER.html</x:v>
      </x:c>
    </x:row>
    <x:row r="2455" ht="42" customHeight="1">
      <x:c r="A2455" s="5" t="str">
        <x:v>D08</x:v>
      </x:c>
      <x:c r="B2455" s="5" t="str">
        <x:v>D08-T02</x:v>
      </x:c>
      <x:c r="C2455" s="5" t="str">
        <x:v>8.2 Diagnostic Disconfirmation Matrix</x:v>
      </x:c>
      <x:c r="D2455" s="5" t="n">
        <x:v>229</x:v>
      </x:c>
      <x:c r="E2455" s="5" t="n">
        <x:v>5</x:v>
      </x:c>
      <x:c r="F2455" s="5" t="str">
        <x:v>$H_3$ (Global Commoditization)</x:v>
      </x:c>
      <x:c r="G2455" s="5" t="n">
        <x:v>1</x:v>
      </x:c>
      <x:c r="H2455" s="5" t="n">
        <x:v>1</x:v>
      </x:c>
      <x:c r="I2455" s="5" t="str">
        <x:v>N (Neutral)</x:v>
      </x:c>
      <x:c r="J2455" s="5" t="str">
        <x:v>SOURCE QUOTE; unvalidated / superseded assessments</x:v>
      </x:c>
      <x:c r="L2455" s="31" t="str">
        <x:v>D08, Markdown line 229; http://nas-1.tail55d152.ts.net:4100/static/NORDIC_MEDTECH_COMPETITIVE_LANDSCAPE_AND_PEER_DOSSIER.html</x:v>
      </x:c>
    </x:row>
    <x:row r="2456" ht="42" customHeight="1">
      <x:c r="A2456" s="5" t="str">
        <x:v>D08</x:v>
      </x:c>
      <x:c r="B2456" s="5" t="str">
        <x:v>D08-T02</x:v>
      </x:c>
      <x:c r="C2456" s="5" t="str">
        <x:v>8.2 Diagnostic Disconfirmation Matrix</x:v>
      </x:c>
      <x:c r="D2456" s="5" t="n">
        <x:v>230</x:v>
      </x:c>
      <x:c r="E2456" s="5" t="n">
        <x:v>1</x:v>
      </x:c>
      <x:c r="F2456" s="5" t="str">
        <x:v>Diagnostic Indicator</x:v>
      </x:c>
      <x:c r="G2456" s="5" t="n">
        <x:v>1</x:v>
      </x:c>
      <x:c r="H2456" s="5" t="n">
        <x:v>1</x:v>
      </x:c>
      <x:c r="I2456" s="5" t="str">
        <x:v>$D_5$: Total Cost of Care Demand</x:v>
      </x:c>
      <x:c r="J2456" s="5" t="str">
        <x:v>SOURCE QUOTE; unvalidated / superseded assessments</x:v>
      </x:c>
      <x:c r="L2456" s="31" t="str">
        <x:v>D08, Markdown line 230; http://nas-1.tail55d152.ts.net:4100/static/NORDIC_MEDTECH_COMPETITIVE_LANDSCAPE_AND_PEER_DOSSIER.html</x:v>
      </x:c>
    </x:row>
    <x:row r="2457" ht="42" customHeight="1">
      <x:c r="A2457" s="5" t="str">
        <x:v>D08</x:v>
      </x:c>
      <x:c r="B2457" s="5" t="str">
        <x:v>D08-T02</x:v>
      </x:c>
      <x:c r="C2457" s="5" t="str">
        <x:v>8.2 Diagnostic Disconfirmation Matrix</x:v>
      </x:c>
      <x:c r="D2457" s="5" t="n">
        <x:v>230</x:v>
      </x:c>
      <x:c r="E2457" s="5" t="n">
        <x:v>2</x:v>
      </x:c>
      <x:c r="F2457" s="5" t="str">
        <x:v>Diagnostic Weight</x:v>
      </x:c>
      <x:c r="G2457" s="5" t="n">
        <x:v>1</x:v>
      </x:c>
      <x:c r="H2457" s="5" t="n">
        <x:v>1</x:v>
      </x:c>
      <x:c r="I2457" s="5" t="str">
        <x:v>Medium</x:v>
      </x:c>
      <x:c r="J2457" s="5" t="str">
        <x:v>SOURCE QUOTE; unvalidated / superseded assessments</x:v>
      </x:c>
      <x:c r="L2457" s="31" t="str">
        <x:v>D08, Markdown line 230; http://nas-1.tail55d152.ts.net:4100/static/NORDIC_MEDTECH_COMPETITIVE_LANDSCAPE_AND_PEER_DOSSIER.html</x:v>
      </x:c>
    </x:row>
    <x:row r="2458" ht="42" customHeight="1">
      <x:c r="A2458" s="5" t="str">
        <x:v>D08</x:v>
      </x:c>
      <x:c r="B2458" s="5" t="str">
        <x:v>D08-T02</x:v>
      </x:c>
      <x:c r="C2458" s="5" t="str">
        <x:v>8.2 Diagnostic Disconfirmation Matrix</x:v>
      </x:c>
      <x:c r="D2458" s="5" t="n">
        <x:v>230</x:v>
      </x:c>
      <x:c r="E2458" s="5" t="n">
        <x:v>3</x:v>
      </x:c>
      <x:c r="F2458" s="5" t="str">
        <x:v>$H_1$ (Incumbent Adaptation)</x:v>
      </x:c>
      <x:c r="G2458" s="5" t="n">
        <x:v>1</x:v>
      </x:c>
      <x:c r="H2458" s="5" t="n">
        <x:v>1</x:v>
      </x:c>
      <x:c r="I2458" s="5" t="str">
        <x:v>I (Inconsistent)</x:v>
      </x:c>
      <x:c r="J2458" s="5" t="str">
        <x:v>SOURCE QUOTE; unvalidated / superseded assessments</x:v>
      </x:c>
      <x:c r="L2458" s="31" t="str">
        <x:v>D08, Markdown line 230; http://nas-1.tail55d152.ts.net:4100/static/NORDIC_MEDTECH_COMPETITIVE_LANDSCAPE_AND_PEER_DOSSIER.html</x:v>
      </x:c>
    </x:row>
    <x:row r="2459" ht="42" customHeight="1">
      <x:c r="A2459" s="5" t="str">
        <x:v>D08</x:v>
      </x:c>
      <x:c r="B2459" s="5" t="str">
        <x:v>D08-T02</x:v>
      </x:c>
      <x:c r="C2459" s="5" t="str">
        <x:v>8.2 Diagnostic Disconfirmation Matrix</x:v>
      </x:c>
      <x:c r="D2459" s="5" t="n">
        <x:v>230</x:v>
      </x:c>
      <x:c r="E2459" s="5" t="n">
        <x:v>4</x:v>
      </x:c>
      <x:c r="F2459" s="5" t="str">
        <x:v>$H_2$ (Structural Inertia)</x:v>
      </x:c>
      <x:c r="G2459" s="5" t="n">
        <x:v>1</x:v>
      </x:c>
      <x:c r="H2459" s="5" t="n">
        <x:v>1</x:v>
      </x:c>
      <x:c r="I2459" s="5" t="str">
        <x:v>C (Consistent)</x:v>
      </x:c>
      <x:c r="J2459" s="5" t="str">
        <x:v>SOURCE QUOTE; unvalidated / superseded assessments</x:v>
      </x:c>
      <x:c r="L2459" s="31" t="str">
        <x:v>D08, Markdown line 230; http://nas-1.tail55d152.ts.net:4100/static/NORDIC_MEDTECH_COMPETITIVE_LANDSCAPE_AND_PEER_DOSSIER.html</x:v>
      </x:c>
    </x:row>
    <x:row r="2460" ht="42" customHeight="1">
      <x:c r="A2460" s="5" t="str">
        <x:v>D08</x:v>
      </x:c>
      <x:c r="B2460" s="5" t="str">
        <x:v>D08-T02</x:v>
      </x:c>
      <x:c r="C2460" s="5" t="str">
        <x:v>8.2 Diagnostic Disconfirmation Matrix</x:v>
      </x:c>
      <x:c r="D2460" s="5" t="n">
        <x:v>230</x:v>
      </x:c>
      <x:c r="E2460" s="5" t="n">
        <x:v>5</x:v>
      </x:c>
      <x:c r="F2460" s="5" t="str">
        <x:v>$H_3$ (Global Commoditization)</x:v>
      </x:c>
      <x:c r="G2460" s="5" t="n">
        <x:v>1</x:v>
      </x:c>
      <x:c r="H2460" s="5" t="n">
        <x:v>1</x:v>
      </x:c>
      <x:c r="I2460" s="5" t="str">
        <x:v>I (Inconsistent)</x:v>
      </x:c>
      <x:c r="J2460" s="5" t="str">
        <x:v>SOURCE QUOTE; unvalidated / superseded assessments</x:v>
      </x:c>
      <x:c r="L2460" s="31" t="str">
        <x:v>D08, Markdown line 230; http://nas-1.tail55d152.ts.net:4100/static/NORDIC_MEDTECH_COMPETITIVE_LANDSCAPE_AND_PEER_DOSSIER.html</x:v>
      </x:c>
    </x:row>
    <x:row r="2461" ht="42" customHeight="1">
      <x:c r="A2461" s="5" t="str">
        <x:v>D08</x:v>
      </x:c>
      <x:c r="B2461" s="5" t="str">
        <x:v>D08-T02</x:v>
      </x:c>
      <x:c r="C2461" s="5" t="str">
        <x:v>8.2 Diagnostic Disconfirmation Matrix</x:v>
      </x:c>
      <x:c r="D2461" s="5" t="n">
        <x:v>231</x:v>
      </x:c>
      <x:c r="E2461" s="5" t="n">
        <x:v>1</x:v>
      </x:c>
      <x:c r="F2461" s="5" t="str">
        <x:v>Diagnostic Indicator</x:v>
      </x:c>
      <x:c r="G2461" s="5" t="n">
        <x:v>1</x:v>
      </x:c>
      <x:c r="H2461" s="5" t="n">
        <x:v>1</x:v>
      </x:c>
      <x:c r="I2461" s="5" t="str">
        <x:v>Total Inconsistencies (Disconfirmation Score)</x:v>
      </x:c>
      <x:c r="J2461" s="5" t="str">
        <x:v>SOURCE QUOTE; unvalidated / superseded assessments</x:v>
      </x:c>
      <x:c r="L2461" s="31" t="str">
        <x:v>D08, Markdown line 231; http://nas-1.tail55d152.ts.net:4100/static/NORDIC_MEDTECH_COMPETITIVE_LANDSCAPE_AND_PEER_DOSSIER.html</x:v>
      </x:c>
    </x:row>
    <x:row r="2462" ht="42" customHeight="1">
      <x:c r="A2462" s="5" t="str">
        <x:v>D08</x:v>
      </x:c>
      <x:c r="B2462" s="5" t="str">
        <x:v>D08-T02</x:v>
      </x:c>
      <x:c r="C2462" s="5" t="str">
        <x:v>8.2 Diagnostic Disconfirmation Matrix</x:v>
      </x:c>
      <x:c r="D2462" s="5" t="n">
        <x:v>231</x:v>
      </x:c>
      <x:c r="E2462" s="5" t="n">
        <x:v>2</x:v>
      </x:c>
      <x:c r="F2462" s="5" t="str">
        <x:v>Diagnostic Weight</x:v>
      </x:c>
      <x:c r="G2462" s="5" t="n">
        <x:v>1</x:v>
      </x:c>
      <x:c r="H2462" s="5" t="n">
        <x:v>1</x:v>
      </x:c>
      <x:c r="I2462" s="5" t="str">
        <x:v>—</x:v>
      </x:c>
      <x:c r="J2462" s="5" t="str">
        <x:v>SOURCE QUOTE; unvalidated / superseded assessments</x:v>
      </x:c>
      <x:c r="L2462" s="31" t="str">
        <x:v>D08, Markdown line 231; http://nas-1.tail55d152.ts.net:4100/static/NORDIC_MEDTECH_COMPETITIVE_LANDSCAPE_AND_PEER_DOSSIER.html</x:v>
      </x:c>
    </x:row>
    <x:row r="2463" ht="42" customHeight="1">
      <x:c r="A2463" s="5" t="str">
        <x:v>D08</x:v>
      </x:c>
      <x:c r="B2463" s="5" t="str">
        <x:v>D08-T02</x:v>
      </x:c>
      <x:c r="C2463" s="5" t="str">
        <x:v>8.2 Diagnostic Disconfirmation Matrix</x:v>
      </x:c>
      <x:c r="D2463" s="5" t="n">
        <x:v>231</x:v>
      </x:c>
      <x:c r="E2463" s="5" t="n">
        <x:v>3</x:v>
      </x:c>
      <x:c r="F2463" s="5" t="str">
        <x:v>$H_1$ (Incumbent Adaptation)</x:v>
      </x:c>
      <x:c r="G2463" s="5" t="n">
        <x:v>1</x:v>
      </x:c>
      <x:c r="H2463" s="5" t="n">
        <x:v>1</x:v>
      </x:c>
      <x:c r="I2463" s="5" t="str">
        <x:v>-5 (Strongly Refuted)</x:v>
      </x:c>
      <x:c r="J2463" s="5" t="str">
        <x:v>SOURCE QUOTE; unvalidated / superseded assessments</x:v>
      </x:c>
      <x:c r="L2463" s="31" t="str">
        <x:v>D08, Markdown line 231; http://nas-1.tail55d152.ts.net:4100/static/NORDIC_MEDTECH_COMPETITIVE_LANDSCAPE_AND_PEER_DOSSIER.html</x:v>
      </x:c>
    </x:row>
    <x:row r="2464" ht="42" customHeight="1">
      <x:c r="A2464" s="5" t="str">
        <x:v>D08</x:v>
      </x:c>
      <x:c r="B2464" s="5" t="str">
        <x:v>D08-T02</x:v>
      </x:c>
      <x:c r="C2464" s="5" t="str">
        <x:v>8.2 Diagnostic Disconfirmation Matrix</x:v>
      </x:c>
      <x:c r="D2464" s="5" t="n">
        <x:v>231</x:v>
      </x:c>
      <x:c r="E2464" s="5" t="n">
        <x:v>4</x:v>
      </x:c>
      <x:c r="F2464" s="5" t="str">
        <x:v>$H_2$ (Structural Inertia)</x:v>
      </x:c>
      <x:c r="G2464" s="5" t="n">
        <x:v>1</x:v>
      </x:c>
      <x:c r="H2464" s="5" t="n">
        <x:v>1</x:v>
      </x:c>
      <x:c r="I2464" s="5" t="str">
        <x:v>-0 (Supported)</x:v>
      </x:c>
      <x:c r="J2464" s="5" t="str">
        <x:v>SOURCE QUOTE; unvalidated / superseded assessments</x:v>
      </x:c>
      <x:c r="L2464" s="31" t="str">
        <x:v>D08, Markdown line 231; http://nas-1.tail55d152.ts.net:4100/static/NORDIC_MEDTECH_COMPETITIVE_LANDSCAPE_AND_PEER_DOSSIER.html</x:v>
      </x:c>
    </x:row>
    <x:row r="2465" ht="42" customHeight="1">
      <x:c r="A2465" s="5" t="str">
        <x:v>D08</x:v>
      </x:c>
      <x:c r="B2465" s="5" t="str">
        <x:v>D08-T02</x:v>
      </x:c>
      <x:c r="C2465" s="5" t="str">
        <x:v>8.2 Diagnostic Disconfirmation Matrix</x:v>
      </x:c>
      <x:c r="D2465" s="5" t="n">
        <x:v>231</x:v>
      </x:c>
      <x:c r="E2465" s="5" t="n">
        <x:v>5</x:v>
      </x:c>
      <x:c r="F2465" s="5" t="str">
        <x:v>$H_3$ (Global Commoditization)</x:v>
      </x:c>
      <x:c r="G2465" s="5" t="n">
        <x:v>1</x:v>
      </x:c>
      <x:c r="H2465" s="5" t="n">
        <x:v>1</x:v>
      </x:c>
      <x:c r="I2465" s="5" t="str">
        <x:v>-3 (Weakened)</x:v>
      </x:c>
      <x:c r="J2465" s="5" t="str">
        <x:v>SOURCE QUOTE; unvalidated / superseded assessments</x:v>
      </x:c>
      <x:c r="L2465" s="31" t="str">
        <x:v>D08, Markdown line 231; http://nas-1.tail55d152.ts.net:4100/static/NORDIC_MEDTECH_COMPETITIVE_LANDSCAPE_AND_PEER_DOSSIER.html</x:v>
      </x:c>
    </x:row>
    <x:row r="2466" ht="42" customHeight="1">
      <x:c r="A2466" s="5" t="str">
        <x:v>D08</x:v>
      </x:c>
      <x:c r="B2466" s="5" t="str">
        <x:v>D08-T03</x:v>
      </x:c>
      <x:c r="C2466" s="5" t="str">
        <x:v>9. NATO STANAG Admiralty Protocol Verification Matrix ($\ge$ B2)</x:v>
      </x:c>
      <x:c r="D2466" s="5" t="n">
        <x:v>243</x:v>
      </x:c>
      <x:c r="E2466" s="5" t="n">
        <x:v>1</x:v>
      </x:c>
      <x:c r="F2466" s="5" t="str">
        <x:v>Peer Consultancy</x:v>
      </x:c>
      <x:c r="G2466" s="5" t="n">
        <x:v>1</x:v>
      </x:c>
      <x:c r="H2466" s="5" t="n">
        <x:v>1</x:v>
      </x:c>
      <x:c r="I2466" s="5" t="str">
        <x:v>Plantvision AB</x:v>
      </x:c>
      <x:c r="J2466" s="5" t="str">
        <x:v>SOURCE QUOTE; unvalidated / superseded assessments</x:v>
      </x:c>
      <x:c r="L2466" s="31" t="str">
        <x:v>D08, Markdown line 243; http://nas-1.tail55d152.ts.net:4100/static/NORDIC_MEDTECH_COMPETITIVE_LANDSCAPE_AND_PEER_DOSSIER.html</x:v>
      </x:c>
    </x:row>
    <x:row r="2467" ht="42" customHeight="1">
      <x:c r="A2467" s="5" t="str">
        <x:v>D08</x:v>
      </x:c>
      <x:c r="B2467" s="5" t="str">
        <x:v>D08-T03</x:v>
      </x:c>
      <x:c r="C2467" s="5" t="str">
        <x:v>9. NATO STANAG Admiralty Protocol Verification Matrix ($\ge$ B2)</x:v>
      </x:c>
      <x:c r="D2467" s="5" t="n">
        <x:v>243</x:v>
      </x:c>
      <x:c r="E2467" s="5" t="n">
        <x:v>2</x:v>
      </x:c>
      <x:c r="F2467" s="5" t="str">
        <x:v>Jurisdiction / Hub</x:v>
      </x:c>
      <x:c r="G2467" s="5" t="n">
        <x:v>1</x:v>
      </x:c>
      <x:c r="H2467" s="5" t="n">
        <x:v>1</x:v>
      </x:c>
      <x:c r="I2467" s="5" t="str">
        <x:v>Kista / Södertälje, SE</x:v>
      </x:c>
      <x:c r="J2467" s="5" t="str">
        <x:v>SOURCE QUOTE; unvalidated / superseded assessments</x:v>
      </x:c>
      <x:c r="L2467" s="31" t="str">
        <x:v>D08, Markdown line 243; http://nas-1.tail55d152.ts.net:4100/static/NORDIC_MEDTECH_COMPETITIVE_LANDSCAPE_AND_PEER_DOSSIER.html</x:v>
      </x:c>
    </x:row>
    <x:row r="2468" ht="42" customHeight="1">
      <x:c r="A2468" s="5" t="str">
        <x:v>D08</x:v>
      </x:c>
      <x:c r="B2468" s="5" t="str">
        <x:v>D08-T03</x:v>
      </x:c>
      <x:c r="C2468" s="5" t="str">
        <x:v>9. NATO STANAG Admiralty Protocol Verification Matrix ($\ge$ B2)</x:v>
      </x:c>
      <x:c r="D2468" s="5" t="n">
        <x:v>243</x:v>
      </x:c>
      <x:c r="E2468" s="5" t="n">
        <x:v>3</x:v>
      </x:c>
      <x:c r="F2468" s="5" t="str">
        <x:v>Evaluated Headcount &amp; Reach</x:v>
      </x:c>
      <x:c r="G2468" s="5" t="n">
        <x:v>1</x:v>
      </x:c>
      <x:c r="H2468" s="5" t="n">
        <x:v>1</x:v>
      </x:c>
      <x:c r="I2468" s="5" t="str">
        <x:v>~200 consultants</x:v>
      </x:c>
      <x:c r="J2468" s="5" t="str">
        <x:v>SOURCE QUOTE; unvalidated / superseded assessments</x:v>
      </x:c>
      <x:c r="L2468" s="31" t="str">
        <x:v>D08, Markdown line 243; http://nas-1.tail55d152.ts.net:4100/static/NORDIC_MEDTECH_COMPETITIVE_LANDSCAPE_AND_PEER_DOSSIER.html</x:v>
      </x:c>
    </x:row>
    <x:row r="2469" ht="42" customHeight="1">
      <x:c r="A2469" s="5" t="str">
        <x:v>D08</x:v>
      </x:c>
      <x:c r="B2469" s="5" t="str">
        <x:v>D08-T03</x:v>
      </x:c>
      <x:c r="C2469" s="5" t="str">
        <x:v>9. NATO STANAG Admiralty Protocol Verification Matrix ($\ge$ B2)</x:v>
      </x:c>
      <x:c r="D2469" s="5" t="n">
        <x:v>243</x:v>
      </x:c>
      <x:c r="E2469" s="5" t="n">
        <x:v>4</x:v>
      </x:c>
      <x:c r="F2469" s="5" t="str">
        <x:v>Primary Intelligence Source</x:v>
      </x:c>
      <x:c r="G2469" s="5" t="n">
        <x:v>1</x:v>
      </x:c>
      <x:c r="H2469" s="5" t="n">
        <x:v>1</x:v>
      </x:c>
      <x:c r="I2469" s="5" t="str">
        <x:v>Bolagsverket annual filings &amp; Proff.se</x:v>
      </x:c>
      <x:c r="J2469" s="5" t="str">
        <x:v>SOURCE QUOTE; unvalidated / superseded assessments</x:v>
      </x:c>
      <x:c r="L2469" s="31" t="str">
        <x:v>D08, Markdown line 243; http://nas-1.tail55d152.ts.net:4100/static/NORDIC_MEDTECH_COMPETITIVE_LANDSCAPE_AND_PEER_DOSSIER.html</x:v>
      </x:c>
    </x:row>
    <x:row r="2470" ht="42" customHeight="1">
      <x:c r="A2470" s="5" t="str">
        <x:v>D08</x:v>
      </x:c>
      <x:c r="B2470" s="5" t="str">
        <x:v>D08-T03</x:v>
      </x:c>
      <x:c r="C2470" s="5" t="str">
        <x:v>9. NATO STANAG Admiralty Protocol Verification Matrix ($\ge$ B2)</x:v>
      </x:c>
      <x:c r="D2470" s="5" t="n">
        <x:v>243</x:v>
      </x:c>
      <x:c r="E2470" s="5" t="n">
        <x:v>5</x:v>
      </x:c>
      <x:c r="F2470" s="5" t="str">
        <x:v>Source Reliability</x:v>
      </x:c>
      <x:c r="G2470" s="5" t="n">
        <x:v>1</x:v>
      </x:c>
      <x:c r="H2470" s="5" t="n">
        <x:v>1</x:v>
      </x:c>
      <x:c r="I2470" s="5" t="str">
        <x:v>A</x:v>
      </x:c>
      <x:c r="J2470" s="5" t="str">
        <x:v>SOURCE QUOTE; unvalidated / superseded assessments</x:v>
      </x:c>
      <x:c r="L2470" s="31" t="str">
        <x:v>D08, Markdown line 243; http://nas-1.tail55d152.ts.net:4100/static/NORDIC_MEDTECH_COMPETITIVE_LANDSCAPE_AND_PEER_DOSSIER.html</x:v>
      </x:c>
    </x:row>
    <x:row r="2471" ht="42" customHeight="1">
      <x:c r="A2471" s="5" t="str">
        <x:v>D08</x:v>
      </x:c>
      <x:c r="B2471" s="5" t="str">
        <x:v>D08-T03</x:v>
      </x:c>
      <x:c r="C2471" s="5" t="str">
        <x:v>9. NATO STANAG Admiralty Protocol Verification Matrix ($\ge$ B2)</x:v>
      </x:c>
      <x:c r="D2471" s="5" t="n">
        <x:v>243</x:v>
      </x:c>
      <x:c r="E2471" s="5" t="n">
        <x:v>6</x:v>
      </x:c>
      <x:c r="F2471" s="5" t="str">
        <x:v>Info Credibility</x:v>
      </x:c>
      <x:c r="G2471" s="5" t="n">
        <x:v>1</x:v>
      </x:c>
      <x:c r="H2471" s="5" t="n">
        <x:v>1</x:v>
      </x:c>
      <x:c r="I2471" s="5" t="str">
        <x:v>1</x:v>
      </x:c>
      <x:c r="J2471" s="5" t="str">
        <x:v>SOURCE QUOTE; unvalidated / superseded assessments</x:v>
      </x:c>
      <x:c r="L2471" s="31" t="str">
        <x:v>D08, Markdown line 243; http://nas-1.tail55d152.ts.net:4100/static/NORDIC_MEDTECH_COMPETITIVE_LANDSCAPE_AND_PEER_DOSSIER.html</x:v>
      </x:c>
    </x:row>
    <x:row r="2472" ht="42" customHeight="1">
      <x:c r="A2472" s="5" t="str">
        <x:v>D08</x:v>
      </x:c>
      <x:c r="B2472" s="5" t="str">
        <x:v>D08-T03</x:v>
      </x:c>
      <x:c r="C2472" s="5" t="str">
        <x:v>9. NATO STANAG Admiralty Protocol Verification Matrix ($\ge$ B2)</x:v>
      </x:c>
      <x:c r="D2472" s="5" t="n">
        <x:v>243</x:v>
      </x:c>
      <x:c r="E2472" s="5" t="n">
        <x:v>7</x:v>
      </x:c>
      <x:c r="F2472" s="5" t="str">
        <x:v>Admiralty Rating</x:v>
      </x:c>
      <x:c r="G2472" s="5" t="n">
        <x:v>1</x:v>
      </x:c>
      <x:c r="H2472" s="5" t="n">
        <x:v>1</x:v>
      </x:c>
      <x:c r="I2472" s="5" t="str">
        <x:v>A1</x:v>
      </x:c>
      <x:c r="J2472" s="5" t="str">
        <x:v>SOURCE QUOTE; unvalidated / superseded assessments</x:v>
      </x:c>
      <x:c r="L2472" s="31" t="str">
        <x:v>D08, Markdown line 243; http://nas-1.tail55d152.ts.net:4100/static/NORDIC_MEDTECH_COMPETITIVE_LANDSCAPE_AND_PEER_DOSSIER.html</x:v>
      </x:c>
    </x:row>
    <x:row r="2473" ht="42" customHeight="1">
      <x:c r="A2473" s="5" t="str">
        <x:v>D08</x:v>
      </x:c>
      <x:c r="B2473" s="5" t="str">
        <x:v>D08-T03</x:v>
      </x:c>
      <x:c r="C2473" s="5" t="str">
        <x:v>9. NATO STANAG Admiralty Protocol Verification Matrix ($\ge$ B2)</x:v>
      </x:c>
      <x:c r="D2473" s="5" t="n">
        <x:v>243</x:v>
      </x:c>
      <x:c r="E2473" s="5" t="n">
        <x:v>8</x:v>
      </x:c>
      <x:c r="F2473" s="5" t="str">
        <x:v>Actionable Strategic Insight</x:v>
      </x:c>
      <x:c r="G2473" s="5" t="n">
        <x:v>1</x:v>
      </x:c>
      <x:c r="H2473" s="5" t="n">
        <x:v>1</x:v>
      </x:c>
      <x:c r="I2473" s="5" t="str">
        <x:v>Strong GxP CSV footprint; lacks AI Act algorithmic testing capabilities. Prime co-opetition partner.</x:v>
      </x:c>
      <x:c r="J2473" s="5" t="str">
        <x:v>SOURCE QUOTE; unvalidated / superseded assessments</x:v>
      </x:c>
      <x:c r="L2473" s="31" t="str">
        <x:v>D08, Markdown line 243; http://nas-1.tail55d152.ts.net:4100/static/NORDIC_MEDTECH_COMPETITIVE_LANDSCAPE_AND_PEER_DOSSIER.html</x:v>
      </x:c>
    </x:row>
    <x:row r="2474" ht="42" customHeight="1">
      <x:c r="A2474" s="5" t="str">
        <x:v>D08</x:v>
      </x:c>
      <x:c r="B2474" s="5" t="str">
        <x:v>D08-T03</x:v>
      </x:c>
      <x:c r="C2474" s="5" t="str">
        <x:v>9. NATO STANAG Admiralty Protocol Verification Matrix ($\ge$ B2)</x:v>
      </x:c>
      <x:c r="D2474" s="5" t="n">
        <x:v>244</x:v>
      </x:c>
      <x:c r="E2474" s="5" t="n">
        <x:v>1</x:v>
      </x:c>
      <x:c r="F2474" s="5" t="str">
        <x:v>Peer Consultancy</x:v>
      </x:c>
      <x:c r="G2474" s="5" t="n">
        <x:v>1</x:v>
      </x:c>
      <x:c r="H2474" s="5" t="n">
        <x:v>1</x:v>
      </x:c>
      <x:c r="I2474" s="5" t="str">
        <x:v>Knightec Group</x:v>
      </x:c>
      <x:c r="J2474" s="5" t="str">
        <x:v>SOURCE QUOTE; unvalidated / superseded assessments</x:v>
      </x:c>
      <x:c r="L2474" s="31" t="str">
        <x:v>D08, Markdown line 244; http://nas-1.tail55d152.ts.net:4100/static/NORDIC_MEDTECH_COMPETITIVE_LANDSCAPE_AND_PEER_DOSSIER.html</x:v>
      </x:c>
    </x:row>
    <x:row r="2475" ht="42" customHeight="1">
      <x:c r="A2475" s="5" t="str">
        <x:v>D08</x:v>
      </x:c>
      <x:c r="B2475" s="5" t="str">
        <x:v>D08-T03</x:v>
      </x:c>
      <x:c r="C2475" s="5" t="str">
        <x:v>9. NATO STANAG Admiralty Protocol Verification Matrix ($\ge$ B2)</x:v>
      </x:c>
      <x:c r="D2475" s="5" t="n">
        <x:v>244</x:v>
      </x:c>
      <x:c r="E2475" s="5" t="n">
        <x:v>2</x:v>
      </x:c>
      <x:c r="F2475" s="5" t="str">
        <x:v>Jurisdiction / Hub</x:v>
      </x:c>
      <x:c r="G2475" s="5" t="n">
        <x:v>1</x:v>
      </x:c>
      <x:c r="H2475" s="5" t="n">
        <x:v>1</x:v>
      </x:c>
      <x:c r="I2475" s="5" t="str">
        <x:v>Stockholm / Lund, SE</x:v>
      </x:c>
      <x:c r="J2475" s="5" t="str">
        <x:v>SOURCE QUOTE; unvalidated / superseded assessments</x:v>
      </x:c>
      <x:c r="L2475" s="31" t="str">
        <x:v>D08, Markdown line 244; http://nas-1.tail55d152.ts.net:4100/static/NORDIC_MEDTECH_COMPETITIVE_LANDSCAPE_AND_PEER_DOSSIER.html</x:v>
      </x:c>
    </x:row>
    <x:row r="2476" ht="42" customHeight="1">
      <x:c r="A2476" s="5" t="str">
        <x:v>D08</x:v>
      </x:c>
      <x:c r="B2476" s="5" t="str">
        <x:v>D08-T03</x:v>
      </x:c>
      <x:c r="C2476" s="5" t="str">
        <x:v>9. NATO STANAG Admiralty Protocol Verification Matrix ($\ge$ B2)</x:v>
      </x:c>
      <x:c r="D2476" s="5" t="n">
        <x:v>244</x:v>
      </x:c>
      <x:c r="E2476" s="5" t="n">
        <x:v>3</x:v>
      </x:c>
      <x:c r="F2476" s="5" t="str">
        <x:v>Evaluated Headcount &amp; Reach</x:v>
      </x:c>
      <x:c r="G2476" s="5" t="n">
        <x:v>1</x:v>
      </x:c>
      <x:c r="H2476" s="5" t="n">
        <x:v>1</x:v>
      </x:c>
      <x:c r="I2476" s="5" t="str">
        <x:v>~800 consultants</x:v>
      </x:c>
      <x:c r="J2476" s="5" t="str">
        <x:v>SOURCE QUOTE; unvalidated / superseded assessments</x:v>
      </x:c>
      <x:c r="L2476" s="31" t="str">
        <x:v>D08, Markdown line 244; http://nas-1.tail55d152.ts.net:4100/static/NORDIC_MEDTECH_COMPETITIVE_LANDSCAPE_AND_PEER_DOSSIER.html</x:v>
      </x:c>
    </x:row>
    <x:row r="2477" ht="42" customHeight="1">
      <x:c r="A2477" s="5" t="str">
        <x:v>D08</x:v>
      </x:c>
      <x:c r="B2477" s="5" t="str">
        <x:v>D08-T03</x:v>
      </x:c>
      <x:c r="C2477" s="5" t="str">
        <x:v>9. NATO STANAG Admiralty Protocol Verification Matrix ($\ge$ B2)</x:v>
      </x:c>
      <x:c r="D2477" s="5" t="n">
        <x:v>244</x:v>
      </x:c>
      <x:c r="E2477" s="5" t="n">
        <x:v>4</x:v>
      </x:c>
      <x:c r="F2477" s="5" t="str">
        <x:v>Primary Intelligence Source</x:v>
      </x:c>
      <x:c r="G2477" s="5" t="n">
        <x:v>1</x:v>
      </x:c>
      <x:c r="H2477" s="5" t="n">
        <x:v>1</x:v>
      </x:c>
      <x:c r="I2477" s="5" t="str">
        <x:v>Audited Annual Reports &amp; Press Releases</x:v>
      </x:c>
      <x:c r="J2477" s="5" t="str">
        <x:v>SOURCE QUOTE; unvalidated / superseded assessments</x:v>
      </x:c>
      <x:c r="L2477" s="31" t="str">
        <x:v>D08, Markdown line 244; http://nas-1.tail55d152.ts.net:4100/static/NORDIC_MEDTECH_COMPETITIVE_LANDSCAPE_AND_PEER_DOSSIER.html</x:v>
      </x:c>
    </x:row>
    <x:row r="2478" ht="42" customHeight="1">
      <x:c r="A2478" s="5" t="str">
        <x:v>D08</x:v>
      </x:c>
      <x:c r="B2478" s="5" t="str">
        <x:v>D08-T03</x:v>
      </x:c>
      <x:c r="C2478" s="5" t="str">
        <x:v>9. NATO STANAG Admiralty Protocol Verification Matrix ($\ge$ B2)</x:v>
      </x:c>
      <x:c r="D2478" s="5" t="n">
        <x:v>244</x:v>
      </x:c>
      <x:c r="E2478" s="5" t="n">
        <x:v>5</x:v>
      </x:c>
      <x:c r="F2478" s="5" t="str">
        <x:v>Source Reliability</x:v>
      </x:c>
      <x:c r="G2478" s="5" t="n">
        <x:v>1</x:v>
      </x:c>
      <x:c r="H2478" s="5" t="n">
        <x:v>1</x:v>
      </x:c>
      <x:c r="I2478" s="5" t="str">
        <x:v>A</x:v>
      </x:c>
      <x:c r="J2478" s="5" t="str">
        <x:v>SOURCE QUOTE; unvalidated / superseded assessments</x:v>
      </x:c>
      <x:c r="L2478" s="31" t="str">
        <x:v>D08, Markdown line 244; http://nas-1.tail55d152.ts.net:4100/static/NORDIC_MEDTECH_COMPETITIVE_LANDSCAPE_AND_PEER_DOSSIER.html</x:v>
      </x:c>
    </x:row>
    <x:row r="2479" ht="42" customHeight="1">
      <x:c r="A2479" s="5" t="str">
        <x:v>D08</x:v>
      </x:c>
      <x:c r="B2479" s="5" t="str">
        <x:v>D08-T03</x:v>
      </x:c>
      <x:c r="C2479" s="5" t="str">
        <x:v>9. NATO STANAG Admiralty Protocol Verification Matrix ($\ge$ B2)</x:v>
      </x:c>
      <x:c r="D2479" s="5" t="n">
        <x:v>244</x:v>
      </x:c>
      <x:c r="E2479" s="5" t="n">
        <x:v>6</x:v>
      </x:c>
      <x:c r="F2479" s="5" t="str">
        <x:v>Info Credibility</x:v>
      </x:c>
      <x:c r="G2479" s="5" t="n">
        <x:v>1</x:v>
      </x:c>
      <x:c r="H2479" s="5" t="n">
        <x:v>1</x:v>
      </x:c>
      <x:c r="I2479" s="5" t="str">
        <x:v>1</x:v>
      </x:c>
      <x:c r="J2479" s="5" t="str">
        <x:v>SOURCE QUOTE; unvalidated / superseded assessments</x:v>
      </x:c>
      <x:c r="L2479" s="31" t="str">
        <x:v>D08, Markdown line 244; http://nas-1.tail55d152.ts.net:4100/static/NORDIC_MEDTECH_COMPETITIVE_LANDSCAPE_AND_PEER_DOSSIER.html</x:v>
      </x:c>
    </x:row>
    <x:row r="2480" ht="42" customHeight="1">
      <x:c r="A2480" s="5" t="str">
        <x:v>D08</x:v>
      </x:c>
      <x:c r="B2480" s="5" t="str">
        <x:v>D08-T03</x:v>
      </x:c>
      <x:c r="C2480" s="5" t="str">
        <x:v>9. NATO STANAG Admiralty Protocol Verification Matrix ($\ge$ B2)</x:v>
      </x:c>
      <x:c r="D2480" s="5" t="n">
        <x:v>244</x:v>
      </x:c>
      <x:c r="E2480" s="5" t="n">
        <x:v>7</x:v>
      </x:c>
      <x:c r="F2480" s="5" t="str">
        <x:v>Admiralty Rating</x:v>
      </x:c>
      <x:c r="G2480" s="5" t="n">
        <x:v>1</x:v>
      </x:c>
      <x:c r="H2480" s="5" t="n">
        <x:v>1</x:v>
      </x:c>
      <x:c r="I2480" s="5" t="str">
        <x:v>A1</x:v>
      </x:c>
      <x:c r="J2480" s="5" t="str">
        <x:v>SOURCE QUOTE; unvalidated / superseded assessments</x:v>
      </x:c>
      <x:c r="L2480" s="31" t="str">
        <x:v>D08, Markdown line 244; http://nas-1.tail55d152.ts.net:4100/static/NORDIC_MEDTECH_COMPETITIVE_LANDSCAPE_AND_PEER_DOSSIER.html</x:v>
      </x:c>
    </x:row>
    <x:row r="2481" ht="42" customHeight="1">
      <x:c r="A2481" s="5" t="str">
        <x:v>D08</x:v>
      </x:c>
      <x:c r="B2481" s="5" t="str">
        <x:v>D08-T03</x:v>
      </x:c>
      <x:c r="C2481" s="5" t="str">
        <x:v>9. NATO STANAG Admiralty Protocol Verification Matrix ($\ge$ B2)</x:v>
      </x:c>
      <x:c r="D2481" s="5" t="n">
        <x:v>244</x:v>
      </x:c>
      <x:c r="E2481" s="5" t="n">
        <x:v>8</x:v>
      </x:c>
      <x:c r="F2481" s="5" t="str">
        <x:v>Actionable Strategic Insight</x:v>
      </x:c>
      <x:c r="G2481" s="5" t="n">
        <x:v>1</x:v>
      </x:c>
      <x:c r="H2481" s="5" t="n">
        <x:v>1</x:v>
      </x:c>
      <x:c r="I2481" s="5" t="str">
        <x:v>Dominant hardware design engineering; eager to subcontract SaMD software compliance under MDR Rule 11.</x:v>
      </x:c>
      <x:c r="J2481" s="5" t="str">
        <x:v>SOURCE QUOTE; unvalidated / superseded assessments</x:v>
      </x:c>
      <x:c r="L2481" s="31" t="str">
        <x:v>D08, Markdown line 244; http://nas-1.tail55d152.ts.net:4100/static/NORDIC_MEDTECH_COMPETITIVE_LANDSCAPE_AND_PEER_DOSSIER.html</x:v>
      </x:c>
    </x:row>
    <x:row r="2482" ht="42" customHeight="1">
      <x:c r="A2482" s="5" t="str">
        <x:v>D08</x:v>
      </x:c>
      <x:c r="B2482" s="5" t="str">
        <x:v>D08-T03</x:v>
      </x:c>
      <x:c r="C2482" s="5" t="str">
        <x:v>9. NATO STANAG Admiralty Protocol Verification Matrix ($\ge$ B2)</x:v>
      </x:c>
      <x:c r="D2482" s="5" t="n">
        <x:v>245</x:v>
      </x:c>
      <x:c r="E2482" s="5" t="n">
        <x:v>1</x:v>
      </x:c>
      <x:c r="F2482" s="5" t="str">
        <x:v>Peer Consultancy</x:v>
      </x:c>
      <x:c r="G2482" s="5" t="n">
        <x:v>1</x:v>
      </x:c>
      <x:c r="H2482" s="5" t="n">
        <x:v>1</x:v>
      </x:c>
      <x:c r="I2482" s="5" t="str">
        <x:v>Qadvis AB</x:v>
      </x:c>
      <x:c r="J2482" s="5" t="str">
        <x:v>SOURCE QUOTE; unvalidated / superseded assessments</x:v>
      </x:c>
      <x:c r="L2482" s="31" t="str">
        <x:v>D08, Markdown line 245; http://nas-1.tail55d152.ts.net:4100/static/NORDIC_MEDTECH_COMPETITIVE_LANDSCAPE_AND_PEER_DOSSIER.html</x:v>
      </x:c>
    </x:row>
    <x:row r="2483" ht="42" customHeight="1">
      <x:c r="A2483" s="5" t="str">
        <x:v>D08</x:v>
      </x:c>
      <x:c r="B2483" s="5" t="str">
        <x:v>D08-T03</x:v>
      </x:c>
      <x:c r="C2483" s="5" t="str">
        <x:v>9. NATO STANAG Admiralty Protocol Verification Matrix ($\ge$ B2)</x:v>
      </x:c>
      <x:c r="D2483" s="5" t="n">
        <x:v>245</x:v>
      </x:c>
      <x:c r="E2483" s="5" t="n">
        <x:v>2</x:v>
      </x:c>
      <x:c r="F2483" s="5" t="str">
        <x:v>Jurisdiction / Hub</x:v>
      </x:c>
      <x:c r="G2483" s="5" t="n">
        <x:v>1</x:v>
      </x:c>
      <x:c r="H2483" s="5" t="n">
        <x:v>1</x:v>
      </x:c>
      <x:c r="I2483" s="5" t="str">
        <x:v>Stockholm / Lund, SE</x:v>
      </x:c>
      <x:c r="J2483" s="5" t="str">
        <x:v>SOURCE QUOTE; unvalidated / superseded assessments</x:v>
      </x:c>
      <x:c r="L2483" s="31" t="str">
        <x:v>D08, Markdown line 245; http://nas-1.tail55d152.ts.net:4100/static/NORDIC_MEDTECH_COMPETITIVE_LANDSCAPE_AND_PEER_DOSSIER.html</x:v>
      </x:c>
    </x:row>
    <x:row r="2484" ht="42" customHeight="1">
      <x:c r="A2484" s="5" t="str">
        <x:v>D08</x:v>
      </x:c>
      <x:c r="B2484" s="5" t="str">
        <x:v>D08-T03</x:v>
      </x:c>
      <x:c r="C2484" s="5" t="str">
        <x:v>9. NATO STANAG Admiralty Protocol Verification Matrix ($\ge$ B2)</x:v>
      </x:c>
      <x:c r="D2484" s="5" t="n">
        <x:v>245</x:v>
      </x:c>
      <x:c r="E2484" s="5" t="n">
        <x:v>3</x:v>
      </x:c>
      <x:c r="F2484" s="5" t="str">
        <x:v>Evaluated Headcount &amp; Reach</x:v>
      </x:c>
      <x:c r="G2484" s="5" t="n">
        <x:v>1</x:v>
      </x:c>
      <x:c r="H2484" s="5" t="n">
        <x:v>1</x:v>
      </x:c>
      <x:c r="I2484" s="5" t="str">
        <x:v>~35 consultants</x:v>
      </x:c>
      <x:c r="J2484" s="5" t="str">
        <x:v>SOURCE QUOTE; unvalidated / superseded assessments</x:v>
      </x:c>
      <x:c r="L2484" s="31" t="str">
        <x:v>D08, Markdown line 245; http://nas-1.tail55d152.ts.net:4100/static/NORDIC_MEDTECH_COMPETITIVE_LANDSCAPE_AND_PEER_DOSSIER.html</x:v>
      </x:c>
    </x:row>
    <x:row r="2485" ht="42" customHeight="1">
      <x:c r="A2485" s="5" t="str">
        <x:v>D08</x:v>
      </x:c>
      <x:c r="B2485" s="5" t="str">
        <x:v>D08-T03</x:v>
      </x:c>
      <x:c r="C2485" s="5" t="str">
        <x:v>9. NATO STANAG Admiralty Protocol Verification Matrix ($\ge$ B2)</x:v>
      </x:c>
      <x:c r="D2485" s="5" t="n">
        <x:v>245</x:v>
      </x:c>
      <x:c r="E2485" s="5" t="n">
        <x:v>4</x:v>
      </x:c>
      <x:c r="F2485" s="5" t="str">
        <x:v>Primary Intelligence Source</x:v>
      </x:c>
      <x:c r="G2485" s="5" t="n">
        <x:v>1</x:v>
      </x:c>
      <x:c r="H2485" s="5" t="n">
        <x:v>1</x:v>
      </x:c>
      <x:c r="I2485" s="5" t="str">
        <x:v>Bolagsverket filings &amp; Medtech Sweden</x:v>
      </x:c>
      <x:c r="J2485" s="5" t="str">
        <x:v>SOURCE QUOTE; unvalidated / superseded assessments</x:v>
      </x:c>
      <x:c r="L2485" s="31" t="str">
        <x:v>D08, Markdown line 245; http://nas-1.tail55d152.ts.net:4100/static/NORDIC_MEDTECH_COMPETITIVE_LANDSCAPE_AND_PEER_DOSSIER.html</x:v>
      </x:c>
    </x:row>
    <x:row r="2486" ht="42" customHeight="1">
      <x:c r="A2486" s="5" t="str">
        <x:v>D08</x:v>
      </x:c>
      <x:c r="B2486" s="5" t="str">
        <x:v>D08-T03</x:v>
      </x:c>
      <x:c r="C2486" s="5" t="str">
        <x:v>9. NATO STANAG Admiralty Protocol Verification Matrix ($\ge$ B2)</x:v>
      </x:c>
      <x:c r="D2486" s="5" t="n">
        <x:v>245</x:v>
      </x:c>
      <x:c r="E2486" s="5" t="n">
        <x:v>5</x:v>
      </x:c>
      <x:c r="F2486" s="5" t="str">
        <x:v>Source Reliability</x:v>
      </x:c>
      <x:c r="G2486" s="5" t="n">
        <x:v>1</x:v>
      </x:c>
      <x:c r="H2486" s="5" t="n">
        <x:v>1</x:v>
      </x:c>
      <x:c r="I2486" s="5" t="str">
        <x:v>B</x:v>
      </x:c>
      <x:c r="J2486" s="5" t="str">
        <x:v>SOURCE QUOTE; unvalidated / superseded assessments</x:v>
      </x:c>
      <x:c r="L2486" s="31" t="str">
        <x:v>D08, Markdown line 245; http://nas-1.tail55d152.ts.net:4100/static/NORDIC_MEDTECH_COMPETITIVE_LANDSCAPE_AND_PEER_DOSSIER.html</x:v>
      </x:c>
    </x:row>
    <x:row r="2487" ht="42" customHeight="1">
      <x:c r="A2487" s="5" t="str">
        <x:v>D08</x:v>
      </x:c>
      <x:c r="B2487" s="5" t="str">
        <x:v>D08-T03</x:v>
      </x:c>
      <x:c r="C2487" s="5" t="str">
        <x:v>9. NATO STANAG Admiralty Protocol Verification Matrix ($\ge$ B2)</x:v>
      </x:c>
      <x:c r="D2487" s="5" t="n">
        <x:v>245</x:v>
      </x:c>
      <x:c r="E2487" s="5" t="n">
        <x:v>6</x:v>
      </x:c>
      <x:c r="F2487" s="5" t="str">
        <x:v>Info Credibility</x:v>
      </x:c>
      <x:c r="G2487" s="5" t="n">
        <x:v>1</x:v>
      </x:c>
      <x:c r="H2487" s="5" t="n">
        <x:v>1</x:v>
      </x:c>
      <x:c r="I2487" s="5" t="str">
        <x:v>2</x:v>
      </x:c>
      <x:c r="J2487" s="5" t="str">
        <x:v>SOURCE QUOTE; unvalidated / superseded assessments</x:v>
      </x:c>
      <x:c r="L2487" s="31" t="str">
        <x:v>D08, Markdown line 245; http://nas-1.tail55d152.ts.net:4100/static/NORDIC_MEDTECH_COMPETITIVE_LANDSCAPE_AND_PEER_DOSSIER.html</x:v>
      </x:c>
    </x:row>
    <x:row r="2488" ht="42" customHeight="1">
      <x:c r="A2488" s="5" t="str">
        <x:v>D08</x:v>
      </x:c>
      <x:c r="B2488" s="5" t="str">
        <x:v>D08-T03</x:v>
      </x:c>
      <x:c r="C2488" s="5" t="str">
        <x:v>9. NATO STANAG Admiralty Protocol Verification Matrix ($\ge$ B2)</x:v>
      </x:c>
      <x:c r="D2488" s="5" t="n">
        <x:v>245</x:v>
      </x:c>
      <x:c r="E2488" s="5" t="n">
        <x:v>7</x:v>
      </x:c>
      <x:c r="F2488" s="5" t="str">
        <x:v>Admiralty Rating</x:v>
      </x:c>
      <x:c r="G2488" s="5" t="n">
        <x:v>1</x:v>
      </x:c>
      <x:c r="H2488" s="5" t="n">
        <x:v>1</x:v>
      </x:c>
      <x:c r="I2488" s="5" t="str">
        <x:v>B2</x:v>
      </x:c>
      <x:c r="J2488" s="5" t="str">
        <x:v>SOURCE QUOTE; unvalidated / superseded assessments</x:v>
      </x:c>
      <x:c r="L2488" s="31" t="str">
        <x:v>D08, Markdown line 245; http://nas-1.tail55d152.ts.net:4100/static/NORDIC_MEDTECH_COMPETITIVE_LANDSCAPE_AND_PEER_DOSSIER.html</x:v>
      </x:c>
    </x:row>
    <x:row r="2489" ht="42" customHeight="1">
      <x:c r="A2489" s="5" t="str">
        <x:v>D08</x:v>
      </x:c>
      <x:c r="B2489" s="5" t="str">
        <x:v>D08-T03</x:v>
      </x:c>
      <x:c r="C2489" s="5" t="str">
        <x:v>9. NATO STANAG Admiralty Protocol Verification Matrix ($\ge$ B2)</x:v>
      </x:c>
      <x:c r="D2489" s="5" t="n">
        <x:v>245</x:v>
      </x:c>
      <x:c r="E2489" s="5" t="n">
        <x:v>8</x:v>
      </x:c>
      <x:c r="F2489" s="5" t="str">
        <x:v>Actionable Strategic Insight</x:v>
      </x:c>
      <x:c r="G2489" s="5" t="n">
        <x:v>1</x:v>
      </x:c>
      <x:c r="H2489" s="5" t="n">
        <x:v>1</x:v>
      </x:c>
      <x:c r="I2489" s="5" t="str">
        <x:v>Elite regulatory advisory; over-extended with manual PMCF literature reviews. Target for HCare360 NLP licensing.</x:v>
      </x:c>
      <x:c r="J2489" s="5" t="str">
        <x:v>SOURCE QUOTE; unvalidated / superseded assessments</x:v>
      </x:c>
      <x:c r="L2489" s="31" t="str">
        <x:v>D08, Markdown line 245; http://nas-1.tail55d152.ts.net:4100/static/NORDIC_MEDTECH_COMPETITIVE_LANDSCAPE_AND_PEER_DOSSIER.html</x:v>
      </x:c>
    </x:row>
    <x:row r="2490" ht="42" customHeight="1">
      <x:c r="A2490" s="5" t="str">
        <x:v>D08</x:v>
      </x:c>
      <x:c r="B2490" s="5" t="str">
        <x:v>D08-T03</x:v>
      </x:c>
      <x:c r="C2490" s="5" t="str">
        <x:v>9. NATO STANAG Admiralty Protocol Verification Matrix ($\ge$ B2)</x:v>
      </x:c>
      <x:c r="D2490" s="5" t="n">
        <x:v>246</x:v>
      </x:c>
      <x:c r="E2490" s="5" t="n">
        <x:v>1</x:v>
      </x:c>
      <x:c r="F2490" s="5" t="str">
        <x:v>Peer Consultancy</x:v>
      </x:c>
      <x:c r="G2490" s="5" t="n">
        <x:v>1</x:v>
      </x:c>
      <x:c r="H2490" s="5" t="n">
        <x:v>1</x:v>
      </x:c>
      <x:c r="I2490" s="5" t="str">
        <x:v>Semcon AB</x:v>
      </x:c>
      <x:c r="J2490" s="5" t="str">
        <x:v>SOURCE QUOTE; unvalidated / superseded assessments</x:v>
      </x:c>
      <x:c r="L2490" s="31" t="str">
        <x:v>D08, Markdown line 246; http://nas-1.tail55d152.ts.net:4100/static/NORDIC_MEDTECH_COMPETITIVE_LANDSCAPE_AND_PEER_DOSSIER.html</x:v>
      </x:c>
    </x:row>
    <x:row r="2491" ht="42" customHeight="1">
      <x:c r="A2491" s="5" t="str">
        <x:v>D08</x:v>
      </x:c>
      <x:c r="B2491" s="5" t="str">
        <x:v>D08-T03</x:v>
      </x:c>
      <x:c r="C2491" s="5" t="str">
        <x:v>9. NATO STANAG Admiralty Protocol Verification Matrix ($\ge$ B2)</x:v>
      </x:c>
      <x:c r="D2491" s="5" t="n">
        <x:v>246</x:v>
      </x:c>
      <x:c r="E2491" s="5" t="n">
        <x:v>2</x:v>
      </x:c>
      <x:c r="F2491" s="5" t="str">
        <x:v>Jurisdiction / Hub</x:v>
      </x:c>
      <x:c r="G2491" s="5" t="n">
        <x:v>1</x:v>
      </x:c>
      <x:c r="H2491" s="5" t="n">
        <x:v>1</x:v>
      </x:c>
      <x:c r="I2491" s="5" t="str">
        <x:v>Gothenburg, SE</x:v>
      </x:c>
      <x:c r="J2491" s="5" t="str">
        <x:v>SOURCE QUOTE; unvalidated / superseded assessments</x:v>
      </x:c>
      <x:c r="L2491" s="31" t="str">
        <x:v>D08, Markdown line 246; http://nas-1.tail55d152.ts.net:4100/static/NORDIC_MEDTECH_COMPETITIVE_LANDSCAPE_AND_PEER_DOSSIER.html</x:v>
      </x:c>
    </x:row>
    <x:row r="2492" ht="42" customHeight="1">
      <x:c r="A2492" s="5" t="str">
        <x:v>D08</x:v>
      </x:c>
      <x:c r="B2492" s="5" t="str">
        <x:v>D08-T03</x:v>
      </x:c>
      <x:c r="C2492" s="5" t="str">
        <x:v>9. NATO STANAG Admiralty Protocol Verification Matrix ($\ge$ B2)</x:v>
      </x:c>
      <x:c r="D2492" s="5" t="n">
        <x:v>246</x:v>
      </x:c>
      <x:c r="E2492" s="5" t="n">
        <x:v>3</x:v>
      </x:c>
      <x:c r="F2492" s="5" t="str">
        <x:v>Evaluated Headcount &amp; Reach</x:v>
      </x:c>
      <x:c r="G2492" s="5" t="n">
        <x:v>1</x:v>
      </x:c>
      <x:c r="H2492" s="5" t="n">
        <x:v>1</x:v>
      </x:c>
      <x:c r="I2492" s="5" t="str">
        <x:v>~1,200 consultants</x:v>
      </x:c>
      <x:c r="J2492" s="5" t="str">
        <x:v>SOURCE QUOTE; unvalidated / superseded assessments</x:v>
      </x:c>
      <x:c r="L2492" s="31" t="str">
        <x:v>D08, Markdown line 246; http://nas-1.tail55d152.ts.net:4100/static/NORDIC_MEDTECH_COMPETITIVE_LANDSCAPE_AND_PEER_DOSSIER.html</x:v>
      </x:c>
    </x:row>
    <x:row r="2493" ht="42" customHeight="1">
      <x:c r="A2493" s="5" t="str">
        <x:v>D08</x:v>
      </x:c>
      <x:c r="B2493" s="5" t="str">
        <x:v>D08-T03</x:v>
      </x:c>
      <x:c r="C2493" s="5" t="str">
        <x:v>9. NATO STANAG Admiralty Protocol Verification Matrix ($\ge$ B2)</x:v>
      </x:c>
      <x:c r="D2493" s="5" t="n">
        <x:v>246</x:v>
      </x:c>
      <x:c r="E2493" s="5" t="n">
        <x:v>4</x:v>
      </x:c>
      <x:c r="F2493" s="5" t="str">
        <x:v>Primary Intelligence Source</x:v>
      </x:c>
      <x:c r="G2493" s="5" t="n">
        <x:v>1</x:v>
      </x:c>
      <x:c r="H2493" s="5" t="n">
        <x:v>1</x:v>
      </x:c>
      <x:c r="I2493" s="5" t="str">
        <x:v>Nasdaq Stockholm filings &amp; 10-K equivalents</x:v>
      </x:c>
      <x:c r="J2493" s="5" t="str">
        <x:v>SOURCE QUOTE; unvalidated / superseded assessments</x:v>
      </x:c>
      <x:c r="L2493" s="31" t="str">
        <x:v>D08, Markdown line 246; http://nas-1.tail55d152.ts.net:4100/static/NORDIC_MEDTECH_COMPETITIVE_LANDSCAPE_AND_PEER_DOSSIER.html</x:v>
      </x:c>
    </x:row>
    <x:row r="2494" ht="42" customHeight="1">
      <x:c r="A2494" s="5" t="str">
        <x:v>D08</x:v>
      </x:c>
      <x:c r="B2494" s="5" t="str">
        <x:v>D08-T03</x:v>
      </x:c>
      <x:c r="C2494" s="5" t="str">
        <x:v>9. NATO STANAG Admiralty Protocol Verification Matrix ($\ge$ B2)</x:v>
      </x:c>
      <x:c r="D2494" s="5" t="n">
        <x:v>246</x:v>
      </x:c>
      <x:c r="E2494" s="5" t="n">
        <x:v>5</x:v>
      </x:c>
      <x:c r="F2494" s="5" t="str">
        <x:v>Source Reliability</x:v>
      </x:c>
      <x:c r="G2494" s="5" t="n">
        <x:v>1</x:v>
      </x:c>
      <x:c r="H2494" s="5" t="n">
        <x:v>1</x:v>
      </x:c>
      <x:c r="I2494" s="5" t="str">
        <x:v>A</x:v>
      </x:c>
      <x:c r="J2494" s="5" t="str">
        <x:v>SOURCE QUOTE; unvalidated / superseded assessments</x:v>
      </x:c>
      <x:c r="L2494" s="31" t="str">
        <x:v>D08, Markdown line 246; http://nas-1.tail55d152.ts.net:4100/static/NORDIC_MEDTECH_COMPETITIVE_LANDSCAPE_AND_PEER_DOSSIER.html</x:v>
      </x:c>
    </x:row>
    <x:row r="2495" ht="42" customHeight="1">
      <x:c r="A2495" s="5" t="str">
        <x:v>D08</x:v>
      </x:c>
      <x:c r="B2495" s="5" t="str">
        <x:v>D08-T03</x:v>
      </x:c>
      <x:c r="C2495" s="5" t="str">
        <x:v>9. NATO STANAG Admiralty Protocol Verification Matrix ($\ge$ B2)</x:v>
      </x:c>
      <x:c r="D2495" s="5" t="n">
        <x:v>246</x:v>
      </x:c>
      <x:c r="E2495" s="5" t="n">
        <x:v>6</x:v>
      </x:c>
      <x:c r="F2495" s="5" t="str">
        <x:v>Info Credibility</x:v>
      </x:c>
      <x:c r="G2495" s="5" t="n">
        <x:v>1</x:v>
      </x:c>
      <x:c r="H2495" s="5" t="n">
        <x:v>1</x:v>
      </x:c>
      <x:c r="I2495" s="5" t="str">
        <x:v>1</x:v>
      </x:c>
      <x:c r="J2495" s="5" t="str">
        <x:v>SOURCE QUOTE; unvalidated / superseded assessments</x:v>
      </x:c>
      <x:c r="L2495" s="31" t="str">
        <x:v>D08, Markdown line 246; http://nas-1.tail55d152.ts.net:4100/static/NORDIC_MEDTECH_COMPETITIVE_LANDSCAPE_AND_PEER_DOSSIER.html</x:v>
      </x:c>
    </x:row>
    <x:row r="2496" ht="42" customHeight="1">
      <x:c r="A2496" s="5" t="str">
        <x:v>D08</x:v>
      </x:c>
      <x:c r="B2496" s="5" t="str">
        <x:v>D08-T03</x:v>
      </x:c>
      <x:c r="C2496" s="5" t="str">
        <x:v>9. NATO STANAG Admiralty Protocol Verification Matrix ($\ge$ B2)</x:v>
      </x:c>
      <x:c r="D2496" s="5" t="n">
        <x:v>246</x:v>
      </x:c>
      <x:c r="E2496" s="5" t="n">
        <x:v>7</x:v>
      </x:c>
      <x:c r="F2496" s="5" t="str">
        <x:v>Admiralty Rating</x:v>
      </x:c>
      <x:c r="G2496" s="5" t="n">
        <x:v>1</x:v>
      </x:c>
      <x:c r="H2496" s="5" t="n">
        <x:v>1</x:v>
      </x:c>
      <x:c r="I2496" s="5" t="str">
        <x:v>A1</x:v>
      </x:c>
      <x:c r="J2496" s="5" t="str">
        <x:v>SOURCE QUOTE; unvalidated / superseded assessments</x:v>
      </x:c>
      <x:c r="L2496" s="31" t="str">
        <x:v>D08, Markdown line 246; http://nas-1.tail55d152.ts.net:4100/static/NORDIC_MEDTECH_COMPETITIVE_LANDSCAPE_AND_PEER_DOSSIER.html</x:v>
      </x:c>
    </x:row>
    <x:row r="2497" ht="42" customHeight="1">
      <x:c r="A2497" s="5" t="str">
        <x:v>D08</x:v>
      </x:c>
      <x:c r="B2497" s="5" t="str">
        <x:v>D08-T03</x:v>
      </x:c>
      <x:c r="C2497" s="5" t="str">
        <x:v>9. NATO STANAG Admiralty Protocol Verification Matrix ($\ge$ B2)</x:v>
      </x:c>
      <x:c r="D2497" s="5" t="n">
        <x:v>246</x:v>
      </x:c>
      <x:c r="E2497" s="5" t="n">
        <x:v>8</x:v>
      </x:c>
      <x:c r="F2497" s="5" t="str">
        <x:v>Actionable Strategic Insight</x:v>
      </x:c>
      <x:c r="G2497" s="5" t="n">
        <x:v>1</x:v>
      </x:c>
      <x:c r="H2497" s="5" t="n">
        <x:v>1</x:v>
      </x:c>
      <x:c r="I2497" s="5" t="str">
        <x:v>Industrial product design leader; lacks hospital procurement CFO economic modeling. Co-sell DaaS packages.</x:v>
      </x:c>
      <x:c r="J2497" s="5" t="str">
        <x:v>SOURCE QUOTE; unvalidated / superseded assessments</x:v>
      </x:c>
      <x:c r="L2497" s="31" t="str">
        <x:v>D08, Markdown line 246; http://nas-1.tail55d152.ts.net:4100/static/NORDIC_MEDTECH_COMPETITIVE_LANDSCAPE_AND_PEER_DOSSIER.html</x:v>
      </x:c>
    </x:row>
    <x:row r="2498" ht="42" customHeight="1">
      <x:c r="A2498" s="5" t="str">
        <x:v>D08</x:v>
      </x:c>
      <x:c r="B2498" s="5" t="str">
        <x:v>D08-T03</x:v>
      </x:c>
      <x:c r="C2498" s="5" t="str">
        <x:v>9. NATO STANAG Admiralty Protocol Verification Matrix ($\ge$ B2)</x:v>
      </x:c>
      <x:c r="D2498" s="5" t="n">
        <x:v>247</x:v>
      </x:c>
      <x:c r="E2498" s="5" t="n">
        <x:v>1</x:v>
      </x:c>
      <x:c r="F2498" s="5" t="str">
        <x:v>Peer Consultancy</x:v>
      </x:c>
      <x:c r="G2498" s="5" t="n">
        <x:v>1</x:v>
      </x:c>
      <x:c r="H2498" s="5" t="n">
        <x:v>1</x:v>
      </x:c>
      <x:c r="I2498" s="5" t="str">
        <x:v>Prevas AB</x:v>
      </x:c>
      <x:c r="J2498" s="5" t="str">
        <x:v>SOURCE QUOTE; unvalidated / superseded assessments</x:v>
      </x:c>
      <x:c r="L2498" s="31" t="str">
        <x:v>D08, Markdown line 247; http://nas-1.tail55d152.ts.net:4100/static/NORDIC_MEDTECH_COMPETITIVE_LANDSCAPE_AND_PEER_DOSSIER.html</x:v>
      </x:c>
    </x:row>
    <x:row r="2499" ht="42" customHeight="1">
      <x:c r="A2499" s="5" t="str">
        <x:v>D08</x:v>
      </x:c>
      <x:c r="B2499" s="5" t="str">
        <x:v>D08-T03</x:v>
      </x:c>
      <x:c r="C2499" s="5" t="str">
        <x:v>9. NATO STANAG Admiralty Protocol Verification Matrix ($\ge$ B2)</x:v>
      </x:c>
      <x:c r="D2499" s="5" t="n">
        <x:v>247</x:v>
      </x:c>
      <x:c r="E2499" s="5" t="n">
        <x:v>2</x:v>
      </x:c>
      <x:c r="F2499" s="5" t="str">
        <x:v>Jurisdiction / Hub</x:v>
      </x:c>
      <x:c r="G2499" s="5" t="n">
        <x:v>1</x:v>
      </x:c>
      <x:c r="H2499" s="5" t="n">
        <x:v>1</x:v>
      </x:c>
      <x:c r="I2499" s="5" t="str">
        <x:v>Västerås / Malmö, SE</x:v>
      </x:c>
      <x:c r="J2499" s="5" t="str">
        <x:v>SOURCE QUOTE; unvalidated / superseded assessments</x:v>
      </x:c>
      <x:c r="L2499" s="31" t="str">
        <x:v>D08, Markdown line 247; http://nas-1.tail55d152.ts.net:4100/static/NORDIC_MEDTECH_COMPETITIVE_LANDSCAPE_AND_PEER_DOSSIER.html</x:v>
      </x:c>
    </x:row>
    <x:row r="2500" ht="42" customHeight="1">
      <x:c r="A2500" s="5" t="str">
        <x:v>D08</x:v>
      </x:c>
      <x:c r="B2500" s="5" t="str">
        <x:v>D08-T03</x:v>
      </x:c>
      <x:c r="C2500" s="5" t="str">
        <x:v>9. NATO STANAG Admiralty Protocol Verification Matrix ($\ge$ B2)</x:v>
      </x:c>
      <x:c r="D2500" s="5" t="n">
        <x:v>247</x:v>
      </x:c>
      <x:c r="E2500" s="5" t="n">
        <x:v>3</x:v>
      </x:c>
      <x:c r="F2500" s="5" t="str">
        <x:v>Evaluated Headcount &amp; Reach</x:v>
      </x:c>
      <x:c r="G2500" s="5" t="n">
        <x:v>1</x:v>
      </x:c>
      <x:c r="H2500" s="5" t="n">
        <x:v>1</x:v>
      </x:c>
      <x:c r="I2500" s="5" t="str">
        <x:v>~900 consultants</x:v>
      </x:c>
      <x:c r="J2500" s="5" t="str">
        <x:v>SOURCE QUOTE; unvalidated / superseded assessments</x:v>
      </x:c>
      <x:c r="L2500" s="31" t="str">
        <x:v>D08, Markdown line 247; http://nas-1.tail55d152.ts.net:4100/static/NORDIC_MEDTECH_COMPETITIVE_LANDSCAPE_AND_PEER_DOSSIER.html</x:v>
      </x:c>
    </x:row>
    <x:row r="2501" ht="42" customHeight="1">
      <x:c r="A2501" s="5" t="str">
        <x:v>D08</x:v>
      </x:c>
      <x:c r="B2501" s="5" t="str">
        <x:v>D08-T03</x:v>
      </x:c>
      <x:c r="C2501" s="5" t="str">
        <x:v>9. NATO STANAG Admiralty Protocol Verification Matrix ($\ge$ B2)</x:v>
      </x:c>
      <x:c r="D2501" s="5" t="n">
        <x:v>247</x:v>
      </x:c>
      <x:c r="E2501" s="5" t="n">
        <x:v>4</x:v>
      </x:c>
      <x:c r="F2501" s="5" t="str">
        <x:v>Primary Intelligence Source</x:v>
      </x:c>
      <x:c r="G2501" s="5" t="n">
        <x:v>1</x:v>
      </x:c>
      <x:c r="H2501" s="5" t="n">
        <x:v>1</x:v>
      </x:c>
      <x:c r="I2501" s="5" t="str">
        <x:v>Audited Financial Reports &amp; Nasdaq Stockholm</x:v>
      </x:c>
      <x:c r="J2501" s="5" t="str">
        <x:v>SOURCE QUOTE; unvalidated / superseded assessments</x:v>
      </x:c>
      <x:c r="L2501" s="31" t="str">
        <x:v>D08, Markdown line 247; http://nas-1.tail55d152.ts.net:4100/static/NORDIC_MEDTECH_COMPETITIVE_LANDSCAPE_AND_PEER_DOSSIER.html</x:v>
      </x:c>
    </x:row>
    <x:row r="2502" ht="42" customHeight="1">
      <x:c r="A2502" s="5" t="str">
        <x:v>D08</x:v>
      </x:c>
      <x:c r="B2502" s="5" t="str">
        <x:v>D08-T03</x:v>
      </x:c>
      <x:c r="C2502" s="5" t="str">
        <x:v>9. NATO STANAG Admiralty Protocol Verification Matrix ($\ge$ B2)</x:v>
      </x:c>
      <x:c r="D2502" s="5" t="n">
        <x:v>247</x:v>
      </x:c>
      <x:c r="E2502" s="5" t="n">
        <x:v>5</x:v>
      </x:c>
      <x:c r="F2502" s="5" t="str">
        <x:v>Source Reliability</x:v>
      </x:c>
      <x:c r="G2502" s="5" t="n">
        <x:v>1</x:v>
      </x:c>
      <x:c r="H2502" s="5" t="n">
        <x:v>1</x:v>
      </x:c>
      <x:c r="I2502" s="5" t="str">
        <x:v>A</x:v>
      </x:c>
      <x:c r="J2502" s="5" t="str">
        <x:v>SOURCE QUOTE; unvalidated / superseded assessments</x:v>
      </x:c>
      <x:c r="L2502" s="31" t="str">
        <x:v>D08, Markdown line 247; http://nas-1.tail55d152.ts.net:4100/static/NORDIC_MEDTECH_COMPETITIVE_LANDSCAPE_AND_PEER_DOSSIER.html</x:v>
      </x:c>
    </x:row>
    <x:row r="2503" ht="42" customHeight="1">
      <x:c r="A2503" s="5" t="str">
        <x:v>D08</x:v>
      </x:c>
      <x:c r="B2503" s="5" t="str">
        <x:v>D08-T03</x:v>
      </x:c>
      <x:c r="C2503" s="5" t="str">
        <x:v>9. NATO STANAG Admiralty Protocol Verification Matrix ($\ge$ B2)</x:v>
      </x:c>
      <x:c r="D2503" s="5" t="n">
        <x:v>247</x:v>
      </x:c>
      <x:c r="E2503" s="5" t="n">
        <x:v>6</x:v>
      </x:c>
      <x:c r="F2503" s="5" t="str">
        <x:v>Info Credibility</x:v>
      </x:c>
      <x:c r="G2503" s="5" t="n">
        <x:v>1</x:v>
      </x:c>
      <x:c r="H2503" s="5" t="n">
        <x:v>1</x:v>
      </x:c>
      <x:c r="I2503" s="5" t="str">
        <x:v>1</x:v>
      </x:c>
      <x:c r="J2503" s="5" t="str">
        <x:v>SOURCE QUOTE; unvalidated / superseded assessments</x:v>
      </x:c>
      <x:c r="L2503" s="31" t="str">
        <x:v>D08, Markdown line 247; http://nas-1.tail55d152.ts.net:4100/static/NORDIC_MEDTECH_COMPETITIVE_LANDSCAPE_AND_PEER_DOSSIER.html</x:v>
      </x:c>
    </x:row>
    <x:row r="2504" ht="42" customHeight="1">
      <x:c r="A2504" s="5" t="str">
        <x:v>D08</x:v>
      </x:c>
      <x:c r="B2504" s="5" t="str">
        <x:v>D08-T03</x:v>
      </x:c>
      <x:c r="C2504" s="5" t="str">
        <x:v>9. NATO STANAG Admiralty Protocol Verification Matrix ($\ge$ B2)</x:v>
      </x:c>
      <x:c r="D2504" s="5" t="n">
        <x:v>247</x:v>
      </x:c>
      <x:c r="E2504" s="5" t="n">
        <x:v>7</x:v>
      </x:c>
      <x:c r="F2504" s="5" t="str">
        <x:v>Admiralty Rating</x:v>
      </x:c>
      <x:c r="G2504" s="5" t="n">
        <x:v>1</x:v>
      </x:c>
      <x:c r="H2504" s="5" t="n">
        <x:v>1</x:v>
      </x:c>
      <x:c r="I2504" s="5" t="str">
        <x:v>A1</x:v>
      </x:c>
      <x:c r="J2504" s="5" t="str">
        <x:v>SOURCE QUOTE; unvalidated / superseded assessments</x:v>
      </x:c>
      <x:c r="L2504" s="31" t="str">
        <x:v>D08, Markdown line 247; http://nas-1.tail55d152.ts.net:4100/static/NORDIC_MEDTECH_COMPETITIVE_LANDSCAPE_AND_PEER_DOSSIER.html</x:v>
      </x:c>
    </x:row>
    <x:row r="2505" ht="42" customHeight="1">
      <x:c r="A2505" s="5" t="str">
        <x:v>D08</x:v>
      </x:c>
      <x:c r="B2505" s="5" t="str">
        <x:v>D08-T03</x:v>
      </x:c>
      <x:c r="C2505" s="5" t="str">
        <x:v>9. NATO STANAG Admiralty Protocol Verification Matrix ($\ge$ B2)</x:v>
      </x:c>
      <x:c r="D2505" s="5" t="n">
        <x:v>247</x:v>
      </x:c>
      <x:c r="E2505" s="5" t="n">
        <x:v>8</x:v>
      </x:c>
      <x:c r="F2505" s="5" t="str">
        <x:v>Actionable Strategic Insight</x:v>
      </x:c>
      <x:c r="G2505" s="5" t="n">
        <x:v>1</x:v>
      </x:c>
      <x:c r="H2505" s="5" t="n">
        <x:v>1</x:v>
      </x:c>
      <x:c r="I2505" s="5" t="str">
        <x:v>Embedded systems &amp; electronics; requires cybersecurity compliance (MDCG 2019-16) and cloud validation partners.</x:v>
      </x:c>
      <x:c r="J2505" s="5" t="str">
        <x:v>SOURCE QUOTE; unvalidated / superseded assessments</x:v>
      </x:c>
      <x:c r="L2505" s="31" t="str">
        <x:v>D08, Markdown line 247; http://nas-1.tail55d152.ts.net:4100/static/NORDIC_MEDTECH_COMPETITIVE_LANDSCAPE_AND_PEER_DOSSIER.html</x:v>
      </x:c>
    </x:row>
    <x:row r="2506" ht="42" customHeight="1">
      <x:c r="A2506" s="5" t="str">
        <x:v>D08</x:v>
      </x:c>
      <x:c r="B2506" s="5" t="str">
        <x:v>D08-T03</x:v>
      </x:c>
      <x:c r="C2506" s="5" t="str">
        <x:v>9. NATO STANAG Admiralty Protocol Verification Matrix ($\ge$ B2)</x:v>
      </x:c>
      <x:c r="D2506" s="5" t="n">
        <x:v>248</x:v>
      </x:c>
      <x:c r="E2506" s="5" t="n">
        <x:v>1</x:v>
      </x:c>
      <x:c r="F2506" s="5" t="str">
        <x:v>Peer Consultancy</x:v>
      </x:c>
      <x:c r="G2506" s="5" t="n">
        <x:v>1</x:v>
      </x:c>
      <x:c r="H2506" s="5" t="n">
        <x:v>1</x:v>
      </x:c>
      <x:c r="I2506" s="5" t="str">
        <x:v>Emergo by UL</x:v>
      </x:c>
      <x:c r="J2506" s="5" t="str">
        <x:v>SOURCE QUOTE; unvalidated / superseded assessments</x:v>
      </x:c>
      <x:c r="L2506" s="31" t="str">
        <x:v>D08, Markdown line 248; http://nas-1.tail55d152.ts.net:4100/static/NORDIC_MEDTECH_COMPETITIVE_LANDSCAPE_AND_PEER_DOSSIER.html</x:v>
      </x:c>
    </x:row>
    <x:row r="2507" ht="42" customHeight="1">
      <x:c r="A2507" s="5" t="str">
        <x:v>D08</x:v>
      </x:c>
      <x:c r="B2507" s="5" t="str">
        <x:v>D08-T03</x:v>
      </x:c>
      <x:c r="C2507" s="5" t="str">
        <x:v>9. NATO STANAG Admiralty Protocol Verification Matrix ($\ge$ B2)</x:v>
      </x:c>
      <x:c r="D2507" s="5" t="n">
        <x:v>248</x:v>
      </x:c>
      <x:c r="E2507" s="5" t="n">
        <x:v>2</x:v>
      </x:c>
      <x:c r="F2507" s="5" t="str">
        <x:v>Jurisdiction / Hub</x:v>
      </x:c>
      <x:c r="G2507" s="5" t="n">
        <x:v>1</x:v>
      </x:c>
      <x:c r="H2507" s="5" t="n">
        <x:v>1</x:v>
      </x:c>
      <x:c r="I2507" s="5" t="str">
        <x:v>Stockholm / Global</x:v>
      </x:c>
      <x:c r="J2507" s="5" t="str">
        <x:v>SOURCE QUOTE; unvalidated / superseded assessments</x:v>
      </x:c>
      <x:c r="L2507" s="31" t="str">
        <x:v>D08, Markdown line 248; http://nas-1.tail55d152.ts.net:4100/static/NORDIC_MEDTECH_COMPETITIVE_LANDSCAPE_AND_PEER_DOSSIER.html</x:v>
      </x:c>
    </x:row>
    <x:row r="2508" ht="42" customHeight="1">
      <x:c r="A2508" s="5" t="str">
        <x:v>D08</x:v>
      </x:c>
      <x:c r="B2508" s="5" t="str">
        <x:v>D08-T03</x:v>
      </x:c>
      <x:c r="C2508" s="5" t="str">
        <x:v>9. NATO STANAG Admiralty Protocol Verification Matrix ($\ge$ B2)</x:v>
      </x:c>
      <x:c r="D2508" s="5" t="n">
        <x:v>248</x:v>
      </x:c>
      <x:c r="E2508" s="5" t="n">
        <x:v>3</x:v>
      </x:c>
      <x:c r="F2508" s="5" t="str">
        <x:v>Evaluated Headcount &amp; Reach</x:v>
      </x:c>
      <x:c r="G2508" s="5" t="n">
        <x:v>1</x:v>
      </x:c>
      <x:c r="H2508" s="5" t="n">
        <x:v>1</x:v>
      </x:c>
      <x:c r="I2508" s="5" t="str">
        <x:v>~2,500 global (~15 SE)</x:v>
      </x:c>
      <x:c r="J2508" s="5" t="str">
        <x:v>SOURCE QUOTE; unvalidated / superseded assessments</x:v>
      </x:c>
      <x:c r="L2508" s="31" t="str">
        <x:v>D08, Markdown line 248; http://nas-1.tail55d152.ts.net:4100/static/NORDIC_MEDTECH_COMPETITIVE_LANDSCAPE_AND_PEER_DOSSIER.html</x:v>
      </x:c>
    </x:row>
    <x:row r="2509" ht="42" customHeight="1">
      <x:c r="A2509" s="5" t="str">
        <x:v>D08</x:v>
      </x:c>
      <x:c r="B2509" s="5" t="str">
        <x:v>D08-T03</x:v>
      </x:c>
      <x:c r="C2509" s="5" t="str">
        <x:v>9. NATO STANAG Admiralty Protocol Verification Matrix ($\ge$ B2)</x:v>
      </x:c>
      <x:c r="D2509" s="5" t="n">
        <x:v>248</x:v>
      </x:c>
      <x:c r="E2509" s="5" t="n">
        <x:v>4</x:v>
      </x:c>
      <x:c r="F2509" s="5" t="str">
        <x:v>Primary Intelligence Source</x:v>
      </x:c>
      <x:c r="G2509" s="5" t="n">
        <x:v>1</x:v>
      </x:c>
      <x:c r="H2509" s="5" t="n">
        <x:v>1</x:v>
      </x:c>
      <x:c r="I2509" s="5" t="str">
        <x:v>UL Solutions 10-K &amp; Nordic Chamber of Commerce</x:v>
      </x:c>
      <x:c r="J2509" s="5" t="str">
        <x:v>SOURCE QUOTE; unvalidated / superseded assessments</x:v>
      </x:c>
      <x:c r="L2509" s="31" t="str">
        <x:v>D08, Markdown line 248; http://nas-1.tail55d152.ts.net:4100/static/NORDIC_MEDTECH_COMPETITIVE_LANDSCAPE_AND_PEER_DOSSIER.html</x:v>
      </x:c>
    </x:row>
    <x:row r="2510" ht="42" customHeight="1">
      <x:c r="A2510" s="5" t="str">
        <x:v>D08</x:v>
      </x:c>
      <x:c r="B2510" s="5" t="str">
        <x:v>D08-T03</x:v>
      </x:c>
      <x:c r="C2510" s="5" t="str">
        <x:v>9. NATO STANAG Admiralty Protocol Verification Matrix ($\ge$ B2)</x:v>
      </x:c>
      <x:c r="D2510" s="5" t="n">
        <x:v>248</x:v>
      </x:c>
      <x:c r="E2510" s="5" t="n">
        <x:v>5</x:v>
      </x:c>
      <x:c r="F2510" s="5" t="str">
        <x:v>Source Reliability</x:v>
      </x:c>
      <x:c r="G2510" s="5" t="n">
        <x:v>1</x:v>
      </x:c>
      <x:c r="H2510" s="5" t="n">
        <x:v>1</x:v>
      </x:c>
      <x:c r="I2510" s="5" t="str">
        <x:v>B</x:v>
      </x:c>
      <x:c r="J2510" s="5" t="str">
        <x:v>SOURCE QUOTE; unvalidated / superseded assessments</x:v>
      </x:c>
      <x:c r="L2510" s="31" t="str">
        <x:v>D08, Markdown line 248; http://nas-1.tail55d152.ts.net:4100/static/NORDIC_MEDTECH_COMPETITIVE_LANDSCAPE_AND_PEER_DOSSIER.html</x:v>
      </x:c>
    </x:row>
    <x:row r="2511" ht="42" customHeight="1">
      <x:c r="A2511" s="5" t="str">
        <x:v>D08</x:v>
      </x:c>
      <x:c r="B2511" s="5" t="str">
        <x:v>D08-T03</x:v>
      </x:c>
      <x:c r="C2511" s="5" t="str">
        <x:v>9. NATO STANAG Admiralty Protocol Verification Matrix ($\ge$ B2)</x:v>
      </x:c>
      <x:c r="D2511" s="5" t="n">
        <x:v>248</x:v>
      </x:c>
      <x:c r="E2511" s="5" t="n">
        <x:v>6</x:v>
      </x:c>
      <x:c r="F2511" s="5" t="str">
        <x:v>Info Credibility</x:v>
      </x:c>
      <x:c r="G2511" s="5" t="n">
        <x:v>1</x:v>
      </x:c>
      <x:c r="H2511" s="5" t="n">
        <x:v>1</x:v>
      </x:c>
      <x:c r="I2511" s="5" t="str">
        <x:v>2</x:v>
      </x:c>
      <x:c r="J2511" s="5" t="str">
        <x:v>SOURCE QUOTE; unvalidated / superseded assessments</x:v>
      </x:c>
      <x:c r="L2511" s="31" t="str">
        <x:v>D08, Markdown line 248; http://nas-1.tail55d152.ts.net:4100/static/NORDIC_MEDTECH_COMPETITIVE_LANDSCAPE_AND_PEER_DOSSIER.html</x:v>
      </x:c>
    </x:row>
    <x:row r="2512" ht="42" customHeight="1">
      <x:c r="A2512" s="5" t="str">
        <x:v>D08</x:v>
      </x:c>
      <x:c r="B2512" s="5" t="str">
        <x:v>D08-T03</x:v>
      </x:c>
      <x:c r="C2512" s="5" t="str">
        <x:v>9. NATO STANAG Admiralty Protocol Verification Matrix ($\ge$ B2)</x:v>
      </x:c>
      <x:c r="D2512" s="5" t="n">
        <x:v>248</x:v>
      </x:c>
      <x:c r="E2512" s="5" t="n">
        <x:v>7</x:v>
      </x:c>
      <x:c r="F2512" s="5" t="str">
        <x:v>Admiralty Rating</x:v>
      </x:c>
      <x:c r="G2512" s="5" t="n">
        <x:v>1</x:v>
      </x:c>
      <x:c r="H2512" s="5" t="n">
        <x:v>1</x:v>
      </x:c>
      <x:c r="I2512" s="5" t="str">
        <x:v>B2</x:v>
      </x:c>
      <x:c r="J2512" s="5" t="str">
        <x:v>SOURCE QUOTE; unvalidated / superseded assessments</x:v>
      </x:c>
      <x:c r="L2512" s="31" t="str">
        <x:v>D08, Markdown line 248; http://nas-1.tail55d152.ts.net:4100/static/NORDIC_MEDTECH_COMPETITIVE_LANDSCAPE_AND_PEER_DOSSIER.html</x:v>
      </x:c>
    </x:row>
    <x:row r="2513" ht="42" customHeight="1">
      <x:c r="A2513" s="5" t="str">
        <x:v>D08</x:v>
      </x:c>
      <x:c r="B2513" s="5" t="str">
        <x:v>D08-T03</x:v>
      </x:c>
      <x:c r="C2513" s="5" t="str">
        <x:v>9. NATO STANAG Admiralty Protocol Verification Matrix ($\ge$ B2)</x:v>
      </x:c>
      <x:c r="D2513" s="5" t="n">
        <x:v>248</x:v>
      </x:c>
      <x:c r="E2513" s="5" t="n">
        <x:v>8</x:v>
      </x:c>
      <x:c r="F2513" s="5" t="str">
        <x:v>Actionable Strategic Insight</x:v>
      </x:c>
      <x:c r="G2513" s="5" t="n">
        <x:v>1</x:v>
      </x:c>
      <x:c r="H2513" s="5" t="n">
        <x:v>1</x:v>
      </x:c>
      <x:c r="I2513" s="5" t="str">
        <x:v>High-cost global brand; vulnerable to agile local SWAT pricing and 90-day fixed-price delivery guarantees.</x:v>
      </x:c>
      <x:c r="J2513" s="5" t="str">
        <x:v>SOURCE QUOTE; unvalidated / superseded assessments</x:v>
      </x:c>
      <x:c r="L2513" s="31" t="str">
        <x:v>D08, Markdown line 248; http://nas-1.tail55d152.ts.net:4100/static/NORDIC_MEDTECH_COMPETITIVE_LANDSCAPE_AND_PEER_DOSSIER.html</x:v>
      </x:c>
    </x:row>
    <x:row r="2514" ht="42" customHeight="1">
      <x:c r="A2514" s="5" t="str">
        <x:v>D08</x:v>
      </x:c>
      <x:c r="B2514" s="5" t="str">
        <x:v>D08-T03</x:v>
      </x:c>
      <x:c r="C2514" s="5" t="str">
        <x:v>9. NATO STANAG Admiralty Protocol Verification Matrix ($\ge$ B2)</x:v>
      </x:c>
      <x:c r="D2514" s="5" t="n">
        <x:v>249</x:v>
      </x:c>
      <x:c r="E2514" s="5" t="n">
        <x:v>1</x:v>
      </x:c>
      <x:c r="F2514" s="5" t="str">
        <x:v>Peer Consultancy</x:v>
      </x:c>
      <x:c r="G2514" s="5" t="n">
        <x:v>1</x:v>
      </x:c>
      <x:c r="H2514" s="5" t="n">
        <x:v>1</x:v>
      </x:c>
      <x:c r="I2514" s="5" t="str">
        <x:v>LINK Medical</x:v>
      </x:c>
      <x:c r="J2514" s="5" t="str">
        <x:v>SOURCE QUOTE; unvalidated / superseded assessments</x:v>
      </x:c>
      <x:c r="L2514" s="31" t="str">
        <x:v>D08, Markdown line 249; http://nas-1.tail55d152.ts.net:4100/static/NORDIC_MEDTECH_COMPETITIVE_LANDSCAPE_AND_PEER_DOSSIER.html</x:v>
      </x:c>
    </x:row>
    <x:row r="2515" ht="42" customHeight="1">
      <x:c r="A2515" s="5" t="str">
        <x:v>D08</x:v>
      </x:c>
      <x:c r="B2515" s="5" t="str">
        <x:v>D08-T03</x:v>
      </x:c>
      <x:c r="C2515" s="5" t="str">
        <x:v>9. NATO STANAG Admiralty Protocol Verification Matrix ($\ge$ B2)</x:v>
      </x:c>
      <x:c r="D2515" s="5" t="n">
        <x:v>249</x:v>
      </x:c>
      <x:c r="E2515" s="5" t="n">
        <x:v>2</x:v>
      </x:c>
      <x:c r="F2515" s="5" t="str">
        <x:v>Jurisdiction / Hub</x:v>
      </x:c>
      <x:c r="G2515" s="5" t="n">
        <x:v>1</x:v>
      </x:c>
      <x:c r="H2515" s="5" t="n">
        <x:v>1</x:v>
      </x:c>
      <x:c r="I2515" s="5" t="str">
        <x:v>Oslo / Stockholm / CPH</x:v>
      </x:c>
      <x:c r="J2515" s="5" t="str">
        <x:v>SOURCE QUOTE; unvalidated / superseded assessments</x:v>
      </x:c>
      <x:c r="L2515" s="31" t="str">
        <x:v>D08, Markdown line 249; http://nas-1.tail55d152.ts.net:4100/static/NORDIC_MEDTECH_COMPETITIVE_LANDSCAPE_AND_PEER_DOSSIER.html</x:v>
      </x:c>
    </x:row>
    <x:row r="2516" ht="42" customHeight="1">
      <x:c r="A2516" s="5" t="str">
        <x:v>D08</x:v>
      </x:c>
      <x:c r="B2516" s="5" t="str">
        <x:v>D08-T03</x:v>
      </x:c>
      <x:c r="C2516" s="5" t="str">
        <x:v>9. NATO STANAG Admiralty Protocol Verification Matrix ($\ge$ B2)</x:v>
      </x:c>
      <x:c r="D2516" s="5" t="n">
        <x:v>249</x:v>
      </x:c>
      <x:c r="E2516" s="5" t="n">
        <x:v>3</x:v>
      </x:c>
      <x:c r="F2516" s="5" t="str">
        <x:v>Evaluated Headcount &amp; Reach</x:v>
      </x:c>
      <x:c r="G2516" s="5" t="n">
        <x:v>1</x:v>
      </x:c>
      <x:c r="H2516" s="5" t="n">
        <x:v>1</x:v>
      </x:c>
      <x:c r="I2516" s="5" t="str">
        <x:v>~250 clinical staff</x:v>
      </x:c>
      <x:c r="J2516" s="5" t="str">
        <x:v>SOURCE QUOTE; unvalidated / superseded assessments</x:v>
      </x:c>
      <x:c r="L2516" s="31" t="str">
        <x:v>D08, Markdown line 249; http://nas-1.tail55d152.ts.net:4100/static/NORDIC_MEDTECH_COMPETITIVE_LANDSCAPE_AND_PEER_DOSSIER.html</x:v>
      </x:c>
    </x:row>
    <x:row r="2517" ht="42" customHeight="1">
      <x:c r="A2517" s="5" t="str">
        <x:v>D08</x:v>
      </x:c>
      <x:c r="B2517" s="5" t="str">
        <x:v>D08-T03</x:v>
      </x:c>
      <x:c r="C2517" s="5" t="str">
        <x:v>9. NATO STANAG Admiralty Protocol Verification Matrix ($\ge$ B2)</x:v>
      </x:c>
      <x:c r="D2517" s="5" t="n">
        <x:v>249</x:v>
      </x:c>
      <x:c r="E2517" s="5" t="n">
        <x:v>4</x:v>
      </x:c>
      <x:c r="F2517" s="5" t="str">
        <x:v>Primary Intelligence Source</x:v>
      </x:c>
      <x:c r="G2517" s="5" t="n">
        <x:v>1</x:v>
      </x:c>
      <x:c r="H2517" s="5" t="n">
        <x:v>1</x:v>
      </x:c>
      <x:c r="I2517" s="5" t="str">
        <x:v>Brønnøysund Register &amp; Nordic Clinical Registers</x:v>
      </x:c>
      <x:c r="J2517" s="5" t="str">
        <x:v>SOURCE QUOTE; unvalidated / superseded assessments</x:v>
      </x:c>
      <x:c r="L2517" s="31" t="str">
        <x:v>D08, Markdown line 249; http://nas-1.tail55d152.ts.net:4100/static/NORDIC_MEDTECH_COMPETITIVE_LANDSCAPE_AND_PEER_DOSSIER.html</x:v>
      </x:c>
    </x:row>
    <x:row r="2518" ht="42" customHeight="1">
      <x:c r="A2518" s="5" t="str">
        <x:v>D08</x:v>
      </x:c>
      <x:c r="B2518" s="5" t="str">
        <x:v>D08-T03</x:v>
      </x:c>
      <x:c r="C2518" s="5" t="str">
        <x:v>9. NATO STANAG Admiralty Protocol Verification Matrix ($\ge$ B2)</x:v>
      </x:c>
      <x:c r="D2518" s="5" t="n">
        <x:v>249</x:v>
      </x:c>
      <x:c r="E2518" s="5" t="n">
        <x:v>5</x:v>
      </x:c>
      <x:c r="F2518" s="5" t="str">
        <x:v>Source Reliability</x:v>
      </x:c>
      <x:c r="G2518" s="5" t="n">
        <x:v>1</x:v>
      </x:c>
      <x:c r="H2518" s="5" t="n">
        <x:v>1</x:v>
      </x:c>
      <x:c r="I2518" s="5" t="str">
        <x:v>B</x:v>
      </x:c>
      <x:c r="J2518" s="5" t="str">
        <x:v>SOURCE QUOTE; unvalidated / superseded assessments</x:v>
      </x:c>
      <x:c r="L2518" s="31" t="str">
        <x:v>D08, Markdown line 249; http://nas-1.tail55d152.ts.net:4100/static/NORDIC_MEDTECH_COMPETITIVE_LANDSCAPE_AND_PEER_DOSSIER.html</x:v>
      </x:c>
    </x:row>
    <x:row r="2519" ht="42" customHeight="1">
      <x:c r="A2519" s="5" t="str">
        <x:v>D08</x:v>
      </x:c>
      <x:c r="B2519" s="5" t="str">
        <x:v>D08-T03</x:v>
      </x:c>
      <x:c r="C2519" s="5" t="str">
        <x:v>9. NATO STANAG Admiralty Protocol Verification Matrix ($\ge$ B2)</x:v>
      </x:c>
      <x:c r="D2519" s="5" t="n">
        <x:v>249</x:v>
      </x:c>
      <x:c r="E2519" s="5" t="n">
        <x:v>6</x:v>
      </x:c>
      <x:c r="F2519" s="5" t="str">
        <x:v>Info Credibility</x:v>
      </x:c>
      <x:c r="G2519" s="5" t="n">
        <x:v>1</x:v>
      </x:c>
      <x:c r="H2519" s="5" t="n">
        <x:v>1</x:v>
      </x:c>
      <x:c r="I2519" s="5" t="str">
        <x:v>2</x:v>
      </x:c>
      <x:c r="J2519" s="5" t="str">
        <x:v>SOURCE QUOTE; unvalidated / superseded assessments</x:v>
      </x:c>
      <x:c r="L2519" s="31" t="str">
        <x:v>D08, Markdown line 249; http://nas-1.tail55d152.ts.net:4100/static/NORDIC_MEDTECH_COMPETITIVE_LANDSCAPE_AND_PEER_DOSSIER.html</x:v>
      </x:c>
    </x:row>
    <x:row r="2520" ht="42" customHeight="1">
      <x:c r="A2520" s="5" t="str">
        <x:v>D08</x:v>
      </x:c>
      <x:c r="B2520" s="5" t="str">
        <x:v>D08-T03</x:v>
      </x:c>
      <x:c r="C2520" s="5" t="str">
        <x:v>9. NATO STANAG Admiralty Protocol Verification Matrix ($\ge$ B2)</x:v>
      </x:c>
      <x:c r="D2520" s="5" t="n">
        <x:v>249</x:v>
      </x:c>
      <x:c r="E2520" s="5" t="n">
        <x:v>7</x:v>
      </x:c>
      <x:c r="F2520" s="5" t="str">
        <x:v>Admiralty Rating</x:v>
      </x:c>
      <x:c r="G2520" s="5" t="n">
        <x:v>1</x:v>
      </x:c>
      <x:c r="H2520" s="5" t="n">
        <x:v>1</x:v>
      </x:c>
      <x:c r="I2520" s="5" t="str">
        <x:v>B2</x:v>
      </x:c>
      <x:c r="J2520" s="5" t="str">
        <x:v>SOURCE QUOTE; unvalidated / superseded assessments</x:v>
      </x:c>
      <x:c r="L2520" s="31" t="str">
        <x:v>D08, Markdown line 249; http://nas-1.tail55d152.ts.net:4100/static/NORDIC_MEDTECH_COMPETITIVE_LANDSCAPE_AND_PEER_DOSSIER.html</x:v>
      </x:c>
    </x:row>
    <x:row r="2521" ht="42" customHeight="1">
      <x:c r="A2521" s="5" t="str">
        <x:v>D08</x:v>
      </x:c>
      <x:c r="B2521" s="5" t="str">
        <x:v>D08-T03</x:v>
      </x:c>
      <x:c r="C2521" s="5" t="str">
        <x:v>9. NATO STANAG Admiralty Protocol Verification Matrix ($\ge$ B2)</x:v>
      </x:c>
      <x:c r="D2521" s="5" t="n">
        <x:v>249</x:v>
      </x:c>
      <x:c r="E2521" s="5" t="n">
        <x:v>8</x:v>
      </x:c>
      <x:c r="F2521" s="5" t="str">
        <x:v>Actionable Strategic Insight</x:v>
      </x:c>
      <x:c r="G2521" s="5" t="n">
        <x:v>1</x:v>
      </x:c>
      <x:c r="H2521" s="5" t="n">
        <x:v>1</x:v>
      </x:c>
      <x:c r="I2521" s="5" t="str">
        <x:v>Leading regional CRO; suffers from slow manual trial recruitment. Prime partner for HCare360 patient screening.</x:v>
      </x:c>
      <x:c r="J2521" s="5" t="str">
        <x:v>SOURCE QUOTE; unvalidated / superseded assessments</x:v>
      </x:c>
      <x:c r="L2521" s="31" t="str">
        <x:v>D08, Markdown line 249; http://nas-1.tail55d152.ts.net:4100/static/NORDIC_MEDTECH_COMPETITIVE_LANDSCAPE_AND_PEER_DOSSIER.html</x:v>
      </x:c>
    </x:row>
    <x:row r="2522" ht="42" customHeight="1">
      <x:c r="A2522" s="5" t="str">
        <x:v>D08</x:v>
      </x:c>
      <x:c r="B2522" s="5" t="str">
        <x:v>D08-T03</x:v>
      </x:c>
      <x:c r="C2522" s="5" t="str">
        <x:v>9. NATO STANAG Admiralty Protocol Verification Matrix ($\ge$ B2)</x:v>
      </x:c>
      <x:c r="D2522" s="5" t="n">
        <x:v>250</x:v>
      </x:c>
      <x:c r="E2522" s="5" t="n">
        <x:v>1</x:v>
      </x:c>
      <x:c r="F2522" s="5" t="str">
        <x:v>Peer Consultancy</x:v>
      </x:c>
      <x:c r="G2522" s="5" t="n">
        <x:v>1</x:v>
      </x:c>
      <x:c r="H2522" s="5" t="n">
        <x:v>1</x:v>
      </x:c>
      <x:c r="I2522" s="5" t="str">
        <x:v>PA Consulting</x:v>
      </x:c>
      <x:c r="J2522" s="5" t="str">
        <x:v>SOURCE QUOTE; unvalidated / superseded assessments</x:v>
      </x:c>
      <x:c r="L2522" s="31" t="str">
        <x:v>D08, Markdown line 250; http://nas-1.tail55d152.ts.net:4100/static/NORDIC_MEDTECH_COMPETITIVE_LANDSCAPE_AND_PEER_DOSSIER.html</x:v>
      </x:c>
    </x:row>
    <x:row r="2523" ht="42" customHeight="1">
      <x:c r="A2523" s="5" t="str">
        <x:v>D08</x:v>
      </x:c>
      <x:c r="B2523" s="5" t="str">
        <x:v>D08-T03</x:v>
      </x:c>
      <x:c r="C2523" s="5" t="str">
        <x:v>9. NATO STANAG Admiralty Protocol Verification Matrix ($\ge$ B2)</x:v>
      </x:c>
      <x:c r="D2523" s="5" t="n">
        <x:v>250</x:v>
      </x:c>
      <x:c r="E2523" s="5" t="n">
        <x:v>2</x:v>
      </x:c>
      <x:c r="F2523" s="5" t="str">
        <x:v>Jurisdiction / Hub</x:v>
      </x:c>
      <x:c r="G2523" s="5" t="n">
        <x:v>1</x:v>
      </x:c>
      <x:c r="H2523" s="5" t="n">
        <x:v>1</x:v>
      </x:c>
      <x:c r="I2523" s="5" t="str">
        <x:v>Stockholm / CPH / Global</x:v>
      </x:c>
      <x:c r="J2523" s="5" t="str">
        <x:v>SOURCE QUOTE; unvalidated / superseded assessments</x:v>
      </x:c>
      <x:c r="L2523" s="31" t="str">
        <x:v>D08, Markdown line 250; http://nas-1.tail55d152.ts.net:4100/static/NORDIC_MEDTECH_COMPETITIVE_LANDSCAPE_AND_PEER_DOSSIER.html</x:v>
      </x:c>
    </x:row>
    <x:row r="2524" ht="42" customHeight="1">
      <x:c r="A2524" s="5" t="str">
        <x:v>D08</x:v>
      </x:c>
      <x:c r="B2524" s="5" t="str">
        <x:v>D08-T03</x:v>
      </x:c>
      <x:c r="C2524" s="5" t="str">
        <x:v>9. NATO STANAG Admiralty Protocol Verification Matrix ($\ge$ B2)</x:v>
      </x:c>
      <x:c r="D2524" s="5" t="n">
        <x:v>250</x:v>
      </x:c>
      <x:c r="E2524" s="5" t="n">
        <x:v>3</x:v>
      </x:c>
      <x:c r="F2524" s="5" t="str">
        <x:v>Evaluated Headcount &amp; Reach</x:v>
      </x:c>
      <x:c r="G2524" s="5" t="n">
        <x:v>1</x:v>
      </x:c>
      <x:c r="H2524" s="5" t="n">
        <x:v>1</x:v>
      </x:c>
      <x:c r="I2524" s="5" t="str">
        <x:v>~4,000 global</x:v>
      </x:c>
      <x:c r="J2524" s="5" t="str">
        <x:v>SOURCE QUOTE; unvalidated / superseded assessments</x:v>
      </x:c>
      <x:c r="L2524" s="31" t="str">
        <x:v>D08, Markdown line 250; http://nas-1.tail55d152.ts.net:4100/static/NORDIC_MEDTECH_COMPETITIVE_LANDSCAPE_AND_PEER_DOSSIER.html</x:v>
      </x:c>
    </x:row>
    <x:row r="2525" ht="42" customHeight="1">
      <x:c r="A2525" s="5" t="str">
        <x:v>D08</x:v>
      </x:c>
      <x:c r="B2525" s="5" t="str">
        <x:v>D08-T03</x:v>
      </x:c>
      <x:c r="C2525" s="5" t="str">
        <x:v>9. NATO STANAG Admiralty Protocol Verification Matrix ($\ge$ B2)</x:v>
      </x:c>
      <x:c r="D2525" s="5" t="n">
        <x:v>250</x:v>
      </x:c>
      <x:c r="E2525" s="5" t="n">
        <x:v>4</x:v>
      </x:c>
      <x:c r="F2525" s="5" t="str">
        <x:v>Primary Intelligence Source</x:v>
      </x:c>
      <x:c r="G2525" s="5" t="n">
        <x:v>1</x:v>
      </x:c>
      <x:c r="H2525" s="5" t="n">
        <x:v>1</x:v>
      </x:c>
      <x:c r="I2525" s="5" t="str">
        <x:v>UK Companies House &amp; Nordic Subsidiary Records</x:v>
      </x:c>
      <x:c r="J2525" s="5" t="str">
        <x:v>SOURCE QUOTE; unvalidated / superseded assessments</x:v>
      </x:c>
      <x:c r="L2525" s="31" t="str">
        <x:v>D08, Markdown line 250; http://nas-1.tail55d152.ts.net:4100/static/NORDIC_MEDTECH_COMPETITIVE_LANDSCAPE_AND_PEER_DOSSIER.html</x:v>
      </x:c>
    </x:row>
    <x:row r="2526" ht="42" customHeight="1">
      <x:c r="A2526" s="5" t="str">
        <x:v>D08</x:v>
      </x:c>
      <x:c r="B2526" s="5" t="str">
        <x:v>D08-T03</x:v>
      </x:c>
      <x:c r="C2526" s="5" t="str">
        <x:v>9. NATO STANAG Admiralty Protocol Verification Matrix ($\ge$ B2)</x:v>
      </x:c>
      <x:c r="D2526" s="5" t="n">
        <x:v>250</x:v>
      </x:c>
      <x:c r="E2526" s="5" t="n">
        <x:v>5</x:v>
      </x:c>
      <x:c r="F2526" s="5" t="str">
        <x:v>Source Reliability</x:v>
      </x:c>
      <x:c r="G2526" s="5" t="n">
        <x:v>1</x:v>
      </x:c>
      <x:c r="H2526" s="5" t="n">
        <x:v>1</x:v>
      </x:c>
      <x:c r="I2526" s="5" t="str">
        <x:v>B</x:v>
      </x:c>
      <x:c r="J2526" s="5" t="str">
        <x:v>SOURCE QUOTE; unvalidated / superseded assessments</x:v>
      </x:c>
      <x:c r="L2526" s="31" t="str">
        <x:v>D08, Markdown line 250; http://nas-1.tail55d152.ts.net:4100/static/NORDIC_MEDTECH_COMPETITIVE_LANDSCAPE_AND_PEER_DOSSIER.html</x:v>
      </x:c>
    </x:row>
    <x:row r="2527" ht="42" customHeight="1">
      <x:c r="A2527" s="5" t="str">
        <x:v>D08</x:v>
      </x:c>
      <x:c r="B2527" s="5" t="str">
        <x:v>D08-T03</x:v>
      </x:c>
      <x:c r="C2527" s="5" t="str">
        <x:v>9. NATO STANAG Admiralty Protocol Verification Matrix ($\ge$ B2)</x:v>
      </x:c>
      <x:c r="D2527" s="5" t="n">
        <x:v>250</x:v>
      </x:c>
      <x:c r="E2527" s="5" t="n">
        <x:v>6</x:v>
      </x:c>
      <x:c r="F2527" s="5" t="str">
        <x:v>Info Credibility</x:v>
      </x:c>
      <x:c r="G2527" s="5" t="n">
        <x:v>1</x:v>
      </x:c>
      <x:c r="H2527" s="5" t="n">
        <x:v>1</x:v>
      </x:c>
      <x:c r="I2527" s="5" t="str">
        <x:v>2</x:v>
      </x:c>
      <x:c r="J2527" s="5" t="str">
        <x:v>SOURCE QUOTE; unvalidated / superseded assessments</x:v>
      </x:c>
      <x:c r="L2527" s="31" t="str">
        <x:v>D08, Markdown line 250; http://nas-1.tail55d152.ts.net:4100/static/NORDIC_MEDTECH_COMPETITIVE_LANDSCAPE_AND_PEER_DOSSIER.html</x:v>
      </x:c>
    </x:row>
    <x:row r="2528" ht="42" customHeight="1">
      <x:c r="A2528" s="5" t="str">
        <x:v>D08</x:v>
      </x:c>
      <x:c r="B2528" s="5" t="str">
        <x:v>D08-T03</x:v>
      </x:c>
      <x:c r="C2528" s="5" t="str">
        <x:v>9. NATO STANAG Admiralty Protocol Verification Matrix ($\ge$ B2)</x:v>
      </x:c>
      <x:c r="D2528" s="5" t="n">
        <x:v>250</x:v>
      </x:c>
      <x:c r="E2528" s="5" t="n">
        <x:v>7</x:v>
      </x:c>
      <x:c r="F2528" s="5" t="str">
        <x:v>Admiralty Rating</x:v>
      </x:c>
      <x:c r="G2528" s="5" t="n">
        <x:v>1</x:v>
      </x:c>
      <x:c r="H2528" s="5" t="n">
        <x:v>1</x:v>
      </x:c>
      <x:c r="I2528" s="5" t="str">
        <x:v>B2</x:v>
      </x:c>
      <x:c r="J2528" s="5" t="str">
        <x:v>SOURCE QUOTE; unvalidated / superseded assessments</x:v>
      </x:c>
      <x:c r="L2528" s="31" t="str">
        <x:v>D08, Markdown line 250; http://nas-1.tail55d152.ts.net:4100/static/NORDIC_MEDTECH_COMPETITIVE_LANDSCAPE_AND_PEER_DOSSIER.html</x:v>
      </x:c>
    </x:row>
    <x:row r="2529" ht="42" customHeight="1">
      <x:c r="A2529" s="5" t="str">
        <x:v>D08</x:v>
      </x:c>
      <x:c r="B2529" s="5" t="str">
        <x:v>D08-T03</x:v>
      </x:c>
      <x:c r="C2529" s="5" t="str">
        <x:v>9. NATO STANAG Admiralty Protocol Verification Matrix ($\ge$ B2)</x:v>
      </x:c>
      <x:c r="D2529" s="5" t="n">
        <x:v>250</x:v>
      </x:c>
      <x:c r="E2529" s="5" t="n">
        <x:v>8</x:v>
      </x:c>
      <x:c r="F2529" s="5" t="str">
        <x:v>Actionable Strategic Insight</x:v>
      </x:c>
      <x:c r="G2529" s="5" t="n">
        <x:v>1</x:v>
      </x:c>
      <x:c r="H2529" s="5" t="n">
        <x:v>1</x:v>
      </x:c>
      <x:c r="I2529" s="5" t="str">
        <x:v>High-level strategy firm; lacks hands-on engineering execution. Subcontract technical execution to 2S.</x:v>
      </x:c>
      <x:c r="J2529" s="5" t="str">
        <x:v>SOURCE QUOTE; unvalidated / superseded assessments</x:v>
      </x:c>
      <x:c r="L2529" s="31" t="str">
        <x:v>D08, Markdown line 250; http://nas-1.tail55d152.ts.net:4100/static/NORDIC_MEDTECH_COMPETITIVE_LANDSCAPE_AND_PEER_DOSSIER.html</x:v>
      </x:c>
    </x:row>
    <x:row r="2530" ht="42" customHeight="1">
      <x:c r="A2530" s="5" t="str">
        <x:v>D08</x:v>
      </x:c>
      <x:c r="B2530" s="5" t="str">
        <x:v>D08-T03</x:v>
      </x:c>
      <x:c r="C2530" s="5" t="str">
        <x:v>9. NATO STANAG Admiralty Protocol Verification Matrix ($\ge$ B2)</x:v>
      </x:c>
      <x:c r="D2530" s="5" t="n">
        <x:v>251</x:v>
      </x:c>
      <x:c r="E2530" s="5" t="n">
        <x:v>1</x:v>
      </x:c>
      <x:c r="F2530" s="5" t="str">
        <x:v>Peer Consultancy</x:v>
      </x:c>
      <x:c r="G2530" s="5" t="n">
        <x:v>1</x:v>
      </x:c>
      <x:c r="H2530" s="5" t="n">
        <x:v>1</x:v>
      </x:c>
      <x:c r="I2530" s="5" t="str">
        <x:v>Celegence</x:v>
      </x:c>
      <x:c r="J2530" s="5" t="str">
        <x:v>SOURCE QUOTE; unvalidated / superseded assessments</x:v>
      </x:c>
      <x:c r="L2530" s="31" t="str">
        <x:v>D08, Markdown line 251; http://nas-1.tail55d152.ts.net:4100/static/NORDIC_MEDTECH_COMPETITIVE_LANDSCAPE_AND_PEER_DOSSIER.html</x:v>
      </x:c>
    </x:row>
    <x:row r="2531" ht="42" customHeight="1">
      <x:c r="A2531" s="5" t="str">
        <x:v>D08</x:v>
      </x:c>
      <x:c r="B2531" s="5" t="str">
        <x:v>D08-T03</x:v>
      </x:c>
      <x:c r="C2531" s="5" t="str">
        <x:v>9. NATO STANAG Admiralty Protocol Verification Matrix ($\ge$ B2)</x:v>
      </x:c>
      <x:c r="D2531" s="5" t="n">
        <x:v>251</x:v>
      </x:c>
      <x:c r="E2531" s="5" t="n">
        <x:v>2</x:v>
      </x:c>
      <x:c r="F2531" s="5" t="str">
        <x:v>Jurisdiction / Hub</x:v>
      </x:c>
      <x:c r="G2531" s="5" t="n">
        <x:v>1</x:v>
      </x:c>
      <x:c r="H2531" s="5" t="n">
        <x:v>1</x:v>
      </x:c>
      <x:c r="I2531" s="5" t="str">
        <x:v>Nordic Delivery</x:v>
      </x:c>
      <x:c r="J2531" s="5" t="str">
        <x:v>SOURCE QUOTE; unvalidated / superseded assessments</x:v>
      </x:c>
      <x:c r="L2531" s="31" t="str">
        <x:v>D08, Markdown line 251; http://nas-1.tail55d152.ts.net:4100/static/NORDIC_MEDTECH_COMPETITIVE_LANDSCAPE_AND_PEER_DOSSIER.html</x:v>
      </x:c>
    </x:row>
    <x:row r="2532" ht="42" customHeight="1">
      <x:c r="A2532" s="5" t="str">
        <x:v>D08</x:v>
      </x:c>
      <x:c r="B2532" s="5" t="str">
        <x:v>D08-T03</x:v>
      </x:c>
      <x:c r="C2532" s="5" t="str">
        <x:v>9. NATO STANAG Admiralty Protocol Verification Matrix ($\ge$ B2)</x:v>
      </x:c>
      <x:c r="D2532" s="5" t="n">
        <x:v>251</x:v>
      </x:c>
      <x:c r="E2532" s="5" t="n">
        <x:v>3</x:v>
      </x:c>
      <x:c r="F2532" s="5" t="str">
        <x:v>Evaluated Headcount &amp; Reach</x:v>
      </x:c>
      <x:c r="G2532" s="5" t="n">
        <x:v>1</x:v>
      </x:c>
      <x:c r="H2532" s="5" t="n">
        <x:v>1</x:v>
      </x:c>
      <x:c r="I2532" s="5" t="str">
        <x:v>~150 consultants</x:v>
      </x:c>
      <x:c r="J2532" s="5" t="str">
        <x:v>SOURCE QUOTE; unvalidated / superseded assessments</x:v>
      </x:c>
      <x:c r="L2532" s="31" t="str">
        <x:v>D08, Markdown line 251; http://nas-1.tail55d152.ts.net:4100/static/NORDIC_MEDTECH_COMPETITIVE_LANDSCAPE_AND_PEER_DOSSIER.html</x:v>
      </x:c>
    </x:row>
    <x:row r="2533" ht="42" customHeight="1">
      <x:c r="A2533" s="5" t="str">
        <x:v>D08</x:v>
      </x:c>
      <x:c r="B2533" s="5" t="str">
        <x:v>D08-T03</x:v>
      </x:c>
      <x:c r="C2533" s="5" t="str">
        <x:v>9. NATO STANAG Admiralty Protocol Verification Matrix ($\ge$ B2)</x:v>
      </x:c>
      <x:c r="D2533" s="5" t="n">
        <x:v>251</x:v>
      </x:c>
      <x:c r="E2533" s="5" t="n">
        <x:v>4</x:v>
      </x:c>
      <x:c r="F2533" s="5" t="str">
        <x:v>Primary Intelligence Source</x:v>
      </x:c>
      <x:c r="G2533" s="5" t="n">
        <x:v>1</x:v>
      </x:c>
      <x:c r="H2533" s="5" t="n">
        <x:v>1</x:v>
      </x:c>
      <x:c r="I2533" s="5" t="str">
        <x:v>Commercial Registries &amp; TOPRA Directory</x:v>
      </x:c>
      <x:c r="J2533" s="5" t="str">
        <x:v>SOURCE QUOTE; unvalidated / superseded assessments</x:v>
      </x:c>
      <x:c r="L2533" s="31" t="str">
        <x:v>D08, Markdown line 251; http://nas-1.tail55d152.ts.net:4100/static/NORDIC_MEDTECH_COMPETITIVE_LANDSCAPE_AND_PEER_DOSSIER.html</x:v>
      </x:c>
    </x:row>
    <x:row r="2534" ht="42" customHeight="1">
      <x:c r="A2534" s="5" t="str">
        <x:v>D08</x:v>
      </x:c>
      <x:c r="B2534" s="5" t="str">
        <x:v>D08-T03</x:v>
      </x:c>
      <x:c r="C2534" s="5" t="str">
        <x:v>9. NATO STANAG Admiralty Protocol Verification Matrix ($\ge$ B2)</x:v>
      </x:c>
      <x:c r="D2534" s="5" t="n">
        <x:v>251</x:v>
      </x:c>
      <x:c r="E2534" s="5" t="n">
        <x:v>5</x:v>
      </x:c>
      <x:c r="F2534" s="5" t="str">
        <x:v>Source Reliability</x:v>
      </x:c>
      <x:c r="G2534" s="5" t="n">
        <x:v>1</x:v>
      </x:c>
      <x:c r="H2534" s="5" t="n">
        <x:v>1</x:v>
      </x:c>
      <x:c r="I2534" s="5" t="str">
        <x:v>B</x:v>
      </x:c>
      <x:c r="J2534" s="5" t="str">
        <x:v>SOURCE QUOTE; unvalidated / superseded assessments</x:v>
      </x:c>
      <x:c r="L2534" s="31" t="str">
        <x:v>D08, Markdown line 251; http://nas-1.tail55d152.ts.net:4100/static/NORDIC_MEDTECH_COMPETITIVE_LANDSCAPE_AND_PEER_DOSSIER.html</x:v>
      </x:c>
    </x:row>
    <x:row r="2535" ht="42" customHeight="1">
      <x:c r="A2535" s="5" t="str">
        <x:v>D08</x:v>
      </x:c>
      <x:c r="B2535" s="5" t="str">
        <x:v>D08-T03</x:v>
      </x:c>
      <x:c r="C2535" s="5" t="str">
        <x:v>9. NATO STANAG Admiralty Protocol Verification Matrix ($\ge$ B2)</x:v>
      </x:c>
      <x:c r="D2535" s="5" t="n">
        <x:v>251</x:v>
      </x:c>
      <x:c r="E2535" s="5" t="n">
        <x:v>6</x:v>
      </x:c>
      <x:c r="F2535" s="5" t="str">
        <x:v>Info Credibility</x:v>
      </x:c>
      <x:c r="G2535" s="5" t="n">
        <x:v>1</x:v>
      </x:c>
      <x:c r="H2535" s="5" t="n">
        <x:v>1</x:v>
      </x:c>
      <x:c r="I2535" s="5" t="str">
        <x:v>2</x:v>
      </x:c>
      <x:c r="J2535" s="5" t="str">
        <x:v>SOURCE QUOTE; unvalidated / superseded assessments</x:v>
      </x:c>
      <x:c r="L2535" s="31" t="str">
        <x:v>D08, Markdown line 251; http://nas-1.tail55d152.ts.net:4100/static/NORDIC_MEDTECH_COMPETITIVE_LANDSCAPE_AND_PEER_DOSSIER.html</x:v>
      </x:c>
    </x:row>
    <x:row r="2536" ht="42" customHeight="1">
      <x:c r="A2536" s="5" t="str">
        <x:v>D08</x:v>
      </x:c>
      <x:c r="B2536" s="5" t="str">
        <x:v>D08-T03</x:v>
      </x:c>
      <x:c r="C2536" s="5" t="str">
        <x:v>9. NATO STANAG Admiralty Protocol Verification Matrix ($\ge$ B2)</x:v>
      </x:c>
      <x:c r="D2536" s="5" t="n">
        <x:v>251</x:v>
      </x:c>
      <x:c r="E2536" s="5" t="n">
        <x:v>7</x:v>
      </x:c>
      <x:c r="F2536" s="5" t="str">
        <x:v>Admiralty Rating</x:v>
      </x:c>
      <x:c r="G2536" s="5" t="n">
        <x:v>1</x:v>
      </x:c>
      <x:c r="H2536" s="5" t="n">
        <x:v>1</x:v>
      </x:c>
      <x:c r="I2536" s="5" t="str">
        <x:v>B2</x:v>
      </x:c>
      <x:c r="J2536" s="5" t="str">
        <x:v>SOURCE QUOTE; unvalidated / superseded assessments</x:v>
      </x:c>
      <x:c r="L2536" s="31" t="str">
        <x:v>D08, Markdown line 251; http://nas-1.tail55d152.ts.net:4100/static/NORDIC_MEDTECH_COMPETITIVE_LANDSCAPE_AND_PEER_DOSSIER.html</x:v>
      </x:c>
    </x:row>
    <x:row r="2537" ht="42" customHeight="1">
      <x:c r="A2537" s="5" t="str">
        <x:v>D08</x:v>
      </x:c>
      <x:c r="B2537" s="5" t="str">
        <x:v>D08-T03</x:v>
      </x:c>
      <x:c r="C2537" s="5" t="str">
        <x:v>9. NATO STANAG Admiralty Protocol Verification Matrix ($\ge$ B2)</x:v>
      </x:c>
      <x:c r="D2537" s="5" t="n">
        <x:v>251</x:v>
      </x:c>
      <x:c r="E2537" s="5" t="n">
        <x:v>8</x:v>
      </x:c>
      <x:c r="F2537" s="5" t="str">
        <x:v>Actionable Strategic Insight</x:v>
      </x:c>
      <x:c r="G2537" s="5" t="n">
        <x:v>1</x:v>
      </x:c>
      <x:c r="H2537" s="5" t="n">
        <x:v>1</x:v>
      </x:c>
      <x:c r="I2537" s="5" t="str">
        <x:v>Regulatory operations outsourcing; focuses on volume document migration rather than high-tech SaMD.</x:v>
      </x:c>
      <x:c r="J2537" s="5" t="str">
        <x:v>SOURCE QUOTE; unvalidated / superseded assessments</x:v>
      </x:c>
      <x:c r="L2537" s="31" t="str">
        <x:v>D08, Markdown line 251; http://nas-1.tail55d152.ts.net:4100/static/NORDIC_MEDTECH_COMPETITIVE_LANDSCAPE_AND_PEER_DOSSIER.html</x:v>
      </x:c>
    </x:row>
    <x:row r="2538" ht="42" customHeight="1">
      <x:c r="A2538" s="5" t="str">
        <x:v>D08</x:v>
      </x:c>
      <x:c r="B2538" s="5" t="str">
        <x:v>D08-T03</x:v>
      </x:c>
      <x:c r="C2538" s="5" t="str">
        <x:v>9. NATO STANAG Admiralty Protocol Verification Matrix ($\ge$ B2)</x:v>
      </x:c>
      <x:c r="D2538" s="5" t="n">
        <x:v>252</x:v>
      </x:c>
      <x:c r="E2538" s="5" t="n">
        <x:v>1</x:v>
      </x:c>
      <x:c r="F2538" s="5" t="str">
        <x:v>Peer Consultancy</x:v>
      </x:c>
      <x:c r="G2538" s="5" t="n">
        <x:v>1</x:v>
      </x:c>
      <x:c r="H2538" s="5" t="n">
        <x:v>1</x:v>
      </x:c>
      <x:c r="I2538" s="5" t="str">
        <x:v>Sirona Health</x:v>
      </x:c>
      <x:c r="J2538" s="5" t="str">
        <x:v>SOURCE QUOTE; unvalidated / superseded assessments</x:v>
      </x:c>
      <x:c r="L2538" s="31" t="str">
        <x:v>D08, Markdown line 252; http://nas-1.tail55d152.ts.net:4100/static/NORDIC_MEDTECH_COMPETITIVE_LANDSCAPE_AND_PEER_DOSSIER.html</x:v>
      </x:c>
    </x:row>
    <x:row r="2539" ht="42" customHeight="1">
      <x:c r="A2539" s="5" t="str">
        <x:v>D08</x:v>
      </x:c>
      <x:c r="B2539" s="5" t="str">
        <x:v>D08-T03</x:v>
      </x:c>
      <x:c r="C2539" s="5" t="str">
        <x:v>9. NATO STANAG Admiralty Protocol Verification Matrix ($\ge$ B2)</x:v>
      </x:c>
      <x:c r="D2539" s="5" t="n">
        <x:v>252</x:v>
      </x:c>
      <x:c r="E2539" s="5" t="n">
        <x:v>2</x:v>
      </x:c>
      <x:c r="F2539" s="5" t="str">
        <x:v>Jurisdiction / Hub</x:v>
      </x:c>
      <x:c r="G2539" s="5" t="n">
        <x:v>1</x:v>
      </x:c>
      <x:c r="H2539" s="5" t="n">
        <x:v>1</x:v>
      </x:c>
      <x:c r="I2539" s="5" t="str">
        <x:v>Stockholm / CPH</x:v>
      </x:c>
      <x:c r="J2539" s="5" t="str">
        <x:v>SOURCE QUOTE; unvalidated / superseded assessments</x:v>
      </x:c>
      <x:c r="L2539" s="31" t="str">
        <x:v>D08, Markdown line 252; http://nas-1.tail55d152.ts.net:4100/static/NORDIC_MEDTECH_COMPETITIVE_LANDSCAPE_AND_PEER_DOSSIER.html</x:v>
      </x:c>
    </x:row>
    <x:row r="2540" ht="42" customHeight="1">
      <x:c r="A2540" s="5" t="str">
        <x:v>D08</x:v>
      </x:c>
      <x:c r="B2540" s="5" t="str">
        <x:v>D08-T03</x:v>
      </x:c>
      <x:c r="C2540" s="5" t="str">
        <x:v>9. NATO STANAG Admiralty Protocol Verification Matrix ($\ge$ B2)</x:v>
      </x:c>
      <x:c r="D2540" s="5" t="n">
        <x:v>252</x:v>
      </x:c>
      <x:c r="E2540" s="5" t="n">
        <x:v>3</x:v>
      </x:c>
      <x:c r="F2540" s="5" t="str">
        <x:v>Evaluated Headcount &amp; Reach</x:v>
      </x:c>
      <x:c r="G2540" s="5" t="n">
        <x:v>1</x:v>
      </x:c>
      <x:c r="H2540" s="5" t="n">
        <x:v>1</x:v>
      </x:c>
      <x:c r="I2540" s="5" t="str">
        <x:v>~40 consultants</x:v>
      </x:c>
      <x:c r="J2540" s="5" t="str">
        <x:v>SOURCE QUOTE; unvalidated / superseded assessments</x:v>
      </x:c>
      <x:c r="L2540" s="31" t="str">
        <x:v>D08, Markdown line 252; http://nas-1.tail55d152.ts.net:4100/static/NORDIC_MEDTECH_COMPETITIVE_LANDSCAPE_AND_PEER_DOSSIER.html</x:v>
      </x:c>
    </x:row>
    <x:row r="2541" ht="42" customHeight="1">
      <x:c r="A2541" s="5" t="str">
        <x:v>D08</x:v>
      </x:c>
      <x:c r="B2541" s="5" t="str">
        <x:v>D08-T03</x:v>
      </x:c>
      <x:c r="C2541" s="5" t="str">
        <x:v>9. NATO STANAG Admiralty Protocol Verification Matrix ($\ge$ B2)</x:v>
      </x:c>
      <x:c r="D2541" s="5" t="n">
        <x:v>252</x:v>
      </x:c>
      <x:c r="E2541" s="5" t="n">
        <x:v>4</x:v>
      </x:c>
      <x:c r="F2541" s="5" t="str">
        <x:v>Primary Intelligence Source</x:v>
      </x:c>
      <x:c r="G2541" s="5" t="n">
        <x:v>1</x:v>
      </x:c>
      <x:c r="H2541" s="5" t="n">
        <x:v>1</x:v>
      </x:c>
      <x:c r="I2541" s="5" t="str">
        <x:v>Bolagsverket filings &amp; Public Health Tenders</x:v>
      </x:c>
      <x:c r="J2541" s="5" t="str">
        <x:v>SOURCE QUOTE; unvalidated / superseded assessments</x:v>
      </x:c>
      <x:c r="L2541" s="31" t="str">
        <x:v>D08, Markdown line 252; http://nas-1.tail55d152.ts.net:4100/static/NORDIC_MEDTECH_COMPETITIVE_LANDSCAPE_AND_PEER_DOSSIER.html</x:v>
      </x:c>
    </x:row>
    <x:row r="2542" ht="42" customHeight="1">
      <x:c r="A2542" s="5" t="str">
        <x:v>D08</x:v>
      </x:c>
      <x:c r="B2542" s="5" t="str">
        <x:v>D08-T03</x:v>
      </x:c>
      <x:c r="C2542" s="5" t="str">
        <x:v>9. NATO STANAG Admiralty Protocol Verification Matrix ($\ge$ B2)</x:v>
      </x:c>
      <x:c r="D2542" s="5" t="n">
        <x:v>252</x:v>
      </x:c>
      <x:c r="E2542" s="5" t="n">
        <x:v>5</x:v>
      </x:c>
      <x:c r="F2542" s="5" t="str">
        <x:v>Source Reliability</x:v>
      </x:c>
      <x:c r="G2542" s="5" t="n">
        <x:v>1</x:v>
      </x:c>
      <x:c r="H2542" s="5" t="n">
        <x:v>1</x:v>
      </x:c>
      <x:c r="I2542" s="5" t="str">
        <x:v>B</x:v>
      </x:c>
      <x:c r="J2542" s="5" t="str">
        <x:v>SOURCE QUOTE; unvalidated / superseded assessments</x:v>
      </x:c>
      <x:c r="L2542" s="31" t="str">
        <x:v>D08, Markdown line 252; http://nas-1.tail55d152.ts.net:4100/static/NORDIC_MEDTECH_COMPETITIVE_LANDSCAPE_AND_PEER_DOSSIER.html</x:v>
      </x:c>
    </x:row>
    <x:row r="2543" ht="42" customHeight="1">
      <x:c r="A2543" s="5" t="str">
        <x:v>D08</x:v>
      </x:c>
      <x:c r="B2543" s="5" t="str">
        <x:v>D08-T03</x:v>
      </x:c>
      <x:c r="C2543" s="5" t="str">
        <x:v>9. NATO STANAG Admiralty Protocol Verification Matrix ($\ge$ B2)</x:v>
      </x:c>
      <x:c r="D2543" s="5" t="n">
        <x:v>252</x:v>
      </x:c>
      <x:c r="E2543" s="5" t="n">
        <x:v>6</x:v>
      </x:c>
      <x:c r="F2543" s="5" t="str">
        <x:v>Info Credibility</x:v>
      </x:c>
      <x:c r="G2543" s="5" t="n">
        <x:v>1</x:v>
      </x:c>
      <x:c r="H2543" s="5" t="n">
        <x:v>1</x:v>
      </x:c>
      <x:c r="I2543" s="5" t="str">
        <x:v>2</x:v>
      </x:c>
      <x:c r="J2543" s="5" t="str">
        <x:v>SOURCE QUOTE; unvalidated / superseded assessments</x:v>
      </x:c>
      <x:c r="L2543" s="31" t="str">
        <x:v>D08, Markdown line 252; http://nas-1.tail55d152.ts.net:4100/static/NORDIC_MEDTECH_COMPETITIVE_LANDSCAPE_AND_PEER_DOSSIER.html</x:v>
      </x:c>
    </x:row>
    <x:row r="2544" ht="42" customHeight="1">
      <x:c r="A2544" s="5" t="str">
        <x:v>D08</x:v>
      </x:c>
      <x:c r="B2544" s="5" t="str">
        <x:v>D08-T03</x:v>
      </x:c>
      <x:c r="C2544" s="5" t="str">
        <x:v>9. NATO STANAG Admiralty Protocol Verification Matrix ($\ge$ B2)</x:v>
      </x:c>
      <x:c r="D2544" s="5" t="n">
        <x:v>252</x:v>
      </x:c>
      <x:c r="E2544" s="5" t="n">
        <x:v>7</x:v>
      </x:c>
      <x:c r="F2544" s="5" t="str">
        <x:v>Admiralty Rating</x:v>
      </x:c>
      <x:c r="G2544" s="5" t="n">
        <x:v>1</x:v>
      </x:c>
      <x:c r="H2544" s="5" t="n">
        <x:v>1</x:v>
      </x:c>
      <x:c r="I2544" s="5" t="str">
        <x:v>B2</x:v>
      </x:c>
      <x:c r="J2544" s="5" t="str">
        <x:v>SOURCE QUOTE; unvalidated / superseded assessments</x:v>
      </x:c>
      <x:c r="L2544" s="31" t="str">
        <x:v>D08, Markdown line 252; http://nas-1.tail55d152.ts.net:4100/static/NORDIC_MEDTECH_COMPETITIVE_LANDSCAPE_AND_PEER_DOSSIER.html</x:v>
      </x:c>
    </x:row>
    <x:row r="2545" ht="42" customHeight="1">
      <x:c r="A2545" s="5" t="str">
        <x:v>D08</x:v>
      </x:c>
      <x:c r="B2545" s="5" t="str">
        <x:v>D08-T03</x:v>
      </x:c>
      <x:c r="C2545" s="5" t="str">
        <x:v>9. NATO STANAG Admiralty Protocol Verification Matrix ($\ge$ B2)</x:v>
      </x:c>
      <x:c r="D2545" s="5" t="n">
        <x:v>252</x:v>
      </x:c>
      <x:c r="E2545" s="5" t="n">
        <x:v>8</x:v>
      </x:c>
      <x:c r="F2545" s="5" t="str">
        <x:v>Actionable Strategic Insight</x:v>
      </x:c>
      <x:c r="G2545" s="5" t="n">
        <x:v>1</x:v>
      </x:c>
      <x:c r="H2545" s="5" t="n">
        <x:v>1</x:v>
      </x:c>
      <x:c r="I2545" s="5" t="str">
        <x:v>Health economics specialists; strong in policy but lack technical software engineering capabilities.</x:v>
      </x:c>
      <x:c r="J2545" s="5" t="str">
        <x:v>SOURCE QUOTE; unvalidated / superseded assessments</x:v>
      </x:c>
      <x:c r="L2545" s="31" t="str">
        <x:v>D08, Markdown line 252; http://nas-1.tail55d152.ts.net:4100/static/NORDIC_MEDTECH_COMPETITIVE_LANDSCAPE_AND_PEER_DOSSIER.html</x:v>
      </x:c>
    </x:row>
    <x:row r="2546" ht="42" customHeight="1">
      <x:c r="A2546" s="5" t="str">
        <x:v>D08</x:v>
      </x:c>
      <x:c r="B2546" s="5" t="str">
        <x:v>D08-T03</x:v>
      </x:c>
      <x:c r="C2546" s="5" t="str">
        <x:v>9. NATO STANAG Admiralty Protocol Verification Matrix ($\ge$ B2)</x:v>
      </x:c>
      <x:c r="D2546" s="5" t="n">
        <x:v>253</x:v>
      </x:c>
      <x:c r="E2546" s="5" t="n">
        <x:v>1</x:v>
      </x:c>
      <x:c r="F2546" s="5" t="str">
        <x:v>Peer Consultancy</x:v>
      </x:c>
      <x:c r="G2546" s="5" t="n">
        <x:v>1</x:v>
      </x:c>
      <x:c r="H2546" s="5" t="n">
        <x:v>1</x:v>
      </x:c>
      <x:c r="I2546" s="5" t="str">
        <x:v>Key2Compliance</x:v>
      </x:c>
      <x:c r="J2546" s="5" t="str">
        <x:v>SOURCE QUOTE; unvalidated / superseded assessments</x:v>
      </x:c>
      <x:c r="L2546" s="31" t="str">
        <x:v>D08, Markdown line 253; http://nas-1.tail55d152.ts.net:4100/static/NORDIC_MEDTECH_COMPETITIVE_LANDSCAPE_AND_PEER_DOSSIER.html</x:v>
      </x:c>
    </x:row>
    <x:row r="2547" ht="42" customHeight="1">
      <x:c r="A2547" s="5" t="str">
        <x:v>D08</x:v>
      </x:c>
      <x:c r="B2547" s="5" t="str">
        <x:v>D08-T03</x:v>
      </x:c>
      <x:c r="C2547" s="5" t="str">
        <x:v>9. NATO STANAG Admiralty Protocol Verification Matrix ($\ge$ B2)</x:v>
      </x:c>
      <x:c r="D2547" s="5" t="n">
        <x:v>253</x:v>
      </x:c>
      <x:c r="E2547" s="5" t="n">
        <x:v>2</x:v>
      </x:c>
      <x:c r="F2547" s="5" t="str">
        <x:v>Jurisdiction / Hub</x:v>
      </x:c>
      <x:c r="G2547" s="5" t="n">
        <x:v>1</x:v>
      </x:c>
      <x:c r="H2547" s="5" t="n">
        <x:v>1</x:v>
      </x:c>
      <x:c r="I2547" s="5" t="str">
        <x:v>Stockholm / Lund, SE</x:v>
      </x:c>
      <x:c r="J2547" s="5" t="str">
        <x:v>SOURCE QUOTE; unvalidated / superseded assessments</x:v>
      </x:c>
      <x:c r="L2547" s="31" t="str">
        <x:v>D08, Markdown line 253; http://nas-1.tail55d152.ts.net:4100/static/NORDIC_MEDTECH_COMPETITIVE_LANDSCAPE_AND_PEER_DOSSIER.html</x:v>
      </x:c>
    </x:row>
    <x:row r="2548" ht="42" customHeight="1">
      <x:c r="A2548" s="5" t="str">
        <x:v>D08</x:v>
      </x:c>
      <x:c r="B2548" s="5" t="str">
        <x:v>D08-T03</x:v>
      </x:c>
      <x:c r="C2548" s="5" t="str">
        <x:v>9. NATO STANAG Admiralty Protocol Verification Matrix ($\ge$ B2)</x:v>
      </x:c>
      <x:c r="D2548" s="5" t="n">
        <x:v>253</x:v>
      </x:c>
      <x:c r="E2548" s="5" t="n">
        <x:v>3</x:v>
      </x:c>
      <x:c r="F2548" s="5" t="str">
        <x:v>Evaluated Headcount &amp; Reach</x:v>
      </x:c>
      <x:c r="G2548" s="5" t="n">
        <x:v>1</x:v>
      </x:c>
      <x:c r="H2548" s="5" t="n">
        <x:v>1</x:v>
      </x:c>
      <x:c r="I2548" s="5" t="str">
        <x:v>~80 consultants</x:v>
      </x:c>
      <x:c r="J2548" s="5" t="str">
        <x:v>SOURCE QUOTE; unvalidated / superseded assessments</x:v>
      </x:c>
      <x:c r="L2548" s="31" t="str">
        <x:v>D08, Markdown line 253; http://nas-1.tail55d152.ts.net:4100/static/NORDIC_MEDTECH_COMPETITIVE_LANDSCAPE_AND_PEER_DOSSIER.html</x:v>
      </x:c>
    </x:row>
    <x:row r="2549" ht="42" customHeight="1">
      <x:c r="A2549" s="5" t="str">
        <x:v>D08</x:v>
      </x:c>
      <x:c r="B2549" s="5" t="str">
        <x:v>D08-T03</x:v>
      </x:c>
      <x:c r="C2549" s="5" t="str">
        <x:v>9. NATO STANAG Admiralty Protocol Verification Matrix ($\ge$ B2)</x:v>
      </x:c>
      <x:c r="D2549" s="5" t="n">
        <x:v>253</x:v>
      </x:c>
      <x:c r="E2549" s="5" t="n">
        <x:v>4</x:v>
      </x:c>
      <x:c r="F2549" s="5" t="str">
        <x:v>Primary Intelligence Source</x:v>
      </x:c>
      <x:c r="G2549" s="5" t="n">
        <x:v>1</x:v>
      </x:c>
      <x:c r="H2549" s="5" t="n">
        <x:v>1</x:v>
      </x:c>
      <x:c r="I2549" s="5" t="str">
        <x:v>Bolagsverket filings &amp; SIS Standards Board</x:v>
      </x:c>
      <x:c r="J2549" s="5" t="str">
        <x:v>SOURCE QUOTE; unvalidated / superseded assessments</x:v>
      </x:c>
      <x:c r="L2549" s="31" t="str">
        <x:v>D08, Markdown line 253; http://nas-1.tail55d152.ts.net:4100/static/NORDIC_MEDTECH_COMPETITIVE_LANDSCAPE_AND_PEER_DOSSIER.html</x:v>
      </x:c>
    </x:row>
    <x:row r="2550" ht="42" customHeight="1">
      <x:c r="A2550" s="5" t="str">
        <x:v>D08</x:v>
      </x:c>
      <x:c r="B2550" s="5" t="str">
        <x:v>D08-T03</x:v>
      </x:c>
      <x:c r="C2550" s="5" t="str">
        <x:v>9. NATO STANAG Admiralty Protocol Verification Matrix ($\ge$ B2)</x:v>
      </x:c>
      <x:c r="D2550" s="5" t="n">
        <x:v>253</x:v>
      </x:c>
      <x:c r="E2550" s="5" t="n">
        <x:v>5</x:v>
      </x:c>
      <x:c r="F2550" s="5" t="str">
        <x:v>Source Reliability</x:v>
      </x:c>
      <x:c r="G2550" s="5" t="n">
        <x:v>1</x:v>
      </x:c>
      <x:c r="H2550" s="5" t="n">
        <x:v>1</x:v>
      </x:c>
      <x:c r="I2550" s="5" t="str">
        <x:v>B</x:v>
      </x:c>
      <x:c r="J2550" s="5" t="str">
        <x:v>SOURCE QUOTE; unvalidated / superseded assessments</x:v>
      </x:c>
      <x:c r="L2550" s="31" t="str">
        <x:v>D08, Markdown line 253; http://nas-1.tail55d152.ts.net:4100/static/NORDIC_MEDTECH_COMPETITIVE_LANDSCAPE_AND_PEER_DOSSIER.html</x:v>
      </x:c>
    </x:row>
    <x:row r="2551" ht="42" customHeight="1">
      <x:c r="A2551" s="5" t="str">
        <x:v>D08</x:v>
      </x:c>
      <x:c r="B2551" s="5" t="str">
        <x:v>D08-T03</x:v>
      </x:c>
      <x:c r="C2551" s="5" t="str">
        <x:v>9. NATO STANAG Admiralty Protocol Verification Matrix ($\ge$ B2)</x:v>
      </x:c>
      <x:c r="D2551" s="5" t="n">
        <x:v>253</x:v>
      </x:c>
      <x:c r="E2551" s="5" t="n">
        <x:v>6</x:v>
      </x:c>
      <x:c r="F2551" s="5" t="str">
        <x:v>Info Credibility</x:v>
      </x:c>
      <x:c r="G2551" s="5" t="n">
        <x:v>1</x:v>
      </x:c>
      <x:c r="H2551" s="5" t="n">
        <x:v>1</x:v>
      </x:c>
      <x:c r="I2551" s="5" t="str">
        <x:v>2</x:v>
      </x:c>
      <x:c r="J2551" s="5" t="str">
        <x:v>SOURCE QUOTE; unvalidated / superseded assessments</x:v>
      </x:c>
      <x:c r="L2551" s="31" t="str">
        <x:v>D08, Markdown line 253; http://nas-1.tail55d152.ts.net:4100/static/NORDIC_MEDTECH_COMPETITIVE_LANDSCAPE_AND_PEER_DOSSIER.html</x:v>
      </x:c>
    </x:row>
    <x:row r="2552" ht="42" customHeight="1">
      <x:c r="A2552" s="5" t="str">
        <x:v>D08</x:v>
      </x:c>
      <x:c r="B2552" s="5" t="str">
        <x:v>D08-T03</x:v>
      </x:c>
      <x:c r="C2552" s="5" t="str">
        <x:v>9. NATO STANAG Admiralty Protocol Verification Matrix ($\ge$ B2)</x:v>
      </x:c>
      <x:c r="D2552" s="5" t="n">
        <x:v>253</x:v>
      </x:c>
      <x:c r="E2552" s="5" t="n">
        <x:v>7</x:v>
      </x:c>
      <x:c r="F2552" s="5" t="str">
        <x:v>Admiralty Rating</x:v>
      </x:c>
      <x:c r="G2552" s="5" t="n">
        <x:v>1</x:v>
      </x:c>
      <x:c r="H2552" s="5" t="n">
        <x:v>1</x:v>
      </x:c>
      <x:c r="I2552" s="5" t="str">
        <x:v>B2</x:v>
      </x:c>
      <x:c r="J2552" s="5" t="str">
        <x:v>SOURCE QUOTE; unvalidated / superseded assessments</x:v>
      </x:c>
      <x:c r="L2552" s="31" t="str">
        <x:v>D08, Markdown line 253; http://nas-1.tail55d152.ts.net:4100/static/NORDIC_MEDTECH_COMPETITIVE_LANDSCAPE_AND_PEER_DOSSIER.html</x:v>
      </x:c>
    </x:row>
    <x:row r="2553" ht="42" customHeight="1">
      <x:c r="A2553" s="5" t="str">
        <x:v>D08</x:v>
      </x:c>
      <x:c r="B2553" s="5" t="str">
        <x:v>D08-T03</x:v>
      </x:c>
      <x:c r="C2553" s="5" t="str">
        <x:v>9. NATO STANAG Admiralty Protocol Verification Matrix ($\ge$ B2)</x:v>
      </x:c>
      <x:c r="D2553" s="5" t="n">
        <x:v>253</x:v>
      </x:c>
      <x:c r="E2553" s="5" t="n">
        <x:v>8</x:v>
      </x:c>
      <x:c r="F2553" s="5" t="str">
        <x:v>Actionable Strategic Insight</x:v>
      </x:c>
      <x:c r="G2553" s="5" t="n">
        <x:v>1</x:v>
      </x:c>
      <x:c r="H2553" s="5" t="n">
        <x:v>1</x:v>
      </x:c>
      <x:c r="I2553" s="5" t="str">
        <x:v>Renowned training academy; high goodwill. Mutual referral partner for advanced algorithmic software audits.</x:v>
      </x:c>
      <x:c r="J2553" s="5" t="str">
        <x:v>SOURCE QUOTE; unvalidated / superseded assessments</x:v>
      </x:c>
      <x:c r="L2553" s="31" t="str">
        <x:v>D08, Markdown line 253; http://nas-1.tail55d152.ts.net:4100/static/NORDIC_MEDTECH_COMPETITIVE_LANDSCAPE_AND_PEER_DOSSIER.html</x:v>
      </x:c>
    </x:row>
    <x:row r="2554" ht="42" customHeight="1">
      <x:c r="A2554" s="5" t="str">
        <x:v>D08</x:v>
      </x:c>
      <x:c r="B2554" s="5" t="str">
        <x:v>D08-T03</x:v>
      </x:c>
      <x:c r="C2554" s="5" t="str">
        <x:v>9. NATO STANAG Admiralty Protocol Verification Matrix ($\ge$ B2)</x:v>
      </x:c>
      <x:c r="D2554" s="5" t="n">
        <x:v>254</x:v>
      </x:c>
      <x:c r="E2554" s="5" t="n">
        <x:v>1</x:v>
      </x:c>
      <x:c r="F2554" s="5" t="str">
        <x:v>Peer Consultancy</x:v>
      </x:c>
      <x:c r="G2554" s="5" t="n">
        <x:v>1</x:v>
      </x:c>
      <x:c r="H2554" s="5" t="n">
        <x:v>1</x:v>
      </x:c>
      <x:c r="I2554" s="5" t="str">
        <x:v>Syntagon AB</x:v>
      </x:c>
      <x:c r="J2554" s="5" t="str">
        <x:v>SOURCE QUOTE; unvalidated / superseded assessments</x:v>
      </x:c>
      <x:c r="L2554" s="31" t="str">
        <x:v>D08, Markdown line 254; http://nas-1.tail55d152.ts.net:4100/static/NORDIC_MEDTECH_COMPETITIVE_LANDSCAPE_AND_PEER_DOSSIER.html</x:v>
      </x:c>
    </x:row>
    <x:row r="2555" ht="42" customHeight="1">
      <x:c r="A2555" s="5" t="str">
        <x:v>D08</x:v>
      </x:c>
      <x:c r="B2555" s="5" t="str">
        <x:v>D08-T03</x:v>
      </x:c>
      <x:c r="C2555" s="5" t="str">
        <x:v>9. NATO STANAG Admiralty Protocol Verification Matrix ($\ge$ B2)</x:v>
      </x:c>
      <x:c r="D2555" s="5" t="n">
        <x:v>254</x:v>
      </x:c>
      <x:c r="E2555" s="5" t="n">
        <x:v>2</x:v>
      </x:c>
      <x:c r="F2555" s="5" t="str">
        <x:v>Jurisdiction / Hub</x:v>
      </x:c>
      <x:c r="G2555" s="5" t="n">
        <x:v>1</x:v>
      </x:c>
      <x:c r="H2555" s="5" t="n">
        <x:v>1</x:v>
      </x:c>
      <x:c r="I2555" s="5" t="str">
        <x:v>Södertälje, SE</x:v>
      </x:c>
      <x:c r="J2555" s="5" t="str">
        <x:v>SOURCE QUOTE; unvalidated / superseded assessments</x:v>
      </x:c>
      <x:c r="L2555" s="31" t="str">
        <x:v>D08, Markdown line 254; http://nas-1.tail55d152.ts.net:4100/static/NORDIC_MEDTECH_COMPETITIVE_LANDSCAPE_AND_PEER_DOSSIER.html</x:v>
      </x:c>
    </x:row>
    <x:row r="2556" ht="42" customHeight="1">
      <x:c r="A2556" s="5" t="str">
        <x:v>D08</x:v>
      </x:c>
      <x:c r="B2556" s="5" t="str">
        <x:v>D08-T03</x:v>
      </x:c>
      <x:c r="C2556" s="5" t="str">
        <x:v>9. NATO STANAG Admiralty Protocol Verification Matrix ($\ge$ B2)</x:v>
      </x:c>
      <x:c r="D2556" s="5" t="n">
        <x:v>254</x:v>
      </x:c>
      <x:c r="E2556" s="5" t="n">
        <x:v>3</x:v>
      </x:c>
      <x:c r="F2556" s="5" t="str">
        <x:v>Evaluated Headcount &amp; Reach</x:v>
      </x:c>
      <x:c r="G2556" s="5" t="n">
        <x:v>1</x:v>
      </x:c>
      <x:c r="H2556" s="5" t="n">
        <x:v>1</x:v>
      </x:c>
      <x:c r="I2556" s="5" t="str">
        <x:v>~45 specialists</x:v>
      </x:c>
      <x:c r="J2556" s="5" t="str">
        <x:v>SOURCE QUOTE; unvalidated / superseded assessments</x:v>
      </x:c>
      <x:c r="L2556" s="31" t="str">
        <x:v>D08, Markdown line 254; http://nas-1.tail55d152.ts.net:4100/static/NORDIC_MEDTECH_COMPETITIVE_LANDSCAPE_AND_PEER_DOSSIER.html</x:v>
      </x:c>
    </x:row>
    <x:row r="2557" ht="42" customHeight="1">
      <x:c r="A2557" s="5" t="str">
        <x:v>D08</x:v>
      </x:c>
      <x:c r="B2557" s="5" t="str">
        <x:v>D08-T03</x:v>
      </x:c>
      <x:c r="C2557" s="5" t="str">
        <x:v>9. NATO STANAG Admiralty Protocol Verification Matrix ($\ge$ B2)</x:v>
      </x:c>
      <x:c r="D2557" s="5" t="n">
        <x:v>254</x:v>
      </x:c>
      <x:c r="E2557" s="5" t="n">
        <x:v>4</x:v>
      </x:c>
      <x:c r="F2557" s="5" t="str">
        <x:v>Primary Intelligence Source</x:v>
      </x:c>
      <x:c r="G2557" s="5" t="n">
        <x:v>1</x:v>
      </x:c>
      <x:c r="H2557" s="5" t="n">
        <x:v>1</x:v>
      </x:c>
      <x:c r="I2557" s="5" t="str">
        <x:v>Bolagsverket filings &amp; European Chemistry Registries</x:v>
      </x:c>
      <x:c r="J2557" s="5" t="str">
        <x:v>SOURCE QUOTE; unvalidated / superseded assessments</x:v>
      </x:c>
      <x:c r="L2557" s="31" t="str">
        <x:v>D08, Markdown line 254; http://nas-1.tail55d152.ts.net:4100/static/NORDIC_MEDTECH_COMPETITIVE_LANDSCAPE_AND_PEER_DOSSIER.html</x:v>
      </x:c>
    </x:row>
    <x:row r="2558" ht="42" customHeight="1">
      <x:c r="A2558" s="5" t="str">
        <x:v>D08</x:v>
      </x:c>
      <x:c r="B2558" s="5" t="str">
        <x:v>D08-T03</x:v>
      </x:c>
      <x:c r="C2558" s="5" t="str">
        <x:v>9. NATO STANAG Admiralty Protocol Verification Matrix ($\ge$ B2)</x:v>
      </x:c>
      <x:c r="D2558" s="5" t="n">
        <x:v>254</x:v>
      </x:c>
      <x:c r="E2558" s="5" t="n">
        <x:v>5</x:v>
      </x:c>
      <x:c r="F2558" s="5" t="str">
        <x:v>Source Reliability</x:v>
      </x:c>
      <x:c r="G2558" s="5" t="n">
        <x:v>1</x:v>
      </x:c>
      <x:c r="H2558" s="5" t="n">
        <x:v>1</x:v>
      </x:c>
      <x:c r="I2558" s="5" t="str">
        <x:v>B</x:v>
      </x:c>
      <x:c r="J2558" s="5" t="str">
        <x:v>SOURCE QUOTE; unvalidated / superseded assessments</x:v>
      </x:c>
      <x:c r="L2558" s="31" t="str">
        <x:v>D08, Markdown line 254; http://nas-1.tail55d152.ts.net:4100/static/NORDIC_MEDTECH_COMPETITIVE_LANDSCAPE_AND_PEER_DOSSIER.html</x:v>
      </x:c>
    </x:row>
    <x:row r="2559" ht="42" customHeight="1">
      <x:c r="A2559" s="5" t="str">
        <x:v>D08</x:v>
      </x:c>
      <x:c r="B2559" s="5" t="str">
        <x:v>D08-T03</x:v>
      </x:c>
      <x:c r="C2559" s="5" t="str">
        <x:v>9. NATO STANAG Admiralty Protocol Verification Matrix ($\ge$ B2)</x:v>
      </x:c>
      <x:c r="D2559" s="5" t="n">
        <x:v>254</x:v>
      </x:c>
      <x:c r="E2559" s="5" t="n">
        <x:v>6</x:v>
      </x:c>
      <x:c r="F2559" s="5" t="str">
        <x:v>Info Credibility</x:v>
      </x:c>
      <x:c r="G2559" s="5" t="n">
        <x:v>1</x:v>
      </x:c>
      <x:c r="H2559" s="5" t="n">
        <x:v>1</x:v>
      </x:c>
      <x:c r="I2559" s="5" t="str">
        <x:v>2</x:v>
      </x:c>
      <x:c r="J2559" s="5" t="str">
        <x:v>SOURCE QUOTE; unvalidated / superseded assessments</x:v>
      </x:c>
      <x:c r="L2559" s="31" t="str">
        <x:v>D08, Markdown line 254; http://nas-1.tail55d152.ts.net:4100/static/NORDIC_MEDTECH_COMPETITIVE_LANDSCAPE_AND_PEER_DOSSIER.html</x:v>
      </x:c>
    </x:row>
    <x:row r="2560" ht="42" customHeight="1">
      <x:c r="A2560" s="5" t="str">
        <x:v>D08</x:v>
      </x:c>
      <x:c r="B2560" s="5" t="str">
        <x:v>D08-T03</x:v>
      </x:c>
      <x:c r="C2560" s="5" t="str">
        <x:v>9. NATO STANAG Admiralty Protocol Verification Matrix ($\ge$ B2)</x:v>
      </x:c>
      <x:c r="D2560" s="5" t="n">
        <x:v>254</x:v>
      </x:c>
      <x:c r="E2560" s="5" t="n">
        <x:v>7</x:v>
      </x:c>
      <x:c r="F2560" s="5" t="str">
        <x:v>Admiralty Rating</x:v>
      </x:c>
      <x:c r="G2560" s="5" t="n">
        <x:v>1</x:v>
      </x:c>
      <x:c r="H2560" s="5" t="n">
        <x:v>1</x:v>
      </x:c>
      <x:c r="I2560" s="5" t="str">
        <x:v>B2</x:v>
      </x:c>
      <x:c r="J2560" s="5" t="str">
        <x:v>SOURCE QUOTE; unvalidated / superseded assessments</x:v>
      </x:c>
      <x:c r="L2560" s="31" t="str">
        <x:v>D08, Markdown line 254; http://nas-1.tail55d152.ts.net:4100/static/NORDIC_MEDTECH_COMPETITIVE_LANDSCAPE_AND_PEER_DOSSIER.html</x:v>
      </x:c>
    </x:row>
    <x:row r="2561" ht="42" customHeight="1">
      <x:c r="A2561" s="5" t="str">
        <x:v>D08</x:v>
      </x:c>
      <x:c r="B2561" s="5" t="str">
        <x:v>D08-T03</x:v>
      </x:c>
      <x:c r="C2561" s="5" t="str">
        <x:v>9. NATO STANAG Admiralty Protocol Verification Matrix ($\ge$ B2)</x:v>
      </x:c>
      <x:c r="D2561" s="5" t="n">
        <x:v>254</x:v>
      </x:c>
      <x:c r="E2561" s="5" t="n">
        <x:v>8</x:v>
      </x:c>
      <x:c r="F2561" s="5" t="str">
        <x:v>Actionable Strategic Insight</x:v>
      </x:c>
      <x:c r="G2561" s="5" t="n">
        <x:v>1</x:v>
      </x:c>
      <x:c r="H2561" s="5" t="n">
        <x:v>1</x:v>
      </x:c>
      <x:c r="I2561" s="5" t="str">
        <x:v>Early-stage API chemical synthesis; referral partner for clients progressing from preclinical chemistry to clinical trials.</x:v>
      </x:c>
      <x:c r="J2561" s="5" t="str">
        <x:v>SOURCE QUOTE; unvalidated / superseded assessments</x:v>
      </x:c>
      <x:c r="L2561" s="31" t="str">
        <x:v>D08, Markdown line 254; http://nas-1.tail55d152.ts.net:4100/static/NORDIC_MEDTECH_COMPETITIVE_LANDSCAPE_AND_PEER_DOSSIER.html</x:v>
      </x:c>
    </x:row>
  </x:sheetData>
  <x:mergeCells>
    <x:mergeCell ref="A2:J2"/>
    <x:mergeCell ref="A3:J3"/>
    <x:mergeCell ref="A4:J4"/>
  </x:mergeCells>
  <x:pageMargins left="0.7" right="0.7" top="0.75" bottom="0.75" header="0.3" footer="0.3"/>
  <x:tableParts count="1">
    <x:tablePart xmlns:r="http://schemas.openxmlformats.org/officeDocument/2006/relationships" r:id="Rd34ef48c2d894cfe"/>
  </x:tableParts>
</x:worksheet>
</file>

<file path=xl/worksheets/sheet14.xml><?xml version="1.0" encoding="utf-8"?>
<x:worksheet xmlns:x="http://schemas.openxmlformats.org/spreadsheetml/2006/main">
  <x:sheetPr>
    <x:tabColor rgb="FF1F3864"/>
  </x:sheetPr>
  <x:sheetViews>
    <x:sheetView showGridLines="0" workbookViewId="0">
      <x:pane xSplit="1" ySplit="7" topLeftCell="B8" activePane="bottomRight" state="frozen"/>
    </x:sheetView>
  </x:sheetViews>
  <x:sheetFormatPr defaultRowHeight="15"/>
  <x:cols>
    <x:col min="1" max="1" width="12" hidden="0" customWidth="1"/>
    <x:col min="2" max="2" width="22" hidden="0" customWidth="1"/>
    <x:col min="3" max="3" width="45" hidden="0" customWidth="1"/>
    <x:col min="4" max="4" width="13" hidden="0" customWidth="1"/>
    <x:col min="5" max="5" width="13" hidden="0" customWidth="1"/>
    <x:col min="6" max="6" width="20" hidden="0" customWidth="1"/>
    <x:col min="7" max="7" width="10" hidden="0" customWidth="1"/>
    <x:col min="8" max="8" width="10" hidden="0" customWidth="1"/>
    <x:col min="9" max="9" width="110" hidden="0" customWidth="1"/>
    <x:col min="10" max="10" width="34" hidden="0" customWidth="1"/>
    <x:col min="11" max="11" width="3" hidden="0" customWidth="1"/>
    <x:col min="12" max="12" width="95" hidden="0" customWidth="1"/>
  </x:cols>
  <x:sheetData>
    <x:row r="1">
      <x:c r="A1" s="24"/>
      <x:c r="B1" s="24"/>
      <x:c r="C1" s="24"/>
      <x:c r="D1" s="24"/>
      <x:c r="E1" s="24"/>
      <x:c r="F1" s="24"/>
      <x:c r="G1" s="24"/>
      <x:c r="H1" s="24"/>
      <x:c r="I1" s="24"/>
      <x:c r="J1" s="24"/>
    </x:row>
    <x:row r="2" ht="28" customHeight="1">
      <x:c r="A2" s="25" t="str">
        <x:v>All source narrative, slides and diagrams</x:v>
      </x:c>
      <x:c r="B2" s="24"/>
      <x:c r="C2" s="24"/>
      <x:c r="D2" s="24"/>
      <x:c r="E2" s="24"/>
      <x:c r="F2" s="24"/>
      <x:c r="G2" s="24"/>
      <x:c r="H2" s="24"/>
      <x:c r="I2" s="24"/>
      <x:c r="J2" s="24"/>
    </x:row>
    <x:row r="3">
      <x:c r="A3" s="24" t="str">
        <x:v>v0003 · 2026-09-28T10:47:52Z (UTC)</x:v>
      </x:c>
      <x:c r="B3" s="24"/>
      <x:c r="C3" s="24"/>
      <x:c r="D3" s="24"/>
      <x:c r="E3" s="24"/>
      <x:c r="F3" s="24"/>
      <x:c r="G3" s="24"/>
      <x:c r="H3" s="24"/>
      <x:c r="I3" s="24"/>
      <x:c r="J3" s="24"/>
    </x:row>
    <x:row r="4" ht="32" customHeight="1">
      <x:c r="A4" s="27" t="str">
        <x:v>Original Markdown text is retained in order. Reassemble multi-part entries by Record ID prefix and Part. Ratings remain historical source statements.</x:v>
      </x:c>
      <x:c r="B4" s="24"/>
      <x:c r="C4" s="24"/>
      <x:c r="D4" s="24"/>
      <x:c r="E4" s="24"/>
      <x:c r="F4" s="24"/>
      <x:c r="G4" s="24"/>
      <x:c r="H4" s="24"/>
      <x:c r="I4" s="24"/>
      <x:c r="J4" s="24"/>
    </x:row>
    <x:row r="5">
      <x:c r="A5" s="24"/>
      <x:c r="B5" s="24"/>
      <x:c r="C5" s="24"/>
      <x:c r="D5" s="24"/>
      <x:c r="E5" s="24"/>
      <x:c r="F5" s="24"/>
      <x:c r="G5" s="24"/>
      <x:c r="H5" s="24"/>
      <x:c r="I5" s="24"/>
      <x:c r="J5" s="24"/>
    </x:row>
    <x:row r="6">
      <x:c r="A6" s="24"/>
      <x:c r="B6" s="24"/>
      <x:c r="C6" s="24"/>
      <x:c r="D6" s="24"/>
      <x:c r="E6" s="24"/>
      <x:c r="F6" s="24"/>
      <x:c r="G6" s="24"/>
      <x:c r="H6" s="24"/>
      <x:c r="I6" s="24"/>
      <x:c r="J6" s="24"/>
    </x:row>
    <x:row r="7" ht="42" customHeight="1">
      <x:c r="A7" s="29" t="str">
        <x:v>Doc ID</x:v>
      </x:c>
      <x:c r="B7" s="29" t="str">
        <x:v>Record ID</x:v>
      </x:c>
      <x:c r="C7" s="29" t="str">
        <x:v>Source section</x:v>
      </x:c>
      <x:c r="D7" s="29" t="str">
        <x:v>Start line</x:v>
      </x:c>
      <x:c r="E7" s="29" t="str">
        <x:v>End line</x:v>
      </x:c>
      <x:c r="F7" s="29" t="str">
        <x:v>Kind</x:v>
      </x:c>
      <x:c r="G7" s="29" t="str">
        <x:v>Part</x:v>
      </x:c>
      <x:c r="H7" s="29" t="str">
        <x:v>Parts</x:v>
      </x:c>
      <x:c r="I7" s="29" t="str">
        <x:v>Source text</x:v>
      </x:c>
      <x:c r="J7" s="29" t="str">
        <x:v>Status</x:v>
      </x:c>
      <x:c r="L7" s="31" t="str">
        <x:v>Document source and locator</x:v>
      </x:c>
    </x:row>
    <x:row r="8" ht="84" customHeight="1">
      <x:c r="A8" s="5" t="str">
        <x:v>D01</x:v>
      </x:c>
      <x:c r="B8" s="5" t="str">
        <x:v>D01-L0001-1</x:v>
      </x:c>
      <x:c r="C8" s="5" t="str">
        <x:v>Document preamble</x:v>
      </x:c>
      <x:c r="D8" s="5" t="n">
        <x:v>1</x:v>
      </x:c>
      <x:c r="E8" s="5" t="n">
        <x:v>1</x:v>
      </x:c>
      <x:c r="F8" s="5" t="str">
        <x:v>text</x:v>
      </x:c>
      <x:c r="G8" s="5" t="n">
        <x:v>1</x:v>
      </x:c>
      <x:c r="H8" s="5" t="n">
        <x:v>1</x:v>
      </x:c>
      <x:c r="I8"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8" s="5" t="str">
        <x:v>SOURCE QUOTE; unvalidated / superseded assessments</x:v>
      </x:c>
      <x:c r="L8" s="31" t="str">
        <x:v>D01, Markdown line 1; http://nas-1.tail55d152.ts.net:4100/static/2S_CONSULTING_NORDIC_OUTREACH_STRATEGY.html</x:v>
      </x:c>
    </x:row>
    <x:row r="9" ht="56" customHeight="1">
      <x:c r="A9" s="5" t="str">
        <x:v>D01</x:v>
      </x:c>
      <x:c r="B9" s="5" t="str">
        <x:v>D01-L0003-1</x:v>
      </x:c>
      <x:c r="C9" s="5" t="str">
        <x:v>Bountytek AB • 2S Consulting &amp; Numantra Technologies: Nordic Market Penetration Strategy</x:v>
      </x:c>
      <x:c r="D9" s="5" t="n">
        <x:v>3</x:v>
      </x:c>
      <x:c r="E9" s="5" t="n">
        <x:v>3</x:v>
      </x:c>
      <x:c r="F9" s="5" t="str">
        <x:v>heading</x:v>
      </x:c>
      <x:c r="G9" s="5" t="n">
        <x:v>1</x:v>
      </x:c>
      <x:c r="H9" s="5" t="n">
        <x:v>1</x:v>
      </x:c>
      <x:c r="I9" s="5" t="str">
        <x:v># Bountytek AB • 2S Consulting &amp; Numantra Technologies: Nordic Market Penetration Strategy</x:v>
      </x:c>
      <x:c r="J9" s="5" t="str">
        <x:v>SOURCE QUOTE; unvalidated / superseded assessments</x:v>
      </x:c>
      <x:c r="L9" s="31" t="str">
        <x:v>D01, Markdown line 3; http://nas-1.tail55d152.ts.net:4100/static/2S_CONSULTING_NORDIC_OUTREACH_STRATEGY.html</x:v>
      </x:c>
    </x:row>
    <x:row r="10" ht="126" customHeight="1">
      <x:c r="A10" s="5" t="str">
        <x:v>D01</x:v>
      </x:c>
      <x:c r="B10" s="5" t="str">
        <x:v>D01-L0005-1</x:v>
      </x:c>
      <x:c r="C10" s="5" t="str">
        <x:v>Bountytek AB • 2S Consulting &amp; Numantra Technologies: Nordic Market Penetration Strategy</x:v>
      </x:c>
      <x:c r="D10" s="5" t="n">
        <x:v>5</x:v>
      </x:c>
      <x:c r="E10" s="5" t="n">
        <x:v>7</x:v>
      </x:c>
      <x:c r="F10" s="5" t="str">
        <x:v>text</x:v>
      </x:c>
      <x:c r="G10" s="5" t="n">
        <x:v>1</x:v>
      </x:c>
      <x:c r="H10" s="5" t="n">
        <x:v>1</x:v>
      </x:c>
      <x:c r="I10" s="5" t="str">
        <x:v>**Sovereign Outbound Commercial Architecture &amp; Enterprise Account Penetration Playbook**  
*Governed by Codex Astra SIL-6 Sovereign Verification Architecture • NATO STANAG 2017/2018 Admiralty Standard ($\ge \text{B2}$) • Richards J. Heuer Jr. Analysis of Competing Hypotheses (ACH) Epistemic Validation*  
*Node: `nas-1.tail55d152.ts.net:4100` • Master Static URI: [2S_CONSULTING_NORDIC_OUTREACH_STRATEGY.html](http://nas-1.tail55d152.ts.net:4100/static/2S_CONSULTING_NORDIC_OUTREACH_STRATEGY.html)*</x:v>
      </x:c>
      <x:c r="J10" s="5" t="str">
        <x:v>SOURCE QUOTE; unvalidated / superseded assessments</x:v>
      </x:c>
      <x:c r="L10" s="31" t="str">
        <x:v>D01, Markdown line 5; http://nas-1.tail55d152.ts.net:4100/static/2S_CONSULTING_NORDIC_OUTREACH_STRATEGY.html</x:v>
      </x:c>
    </x:row>
    <x:row r="11" ht="266" customHeight="1">
      <x:c r="A11" s="5" t="str">
        <x:v>D01</x:v>
      </x:c>
      <x:c r="B11" s="5" t="str">
        <x:v>D01-L0009-1</x:v>
      </x:c>
      <x:c r="C11" s="5" t="str">
        <x:v>Bountytek AB • 2S Consulting &amp; Numantra Technologies: Nordic Market Penetration Strategy</x:v>
      </x:c>
      <x:c r="D11" s="5" t="n">
        <x:v>9</x:v>
      </x:c>
      <x:c r="E11" s="5" t="n">
        <x:v>20</x:v>
      </x:c>
      <x:c r="F11" s="5" t="str">
        <x:v>diagram / code</x:v>
      </x:c>
      <x:c r="G11" s="5" t="n">
        <x:v>1</x:v>
      </x:c>
      <x:c r="H11" s="5" t="n">
        <x:v>1</x:v>
      </x:c>
      <x:c r="I11" s="5" t="str">
        <x:v>```
====================================================================================================
                        BOUNTYTEK AB (EXCLUSIVE NORDIC AGENT)
                 REPRESENTING 2S CONSULTING &amp; NUMANTRA TECHNOLOGIES
      NORDIC LIFE SCIENCES, MEDTECH &amp; BIOPHARMA COMMERCIAL PENETRATION PLAYBOOK
====================================================================================================
  NORDIC LEGAL AGENT: BOUNTYTEK AB  │  CODEX ASTRA SIL-6 RATIFIED  │  NATO STANAG 20/20 &gt;= B2
  2S CONSULTING: https://www.2sconsulting.com/  │  NUMANTRA: https://www.numantratech.ai/
  TAM: &gt;€14.5B PHARMA  │  ECONOMY: &gt;SEK 850B COMBINED  │  R&amp;D SPEND: &gt;€4.5B/YR
  TARGET FLEET: 20 TITANS  │  PILLARS: 3 PHARMA EXCELLENCE  │  WEDGES: 6 FIXED-FEE (&lt;€35K)
====================================================================================================
```</x:v>
      </x:c>
      <x:c r="J11" s="5" t="str">
        <x:v>SOURCE QUOTE; unvalidated / superseded assessments</x:v>
      </x:c>
      <x:c r="L11" s="31" t="str">
        <x:v>D01, Markdown line 9; http://nas-1.tail55d152.ts.net:4100/static/2S_CONSULTING_NORDIC_OUTREACH_STRATEGY.html</x:v>
      </x:c>
    </x:row>
    <x:row r="12" ht="280" customHeight="1">
      <x:c r="A12" s="5" t="str">
        <x:v>D01</x:v>
      </x:c>
      <x:c r="B12" s="5" t="str">
        <x:v>D01-L0022-1</x:v>
      </x:c>
      <x:c r="C12" s="5" t="str">
        <x:v>Bountytek AB • 2S Consulting &amp; Numantra Technologies: Nordic Market Penetration Strategy</x:v>
      </x:c>
      <x:c r="D12" s="5" t="n">
        <x:v>22</x:v>
      </x:c>
      <x:c r="E12" s="5" t="n">
        <x:v>32</x:v>
      </x:c>
      <x:c r="F12" s="5" t="str">
        <x:v>text</x:v>
      </x:c>
      <x:c r="G12" s="5" t="n">
        <x:v>1</x:v>
      </x:c>
      <x:c r="H12" s="5" t="n">
        <x:v>2</x:v>
      </x:c>
      <x:c r="I12" s="5" t="str">
        <x:v>**Classification**: Sovereign Commercial Strategy | Codex Astra Ratified | SIL-6 Epistemic Standard  
**Exclusive Nordic Commercial Agent**: **Bountytek AB** (Sweden)  
**Represented Principals**:
- **2S Consulting** ([https://www.2sconsulting.com/](https://www.2sconsulting.com/)) — Strategic Life Sciences, Pharma &amp; Chemical Advisory (Hichem Sellami, CEO; Safa Sellami, COO)
- **Numantra Technologies** ([https://www.numantratech.ai/](https://www.numantratech.ai/)) — Deep-Tech Healthcare Cognitive Platform &amp; Sovereign Cloud (HCare360)
**Target Market**: Sweden, Denmark, Norway, Finland (4,775+ Life Science Enterprises, &gt;€14.5B Pharma Turnover, &gt;SEK 850B Combined MedTech/Healthcare Economy, &gt;€4.5B Annual R&amp;D)  
**Primary Host FQDN**: [http://nas-1.tail55d152.ts.net:4100/static/2S_CONSULTING_NORDIC_OUTREACH_STRATEGY.html](http://nas-1.tail55d152.ts.net:4100/static/2S_CONSULTING_NORDIC_OUTREACH_STRATEGY.html)  
**Parent Sector Dossier**: [http://nas-1.tail55d152.ts.net:4100/static/2S_PHARMACEUTICALS_AND_CHEMICALS_SECTOR_DOSSIER.html](http://nas-1.tail55d152.ts.net:4100/static/2S_PHARMACEUTICALS_AND_CHEMICALS_SECTOR_DOSSIER.html)  
**Operational Blueprint**: [http://nas-1.tail55d152.ts.n</x:v>
      </x:c>
      <x:c r="J12" s="5" t="str">
        <x:v>SOURCE QUOTE; unvalidated / superseded assessments</x:v>
      </x:c>
      <x:c r="L12" s="31" t="str">
        <x:v>D01, Markdown line 22; http://nas-1.tail55d152.ts.net:4100/static/2S_CONSULTING_NORDIC_OUTREACH_STRATEGY.html</x:v>
      </x:c>
    </x:row>
    <x:row r="13" ht="112" customHeight="1">
      <x:c r="A13" s="5" t="str">
        <x:v>D01</x:v>
      </x:c>
      <x:c r="B13" s="5" t="str">
        <x:v>D01-L0022-2</x:v>
      </x:c>
      <x:c r="C13" s="5" t="str">
        <x:v>Bountytek AB • 2S Consulting &amp; Numantra Technologies: Nordic Market Penetration Strategy</x:v>
      </x:c>
      <x:c r="D13" s="5" t="n">
        <x:v>22</x:v>
      </x:c>
      <x:c r="E13" s="5" t="n">
        <x:v>32</x:v>
      </x:c>
      <x:c r="F13" s="5" t="str">
        <x:v>text</x:v>
      </x:c>
      <x:c r="G13" s="5" t="n">
        <x:v>2</x:v>
      </x:c>
      <x:c r="H13" s="5" t="n">
        <x:v>2</x:v>
      </x:c>
      <x:c r="I13" s="5" t="str">
        <x:v>et:4100/static/2S_PHARMA_THREE_PILLARS_OPERATIONAL_BLUEPRINT.html](http://nas-1.tail55d152.ts.net:4100/static/2S_PHARMA_THREE_PILLARS_OPERATIONAL_BLUEPRINT.html)  
**Enterprise Master Dossier**: [http://nas-1.tail55d152.ts.net:4100/static/2S_CONSULTING_COMPREHENSIVE_DOSSIER.html](http://nas-1.tail55d152.ts.net:4100/static/2S_CONSULTING_COMPREHENSIVE_DOSSIER.html)  
**Master Projects Index**: [http://nas-1.tail55d152.ts.net:4100/static/PROJECTS_INDEX.html](http://nas-1.tail55d152.ts.net:4100/static/PROJECTS_INDEX.html)  </x:v>
      </x:c>
      <x:c r="J13" s="5" t="str">
        <x:v>SOURCE QUOTE; unvalidated / superseded assessments</x:v>
      </x:c>
      <x:c r="L13" s="31" t="str">
        <x:v>D01, Markdown line 22; http://nas-1.tail55d152.ts.net:4100/static/2S_CONSULTING_NORDIC_OUTREACH_STRATEGY.html</x:v>
      </x:c>
    </x:row>
    <x:row r="14" ht="42" customHeight="1">
      <x:c r="A14" s="5" t="str">
        <x:v>D01</x:v>
      </x:c>
      <x:c r="B14" s="5" t="str">
        <x:v>D01-L0036-1</x:v>
      </x:c>
      <x:c r="C14" s="5" t="str">
        <x:v>1. Executive Summary &amp; Market Penetration Thesis</x:v>
      </x:c>
      <x:c r="D14" s="5" t="n">
        <x:v>36</x:v>
      </x:c>
      <x:c r="E14" s="5" t="n">
        <x:v>36</x:v>
      </x:c>
      <x:c r="F14" s="5" t="str">
        <x:v>heading</x:v>
      </x:c>
      <x:c r="G14" s="5" t="n">
        <x:v>1</x:v>
      </x:c>
      <x:c r="H14" s="5" t="n">
        <x:v>1</x:v>
      </x:c>
      <x:c r="I14" s="5" t="str">
        <x:v>## 1. Executive Summary &amp; Market Penetration Thesis</x:v>
      </x:c>
      <x:c r="J14" s="5" t="str">
        <x:v>SOURCE QUOTE; unvalidated / superseded assessments</x:v>
      </x:c>
      <x:c r="L14" s="31" t="str">
        <x:v>D01, Markdown line 36; http://nas-1.tail55d152.ts.net:4100/static/2S_CONSULTING_NORDIC_OUTREACH_STRATEGY.html</x:v>
      </x:c>
    </x:row>
    <x:row r="15" ht="42" customHeight="1">
      <x:c r="A15" s="5" t="str">
        <x:v>D01</x:v>
      </x:c>
      <x:c r="B15" s="5" t="str">
        <x:v>D01-L0038-1</x:v>
      </x:c>
      <x:c r="C15" s="5" t="str">
        <x:v>1.1 The Expanded Nordic Opportunity: Dual-Track Life Sciences Corridor</x:v>
      </x:c>
      <x:c r="D15" s="5" t="n">
        <x:v>38</x:v>
      </x:c>
      <x:c r="E15" s="5" t="n">
        <x:v>38</x:v>
      </x:c>
      <x:c r="F15" s="5" t="str">
        <x:v>heading</x:v>
      </x:c>
      <x:c r="G15" s="5" t="n">
        <x:v>1</x:v>
      </x:c>
      <x:c r="H15" s="5" t="n">
        <x:v>1</x:v>
      </x:c>
      <x:c r="I15" s="5" t="str">
        <x:v>### 1.1 The Expanded Nordic Opportunity: Dual-Track Life Sciences Corridor</x:v>
      </x:c>
      <x:c r="J15" s="5" t="str">
        <x:v>SOURCE QUOTE; unvalidated / superseded assessments</x:v>
      </x:c>
      <x:c r="L15" s="31" t="str">
        <x:v>D01, Markdown line 38; http://nas-1.tail55d152.ts.net:4100/static/2S_CONSULTING_NORDIC_OUTREACH_STRATEGY.html</x:v>
      </x:c>
    </x:row>
    <x:row r="16" ht="154" customHeight="1">
      <x:c r="A16" s="5" t="str">
        <x:v>D01</x:v>
      </x:c>
      <x:c r="B16" s="5" t="str">
        <x:v>D01-L0039-1</x:v>
      </x:c>
      <x:c r="C16" s="5" t="str">
        <x:v>1.1 The Expanded Nordic Opportunity: Dual-Track Life Sciences Corridor</x:v>
      </x:c>
      <x:c r="D16" s="5" t="n">
        <x:v>39</x:v>
      </x:c>
      <x:c r="E16" s="5" t="n">
        <x:v>39</x:v>
      </x:c>
      <x:c r="F16" s="5" t="str">
        <x:v>text</x:v>
      </x:c>
      <x:c r="G16" s="5" t="n">
        <x:v>1</x:v>
      </x:c>
      <x:c r="H16" s="5" t="n">
        <x:v>1</x:v>
      </x:c>
      <x:c r="I16" s="5" t="str">
        <x:v>The Nordic Life Sciences ecosystem (Sweden, Denmark, Norway, Finland) is one of the world's most productive, capital-intensive life science clusters. With over **4,775 registered life science entities**, an annual pharmaceutical product turnover of **&gt;€14.5 Billion**, a combined medical technology and healthcare equipment economy exceeding **SEK 850 Billion**, and **&gt;€4.5 Billion in annual life science R&amp;D spend**, the region encompasses global pharmaceutical Titans (*Novo Nordisk*, *AstraZeneca AB*, *Sobi*, *H. Lundbeck*, *Genmab*), multinational medical device OEMs (*Getinge*, *Elekta*, *Sectra*), premier chemical synthesis and API CDMOs (*Cambrex Karlskoga*, *PolyPeptide Group Malmö*, *Recipharm*), and a dense constellation of high-burn clinical biopharmas (*Camurus*, *BioInvent*, *Alligator*, *Hansa Biopharma*).</x:v>
      </x:c>
      <x:c r="J16" s="5" t="str">
        <x:v>SOURCE QUOTE; unvalidated / superseded assessments</x:v>
      </x:c>
      <x:c r="L16" s="31" t="str">
        <x:v>D01, Markdown line 39; http://nas-1.tail55d152.ts.net:4100/static/2S_CONSULTING_NORDIC_OUTREACH_STRATEGY.html</x:v>
      </x:c>
    </x:row>
    <x:row r="17" ht="238" customHeight="1">
      <x:c r="A17" s="5" t="str">
        <x:v>D01</x:v>
      </x:c>
      <x:c r="B17" s="5" t="str">
        <x:v>D01-L0041-1</x:v>
      </x:c>
      <x:c r="C17" s="5" t="str">
        <x:v>1.1 The Expanded Nordic Opportunity: Dual-Track Life Sciences Corridor</x:v>
      </x:c>
      <x:c r="D17" s="5" t="n">
        <x:v>41</x:v>
      </x:c>
      <x:c r="E17" s="5" t="n">
        <x:v>45</x:v>
      </x:c>
      <x:c r="F17" s="5" t="str">
        <x:v>text</x:v>
      </x:c>
      <x:c r="G17" s="5" t="n">
        <x:v>1</x:v>
      </x:c>
      <x:c r="H17" s="5" t="n">
        <x:v>2</x:v>
      </x:c>
      <x:c r="I17" s="5" t="str">
        <x:v>However, Nordic operators are navigating an unprecedented **quadruple operational and regulatory squeeze**:
1. **The EU MDR / IVDR Transition Wall**: Notified Bodies (BSI, TÜV SÜD, DNV, Intertek) face 12–18 month review backlogs. Medical device OEMs face sudden non-conformities, technical file remediation costs, and an acute shortage of certified regulatory engineers.
2. **The EU AI Act (Regulation 2024/1689) &amp; Algorithmic Conformity**: Software as a Medical Device (SaMD) incorporating machine learning algorithms and predictive AI models in pharmaceutical discovery face mandatory high-risk classification (Annex I/III), requiring deep technical audit trails, explainability logging, and European sovereign data hosting.
3. **Severe Chemical API Margin Compression &amp; KSM Vulnerability**: Regional small-molecule API synthesis plants (e.g., Cambrex Karlskoga, Magle Chemoswed, PolyPeptide Group) face 30–50% cheaper price dumping from subsidized Asian competitors, rising European energy costs, and strict REACH chemical solvent restrictions.
4. **Gross-to-Net (GTN) Tender Erosion &amp; Clinical Burn**: Specialty pharma players lose 8% to 18% of revenue in public hospital tenders (*Region Stockho</x:v>
      </x:c>
      <x:c r="J17" s="5" t="str">
        <x:v>SOURCE QUOTE; unvalidated / superseded assessments</x:v>
      </x:c>
      <x:c r="L17" s="31" t="str">
        <x:v>D01, Markdown line 41; http://nas-1.tail55d152.ts.net:4100/static/2S_CONSULTING_NORDIC_OUTREACH_STRATEGY.html</x:v>
      </x:c>
    </x:row>
    <x:row r="18" ht="56" customHeight="1">
      <x:c r="A18" s="5" t="str">
        <x:v>D01</x:v>
      </x:c>
      <x:c r="B18" s="5" t="str">
        <x:v>D01-L0041-2</x:v>
      </x:c>
      <x:c r="C18" s="5" t="str">
        <x:v>1.1 The Expanded Nordic Opportunity: Dual-Track Life Sciences Corridor</x:v>
      </x:c>
      <x:c r="D18" s="5" t="n">
        <x:v>41</x:v>
      </x:c>
      <x:c r="E18" s="5" t="n">
        <x:v>45</x:v>
      </x:c>
      <x:c r="F18" s="5" t="str">
        <x:v>text</x:v>
      </x:c>
      <x:c r="G18" s="5" t="n">
        <x:v>2</x:v>
      </x:c>
      <x:c r="H18" s="5" t="n">
        <x:v>2</x:v>
      </x:c>
      <x:c r="I18" s="5" t="str">
        <x:v>lm*, *Danske Regioner*, *Sykehusinnkjøp*) due to unmodeled clawbacks and stockout penalties, while clinical biopharmas burn **€25,000 per calendar day** in clinical trial delay costs.</x:v>
      </x:c>
      <x:c r="J18" s="5" t="str">
        <x:v>SOURCE QUOTE; unvalidated / superseded assessments</x:v>
      </x:c>
      <x:c r="L18" s="31" t="str">
        <x:v>D01, Markdown line 41; http://nas-1.tail55d152.ts.net:4100/static/2S_CONSULTING_NORDIC_OUTREACH_STRATEGY.html</x:v>
      </x:c>
    </x:row>
    <x:row r="19" ht="56" customHeight="1">
      <x:c r="A19" s="5" t="str">
        <x:v>D01</x:v>
      </x:c>
      <x:c r="B19" s="5" t="str">
        <x:v>D01-L0047-1</x:v>
      </x:c>
      <x:c r="C19" s="5" t="str">
        <x:v>1.2 The Bountytek AB Asymmetric Advantage: Exclusive Nordic Representation</x:v>
      </x:c>
      <x:c r="D19" s="5" t="n">
        <x:v>47</x:v>
      </x:c>
      <x:c r="E19" s="5" t="n">
        <x:v>47</x:v>
      </x:c>
      <x:c r="F19" s="5" t="str">
        <x:v>heading</x:v>
      </x:c>
      <x:c r="G19" s="5" t="n">
        <x:v>1</x:v>
      </x:c>
      <x:c r="H19" s="5" t="n">
        <x:v>1</x:v>
      </x:c>
      <x:c r="I19" s="5" t="str">
        <x:v>### 1.2 The Bountytek AB Asymmetric Advantage: Exclusive Nordic Representation</x:v>
      </x:c>
      <x:c r="J19" s="5" t="str">
        <x:v>SOURCE QUOTE; unvalidated / superseded assessments</x:v>
      </x:c>
      <x:c r="L19" s="31" t="str">
        <x:v>D01, Markdown line 47; http://nas-1.tail55d152.ts.net:4100/static/2S_CONSULTING_NORDIC_OUTREACH_STRATEGY.html</x:v>
      </x:c>
    </x:row>
    <x:row r="20" ht="84" customHeight="1">
      <x:c r="A20" s="5" t="str">
        <x:v>D01</x:v>
      </x:c>
      <x:c r="B20" s="5" t="str">
        <x:v>D01-L0048-1</x:v>
      </x:c>
      <x:c r="C20" s="5" t="str">
        <x:v>1.2 The Bountytek AB Asymmetric Advantage: Exclusive Nordic Representation</x:v>
      </x:c>
      <x:c r="D20" s="5" t="n">
        <x:v>48</x:v>
      </x:c>
      <x:c r="E20" s="5" t="n">
        <x:v>48</x:v>
      </x:c>
      <x:c r="F20" s="5" t="str">
        <x:v>text</x:v>
      </x:c>
      <x:c r="G20" s="5" t="n">
        <x:v>1</x:v>
      </x:c>
      <x:c r="H20" s="5" t="n">
        <x:v>1</x:v>
      </x:c>
      <x:c r="I20" s="5" t="str">
        <x:v>To address this multi-billion-euro market with maximum commercial speed, **Bountytek AB** has been appointed as the **exclusive commercial agent, prime contracting entity, and regional operational representative in the Nordics** for both **2S Consulting** ([https://www.2sconsulting.com/](https://www.2sconsulting.com/)) and **Numantra Technologies** ([https://www.numantratech.ai/](https://www.numantratech.ai/)).</x:v>
      </x:c>
      <x:c r="J20" s="5" t="str">
        <x:v>SOURCE QUOTE; unvalidated / superseded assessments</x:v>
      </x:c>
      <x:c r="L20" s="31" t="str">
        <x:v>D01, Markdown line 48; http://nas-1.tail55d152.ts.net:4100/static/2S_CONSULTING_NORDIC_OUTREACH_STRATEGY.html</x:v>
      </x:c>
    </x:row>
    <x:row r="21" ht="238" customHeight="1">
      <x:c r="A21" s="5" t="str">
        <x:v>D01</x:v>
      </x:c>
      <x:c r="B21" s="5" t="str">
        <x:v>D01-L0050-1</x:v>
      </x:c>
      <x:c r="C21" s="5" t="str">
        <x:v>1.2 The Bountytek AB Asymmetric Advantage: Exclusive Nordic Representation</x:v>
      </x:c>
      <x:c r="D21" s="5" t="n">
        <x:v>50</x:v>
      </x:c>
      <x:c r="E21" s="5" t="n">
        <x:v>55</x:v>
      </x:c>
      <x:c r="F21" s="5" t="str">
        <x:v>text</x:v>
      </x:c>
      <x:c r="G21" s="5" t="n">
        <x:v>1</x:v>
      </x:c>
      <x:c r="H21" s="5" t="n">
        <x:v>2</x:v>
      </x:c>
      <x:c r="I21" s="5" t="str">
        <x:v>This tripartite alliance delivers a decisive competitive advantage over traditional multinational consultancies (McKinsey, BCG, IQVIA, Plantvision, Knightec):
- **Domestic Nordic Contracting Authority**: As a Swedish registered corporation (Bolagsverket, F-skatt, local bank accounts), **Bountytek AB** contracts directly with Swedish regional healthcare authorities (*Region Stockholm*, *Västra Götalandsregionen*, *Region Skåne*), Danish regional councils (*Danske Regioner / Amgros*), and Norwegian health trusts (*Sykehusinnkjøp*), completely bypassing foreign vendor registration hurdles.
- **Deep Practitioner Pedigree**: Hands-on regulatory, chemical engineering, and clinical leadership led by **Hichem Sellami** and **Safa Sellami**, with proven enterprise monographs (*Optimizing Product and Customer Mix*, *Pharma NCE R&amp;D Productivity Monitoring*, *MTM Foreign Exchange Governance*).
- **The Merck-Proven Commercial S&amp;OP Portal**: Unifying primary ERP billing (SAP/Oracle), secondary wholesaler inventories (Tamro/Oriola), and tender penalty tracking into a real-time executive cockpit.
- **HCare360 NLP Patient Screening Engine**: Proprietary cognitive platform on Numantra's Finnish sove</x:v>
      </x:c>
      <x:c r="J21" s="5" t="str">
        <x:v>SOURCE QUOTE; unvalidated / superseded assessments</x:v>
      </x:c>
      <x:c r="L21" s="31" t="str">
        <x:v>D01, Markdown line 50; http://nas-1.tail55d152.ts.net:4100/static/2S_CONSULTING_NORDIC_OUTREACH_STRATEGY.html</x:v>
      </x:c>
    </x:row>
    <x:row r="22" ht="84" customHeight="1">
      <x:c r="A22" s="5" t="str">
        <x:v>D01</x:v>
      </x:c>
      <x:c r="B22" s="5" t="str">
        <x:v>D01-L0050-2</x:v>
      </x:c>
      <x:c r="C22" s="5" t="str">
        <x:v>1.2 The Bountytek AB Asymmetric Advantage: Exclusive Nordic Representation</x:v>
      </x:c>
      <x:c r="D22" s="5" t="n">
        <x:v>50</x:v>
      </x:c>
      <x:c r="E22" s="5" t="n">
        <x:v>55</x:v>
      </x:c>
      <x:c r="F22" s="5" t="str">
        <x:v>text</x:v>
      </x:c>
      <x:c r="G22" s="5" t="n">
        <x:v>2</x:v>
      </x:c>
      <x:c r="H22" s="5" t="n">
        <x:v>2</x:v>
      </x:c>
      <x:c r="I22" s="5" t="str">
        <x:v>reign cloud infrastructure (ISO 27001/27017/27018), accelerating rare-disease patient recruitment by 30% to 50% and saving €1.5M–€4.5M in trial burn.
- **Fixed-Price 30-Day Diagnostic Wedges (&lt;€35,000)**: Non-threatening, low-friction entry points billed locally in SEK or EUR via Bountytek AB, closing within 30 days on departmental VP discretionary signature.</x:v>
      </x:c>
      <x:c r="J22" s="5" t="str">
        <x:v>SOURCE QUOTE; unvalidated / superseded assessments</x:v>
      </x:c>
      <x:c r="L22" s="31" t="str">
        <x:v>D01, Markdown line 50; http://nas-1.tail55d152.ts.net:4100/static/2S_CONSULTING_NORDIC_OUTREACH_STRATEGY.html</x:v>
      </x:c>
    </x:row>
    <x:row r="23" ht="42" customHeight="1">
      <x:c r="A23" s="5" t="str">
        <x:v>D01</x:v>
      </x:c>
      <x:c r="B23" s="5" t="str">
        <x:v>D01-L0059-1</x:v>
      </x:c>
      <x:c r="C23" s="5" t="str">
        <x:v>2. Codex Astra SIL-6 Governance &amp; Invariant Guard</x:v>
      </x:c>
      <x:c r="D23" s="5" t="n">
        <x:v>59</x:v>
      </x:c>
      <x:c r="E23" s="5" t="n">
        <x:v>59</x:v>
      </x:c>
      <x:c r="F23" s="5" t="str">
        <x:v>heading</x:v>
      </x:c>
      <x:c r="G23" s="5" t="n">
        <x:v>1</x:v>
      </x:c>
      <x:c r="H23" s="5" t="n">
        <x:v>1</x:v>
      </x:c>
      <x:c r="I23" s="5" t="str">
        <x:v>## 2. Codex Astra SIL-6 Governance &amp; Invariant Guard</x:v>
      </x:c>
      <x:c r="J23" s="5" t="str">
        <x:v>SOURCE QUOTE; unvalidated / superseded assessments</x:v>
      </x:c>
      <x:c r="L23" s="31" t="str">
        <x:v>D01, Markdown line 59; http://nas-1.tail55d152.ts.net:4100/static/2S_CONSULTING_NORDIC_OUTREACH_STRATEGY.html</x:v>
      </x:c>
    </x:row>
    <x:row r="24" ht="70" customHeight="1">
      <x:c r="A24" s="5" t="str">
        <x:v>D01</x:v>
      </x:c>
      <x:c r="B24" s="5" t="str">
        <x:v>D01-L0061-1</x:v>
      </x:c>
      <x:c r="C24" s="5" t="str">
        <x:v>2. Codex Astra SIL-6 Governance &amp; Invariant Guard</x:v>
      </x:c>
      <x:c r="D24" s="5" t="n">
        <x:v>61</x:v>
      </x:c>
      <x:c r="E24" s="5" t="n">
        <x:v>61</x:v>
      </x:c>
      <x:c r="F24" s="5" t="str">
        <x:v>text</x:v>
      </x:c>
      <x:c r="G24" s="5" t="n">
        <x:v>1</x:v>
      </x:c>
      <x:c r="H24" s="5" t="n">
        <x:v>1</x:v>
      </x:c>
      <x:c r="I24" s="5" t="str">
        <x:v>To guarantee that commercial outbound execution never degrades into unvetted sales noise, Bountytek AB operates under the **Codex Astra SIL-6 (Safety Integrity Level 6) Governance Protocol**, enforcing mathematical invariants, System-Theoretic Process Analysis (STPA) hazard controls, and quantitative Failure Mode and Effects Analysis (FMEA).</x:v>
      </x:c>
      <x:c r="J24" s="5" t="str">
        <x:v>SOURCE QUOTE; unvalidated / superseded assessments</x:v>
      </x:c>
      <x:c r="L24" s="31" t="str">
        <x:v>D01, Markdown line 61; http://nas-1.tail55d152.ts.net:4100/static/2S_CONSULTING_NORDIC_OUTREACH_STRATEGY.html</x:v>
      </x:c>
    </x:row>
    <x:row r="25" ht="42" customHeight="1">
      <x:c r="A25" s="5" t="str">
        <x:v>D01</x:v>
      </x:c>
      <x:c r="B25" s="5" t="str">
        <x:v>D01-L0063-1</x:v>
      </x:c>
      <x:c r="C25" s="5" t="str">
        <x:v>2.1 The Six Sovereign Commercial Invariants ($I_1 \dots I_6$)</x:v>
      </x:c>
      <x:c r="D25" s="5" t="n">
        <x:v>63</x:v>
      </x:c>
      <x:c r="E25" s="5" t="n">
        <x:v>63</x:v>
      </x:c>
      <x:c r="F25" s="5" t="str">
        <x:v>heading</x:v>
      </x:c>
      <x:c r="G25" s="5" t="n">
        <x:v>1</x:v>
      </x:c>
      <x:c r="H25" s="5" t="n">
        <x:v>1</x:v>
      </x:c>
      <x:c r="I25" s="5" t="str">
        <x:v>### 2.1 The Six Sovereign Commercial Invariants ($I_1 \dots I_6$)</x:v>
      </x:c>
      <x:c r="J25" s="5" t="str">
        <x:v>SOURCE QUOTE; unvalidated / superseded assessments</x:v>
      </x:c>
      <x:c r="L25" s="31" t="str">
        <x:v>D01, Markdown line 63; http://nas-1.tail55d152.ts.net:4100/static/2S_CONSULTING_NORDIC_OUTREACH_STRATEGY.html</x:v>
      </x:c>
    </x:row>
    <x:row r="26" ht="409" customHeight="1">
      <x:c r="A26" s="5" t="str">
        <x:v>D01</x:v>
      </x:c>
      <x:c r="B26" s="5" t="str">
        <x:v>D01-L0065-1</x:v>
      </x:c>
      <x:c r="C26" s="5" t="str">
        <x:v>2.1 The Six Sovereign Commercial Invariants ($I_1 \dots I_6$)</x:v>
      </x:c>
      <x:c r="D26" s="5" t="n">
        <x:v>65</x:v>
      </x:c>
      <x:c r="E26" s="5" t="n">
        <x:v>87</x:v>
      </x:c>
      <x:c r="F26" s="5" t="str">
        <x:v>diagram / code</x:v>
      </x:c>
      <x:c r="G26" s="5" t="n">
        <x:v>1</x:v>
      </x:c>
      <x:c r="H26" s="5" t="n">
        <x:v>2</x:v>
      </x:c>
      <x:c r="I26" s="5" t="str">
        <x:v>```
┌──────────────────────────────────────────────────────────────────────────────────────────────────┐
│                   CODEX ASTRA SIL-6 COMMERCIAL INVARIANT GUARD                                   │
└──────────────────────────────────────────────────────────────────────────────────────────────────┘
 [I1: Signature Threshold]  ───► Fixed-price diagnostic wedges MUST NOT exceed €35,000 / SEK 400,000.
                                 ∀ w ∈ Wedges, Cost(w) ≤ €35,000 (Bypasses Central RFP Procurement)
 [I2: Clinical Burn Gate]   ───► Clinical trial delay calculations MUST enforce €25,000/day floor.
                                 TrialBurn(days) = days × €25,000 (Empirically verified across Nordics)
 [I3: Changeover Floor]     ───► API sanitization turnaround MUST achieve ≥40% downtime reduction.
                                 ΔT_turnaround ≥ 0.40 × T_baseline (Unimark/Matix cleanroom benchmark)
 [I4: Gross-to-Net Capture] ───► S&amp;OP tender modeling MUST model net margin capture ≥85%.
                                 NetTenderYield ≥ 0.85 × GrossTenderValue (After Tamro/Oriola clawbacks)
 [I5: Epistemic Floor]      ───► Intelligence used in target battlecards MUST meet NAT</x:v>
      </x:c>
      <x:c r="J26" s="5" t="str">
        <x:v>SOURCE QUOTE; unvalidated / superseded assessments</x:v>
      </x:c>
      <x:c r="L26" s="31" t="str">
        <x:v>D01, Markdown line 65; http://nas-1.tail55d152.ts.net:4100/static/2S_CONSULTING_NORDIC_OUTREACH_STRATEGY.html</x:v>
      </x:c>
    </x:row>
    <x:row r="27" ht="140" customHeight="1">
      <x:c r="A27" s="5" t="str">
        <x:v>D01</x:v>
      </x:c>
      <x:c r="B27" s="5" t="str">
        <x:v>D01-L0065-2</x:v>
      </x:c>
      <x:c r="C27" s="5" t="str">
        <x:v>2.1 The Six Sovereign Commercial Invariants ($I_1 \dots I_6$)</x:v>
      </x:c>
      <x:c r="D27" s="5" t="n">
        <x:v>65</x:v>
      </x:c>
      <x:c r="E27" s="5" t="n">
        <x:v>87</x:v>
      </x:c>
      <x:c r="F27" s="5" t="str">
        <x:v>diagram / code</x:v>
      </x:c>
      <x:c r="G27" s="5" t="n">
        <x:v>2</x:v>
      </x:c>
      <x:c r="H27" s="5" t="n">
        <x:v>2</x:v>
      </x:c>
      <x:c r="I27" s="5" t="str">
        <x:v>O STANAG ≥ B2.
                                 ∀ a ∈ TargetFleet, Reliability(a) ∈ {A, B} ∧ Credibility(a) ∈ {1, 2}
 [I6: ACH Dominance]        ───► Asymmetric Trigger ABM via Bountytek AB MUST maintain 0.0 penalty.
                                 Inconsistency(H3) = 0.0 &lt; Inconsistency(H1, H2) (Heuer ACH Matrix)
```</x:v>
      </x:c>
      <x:c r="J27" s="5" t="str">
        <x:v>SOURCE QUOTE; unvalidated / superseded assessments</x:v>
      </x:c>
      <x:c r="L27" s="31" t="str">
        <x:v>D01, Markdown line 65; http://nas-1.tail55d152.ts.net:4100/static/2S_CONSULTING_NORDIC_OUTREACH_STRATEGY.html</x:v>
      </x:c>
    </x:row>
    <x:row r="28" ht="42" customHeight="1">
      <x:c r="A28" s="5" t="str">
        <x:v>D01</x:v>
      </x:c>
      <x:c r="B28" s="5" t="str">
        <x:v>D01-L0089-1</x:v>
      </x:c>
      <x:c r="C28" s="5" t="str">
        <x:v>2.2 STPA (System-Theoretic Process Analysis) Hazard Control</x:v>
      </x:c>
      <x:c r="D28" s="5" t="n">
        <x:v>89</x:v>
      </x:c>
      <x:c r="E28" s="5" t="n">
        <x:v>89</x:v>
      </x:c>
      <x:c r="F28" s="5" t="str">
        <x:v>heading</x:v>
      </x:c>
      <x:c r="G28" s="5" t="n">
        <x:v>1</x:v>
      </x:c>
      <x:c r="H28" s="5" t="n">
        <x:v>1</x:v>
      </x:c>
      <x:c r="I28" s="5" t="str">
        <x:v>### 2.2 STPA (System-Theoretic Process Analysis) Hazard Control</x:v>
      </x:c>
      <x:c r="J28" s="5" t="str">
        <x:v>SOURCE QUOTE; unvalidated / superseded assessments</x:v>
      </x:c>
      <x:c r="L28" s="31" t="str">
        <x:v>D01, Markdown line 89; http://nas-1.tail55d152.ts.net:4100/static/2S_CONSULTING_NORDIC_OUTREACH_STRATEGY.html</x:v>
      </x:c>
    </x:row>
    <x:row r="29" ht="42" customHeight="1">
      <x:c r="A29" s="5" t="str">
        <x:v>D01</x:v>
      </x:c>
      <x:c r="B29" s="5" t="str">
        <x:v>D01-L0090-1</x:v>
      </x:c>
      <x:c r="C29" s="5" t="str">
        <x:v>2.2 STPA (System-Theoretic Process Analysis) Hazard Control</x:v>
      </x:c>
      <x:c r="D29" s="5" t="n">
        <x:v>90</x:v>
      </x:c>
      <x:c r="E29" s="5" t="n">
        <x:v>90</x:v>
      </x:c>
      <x:c r="F29" s="5" t="str">
        <x:v>text</x:v>
      </x:c>
      <x:c r="G29" s="5" t="n">
        <x:v>1</x:v>
      </x:c>
      <x:c r="H29" s="5" t="n">
        <x:v>1</x:v>
      </x:c>
      <x:c r="I29" s="5" t="str">
        <x:v>Under STPA safety governance, four commercial failure hazards are identified and systematically bounded:</x:v>
      </x:c>
      <x:c r="J29" s="5" t="str">
        <x:v>SOURCE QUOTE; unvalidated / superseded assessments</x:v>
      </x:c>
      <x:c r="L29" s="31" t="str">
        <x:v>D01, Markdown line 90; http://nas-1.tail55d152.ts.net:4100/static/2S_CONSULTING_NORDIC_OUTREACH_STRATEGY.html</x:v>
      </x:c>
    </x:row>
    <x:row r="30" ht="42" customHeight="1">
      <x:c r="A30" s="5" t="str">
        <x:v>D01</x:v>
      </x:c>
      <x:c r="B30" s="5" t="str">
        <x:v>D01-L0099-1</x:v>
      </x:c>
      <x:c r="C30" s="5" t="str">
        <x:v>2.3 FMEA Quantitative Commercial Risk Scoring</x:v>
      </x:c>
      <x:c r="D30" s="5" t="n">
        <x:v>99</x:v>
      </x:c>
      <x:c r="E30" s="5" t="n">
        <x:v>99</x:v>
      </x:c>
      <x:c r="F30" s="5" t="str">
        <x:v>heading</x:v>
      </x:c>
      <x:c r="G30" s="5" t="n">
        <x:v>1</x:v>
      </x:c>
      <x:c r="H30" s="5" t="n">
        <x:v>1</x:v>
      </x:c>
      <x:c r="I30" s="5" t="str">
        <x:v>### 2.3 FMEA Quantitative Commercial Risk Scoring</x:v>
      </x:c>
      <x:c r="J30" s="5" t="str">
        <x:v>SOURCE QUOTE; unvalidated / superseded assessments</x:v>
      </x:c>
      <x:c r="L30" s="31" t="str">
        <x:v>D01, Markdown line 99; http://nas-1.tail55d152.ts.net:4100/static/2S_CONSULTING_NORDIC_OUTREACH_STRATEGY.html</x:v>
      </x:c>
    </x:row>
    <x:row r="31" ht="42" customHeight="1">
      <x:c r="A31" s="5" t="str">
        <x:v>D01</x:v>
      </x:c>
      <x:c r="B31" s="5" t="str">
        <x:v>D01-L0110-1</x:v>
      </x:c>
      <x:c r="C31" s="5" t="str">
        <x:v>3. Dual-Track Ideal Customer Profile (ICP) &amp; Account Prioritization</x:v>
      </x:c>
      <x:c r="D31" s="5" t="n">
        <x:v>110</x:v>
      </x:c>
      <x:c r="E31" s="5" t="n">
        <x:v>110</x:v>
      </x:c>
      <x:c r="F31" s="5" t="str">
        <x:v>heading</x:v>
      </x:c>
      <x:c r="G31" s="5" t="n">
        <x:v>1</x:v>
      </x:c>
      <x:c r="H31" s="5" t="n">
        <x:v>1</x:v>
      </x:c>
      <x:c r="I31" s="5" t="str">
        <x:v>## 3. Dual-Track Ideal Customer Profile (ICP) &amp; Account Prioritization</x:v>
      </x:c>
      <x:c r="J31" s="5" t="str">
        <x:v>SOURCE QUOTE; unvalidated / superseded assessments</x:v>
      </x:c>
      <x:c r="L31" s="31" t="str">
        <x:v>D01, Markdown line 110; http://nas-1.tail55d152.ts.net:4100/static/2S_CONSULTING_NORDIC_OUTREACH_STRATEGY.html</x:v>
      </x:c>
    </x:row>
    <x:row r="32" ht="56" customHeight="1">
      <x:c r="A32" s="5" t="str">
        <x:v>D01</x:v>
      </x:c>
      <x:c r="B32" s="5" t="str">
        <x:v>D01-L0112-1</x:v>
      </x:c>
      <x:c r="C32" s="5" t="str">
        <x:v>3. Dual-Track Ideal Customer Profile (ICP) &amp; Account Prioritization</x:v>
      </x:c>
      <x:c r="D32" s="5" t="n">
        <x:v>112</x:v>
      </x:c>
      <x:c r="E32" s="5" t="n">
        <x:v>112</x:v>
      </x:c>
      <x:c r="F32" s="5" t="str">
        <x:v>text</x:v>
      </x:c>
      <x:c r="G32" s="5" t="n">
        <x:v>1</x:v>
      </x:c>
      <x:c r="H32" s="5" t="n">
        <x:v>1</x:v>
      </x:c>
      <x:c r="I32" s="5" t="str">
        <x:v>To maximize outreach efficiency, target accounts are segmented into two parallel operational tracks: **Track A (MedTech &amp; SaMD)** and **Track B (Pharma, Biotech &amp; Chemical Synthesis)**.</x:v>
      </x:c>
      <x:c r="J32" s="5" t="str">
        <x:v>SOURCE QUOTE; unvalidated / superseded assessments</x:v>
      </x:c>
      <x:c r="L32" s="31" t="str">
        <x:v>D01, Markdown line 112; http://nas-1.tail55d152.ts.net:4100/static/2S_CONSULTING_NORDIC_OUTREACH_STRATEGY.html</x:v>
      </x:c>
    </x:row>
    <x:row r="33" ht="364" customHeight="1">
      <x:c r="A33" s="5" t="str">
        <x:v>D01</x:v>
      </x:c>
      <x:c r="B33" s="5" t="str">
        <x:v>D01-L0114-1</x:v>
      </x:c>
      <x:c r="C33" s="5" t="str">
        <x:v>3. Dual-Track Ideal Customer Profile (ICP) &amp; Account Prioritization</x:v>
      </x:c>
      <x:c r="D33" s="5" t="n">
        <x:v>114</x:v>
      </x:c>
      <x:c r="E33" s="5" t="n">
        <x:v>132</x:v>
      </x:c>
      <x:c r="F33" s="5" t="str">
        <x:v>diagram / code</x:v>
      </x:c>
      <x:c r="G33" s="5" t="n">
        <x:v>1</x:v>
      </x:c>
      <x:c r="H33" s="5" t="n">
        <x:v>2</x:v>
      </x:c>
      <x:c r="I33" s="5" t="str">
        <x:v>```
┌──────────────────────────────────────────────────────────────────────────────────────────────────┐
│              BOUNTYTEK AB: DUAL-TRACK NORDIC ACCOUNT SEGMENTATION                                │
└──────────────────────────────────────────────────────────────────────────────────────────────────┘
 ┌──────────────────────────────────────────────────┐  ┌──────────────────────────────────────────┐
 │ TRACK A: MEDTECH &amp; CONNECTED SAMD                │  │ TRACK B: PHARMA, BIOTECH &amp; CHEMICAL CDMO │
 │ • Capital Medical Equipment (ICU, Radiation, OR) │  │ • Global &amp; Large-Cap Nordic Pharma       │
 │ • Pure-Play Software as a Medical Device (SaMD)  │  │ • Mid-Cap Specialty Pharma Innovators    │
 │ • In Vitro Diagnostics &amp; Automated Instruments   │  │ • Chemical Synthesis &amp; Peptide API CDMOs │
 │ • Drug-Device Combination Delivery Products      │  │ • High-Burn Clinical-Stage Biopharmas    │
 └────────────────────────┬─────────────────────────┘  └────────────────────┬─────────────────────┘
                          │                                                 │
                          └────────────────────────┬────────────────────────┘
                                    </x:v>
      </x:c>
      <x:c r="J33" s="5" t="str">
        <x:v>SOURCE QUOTE; unvalidated / superseded assessments</x:v>
      </x:c>
      <x:c r="L33" s="31" t="str">
        <x:v>D01, Markdown line 114; http://nas-1.tail55d152.ts.net:4100/static/2S_CONSULTING_NORDIC_OUTREACH_STRATEGY.html</x:v>
      </x:c>
    </x:row>
    <x:row r="34" ht="126" customHeight="1">
      <x:c r="A34" s="5" t="str">
        <x:v>D01</x:v>
      </x:c>
      <x:c r="B34" s="5" t="str">
        <x:v>D01-L0114-2</x:v>
      </x:c>
      <x:c r="C34" s="5" t="str">
        <x:v>3. Dual-Track Ideal Customer Profile (ICP) &amp; Account Prioritization</x:v>
      </x:c>
      <x:c r="D34" s="5" t="n">
        <x:v>114</x:v>
      </x:c>
      <x:c r="E34" s="5" t="n">
        <x:v>132</x:v>
      </x:c>
      <x:c r="F34" s="5" t="str">
        <x:v>diagram / code</x:v>
      </x:c>
      <x:c r="G34" s="5" t="n">
        <x:v>2</x:v>
      </x:c>
      <x:c r="H34" s="5" t="n">
        <x:v>2</x:v>
      </x:c>
      <x:c r="I34" s="5" t="str">
        <x:v>               │
 ┌─────────────────────────────────────────────────▼──────────────────────────────────────────────┐
 │ UNIFIED CRITERIA: REVENUE &gt;SEK 50M • ACTIVE NORDIC R&amp;D • REGULATORY FRICTION • C-SUITE BUYERS  │
 └────────────────────────────────────────────────────────────────────────────────────────────────┘
```</x:v>
      </x:c>
      <x:c r="J34" s="5" t="str">
        <x:v>SOURCE QUOTE; unvalidated / superseded assessments</x:v>
      </x:c>
      <x:c r="L34" s="31" t="str">
        <x:v>D01, Markdown line 114; http://nas-1.tail55d152.ts.net:4100/static/2S_CONSULTING_NORDIC_OUTREACH_STRATEGY.html</x:v>
      </x:c>
    </x:row>
    <x:row r="35" ht="42" customHeight="1">
      <x:c r="A35" s="5" t="str">
        <x:v>D01</x:v>
      </x:c>
      <x:c r="B35" s="5" t="str">
        <x:v>D01-L0134-1</x:v>
      </x:c>
      <x:c r="C35" s="5" t="str">
        <x:v>3.1 The Two-Track Account Prioritization Matrix</x:v>
      </x:c>
      <x:c r="D35" s="5" t="n">
        <x:v>134</x:v>
      </x:c>
      <x:c r="E35" s="5" t="n">
        <x:v>134</x:v>
      </x:c>
      <x:c r="F35" s="5" t="str">
        <x:v>heading</x:v>
      </x:c>
      <x:c r="G35" s="5" t="n">
        <x:v>1</x:v>
      </x:c>
      <x:c r="H35" s="5" t="n">
        <x:v>1</x:v>
      </x:c>
      <x:c r="I35" s="5" t="str">
        <x:v>### 3.1 The Two-Track Account Prioritization Matrix</x:v>
      </x:c>
      <x:c r="J35" s="5" t="str">
        <x:v>SOURCE QUOTE; unvalidated / superseded assessments</x:v>
      </x:c>
      <x:c r="L35" s="31" t="str">
        <x:v>D01, Markdown line 134; http://nas-1.tail55d152.ts.net:4100/static/2S_CONSULTING_NORDIC_OUTREACH_STRATEGY.html</x:v>
      </x:c>
    </x:row>
    <x:row r="36" ht="42" customHeight="1">
      <x:c r="A36" s="5" t="str">
        <x:v>D01</x:v>
      </x:c>
      <x:c r="B36" s="5" t="str">
        <x:v>D01-L0146-1</x:v>
      </x:c>
      <x:c r="C36" s="5" t="str">
        <x:v>4. Top 20 Nordic Account Battlecards (The Strategic Target Fleet)</x:v>
      </x:c>
      <x:c r="D36" s="5" t="n">
        <x:v>146</x:v>
      </x:c>
      <x:c r="E36" s="5" t="n">
        <x:v>146</x:v>
      </x:c>
      <x:c r="F36" s="5" t="str">
        <x:v>heading</x:v>
      </x:c>
      <x:c r="G36" s="5" t="n">
        <x:v>1</x:v>
      </x:c>
      <x:c r="H36" s="5" t="n">
        <x:v>1</x:v>
      </x:c>
      <x:c r="I36" s="5" t="str">
        <x:v>## 4. Top 20 Nordic Account Battlecards (The Strategic Target Fleet)</x:v>
      </x:c>
      <x:c r="J36" s="5" t="str">
        <x:v>SOURCE QUOTE; unvalidated / superseded assessments</x:v>
      </x:c>
      <x:c r="L36" s="31" t="str">
        <x:v>D01, Markdown line 146; http://nas-1.tail55d152.ts.net:4100/static/2S_CONSULTING_NORDIC_OUTREACH_STRATEGY.html</x:v>
      </x:c>
    </x:row>
    <x:row r="37" ht="56" customHeight="1">
      <x:c r="A37" s="5" t="str">
        <x:v>D01</x:v>
      </x:c>
      <x:c r="B37" s="5" t="str">
        <x:v>D01-L0148-1</x:v>
      </x:c>
      <x:c r="C37" s="5" t="str">
        <x:v>4. Top 20 Nordic Account Battlecards (The Strategic Target Fleet)</x:v>
      </x:c>
      <x:c r="D37" s="5" t="n">
        <x:v>148</x:v>
      </x:c>
      <x:c r="E37" s="5" t="n">
        <x:v>148</x:v>
      </x:c>
      <x:c r="F37" s="5" t="str">
        <x:v>text</x:v>
      </x:c>
      <x:c r="G37" s="5" t="n">
        <x:v>1</x:v>
      </x:c>
      <x:c r="H37" s="5" t="n">
        <x:v>1</x:v>
      </x:c>
      <x:c r="I37" s="5" t="str">
        <x:v>Derived from `Medical-Nordics-1.xlsx` and Nordic industry registries, these 20 target enterprises represent the highest-conversion commercial opportunities for Bountytek AB representing 2S Consulting and Numantra Technologies.</x:v>
      </x:c>
      <x:c r="J37" s="5" t="str">
        <x:v>SOURCE QUOTE; unvalidated / superseded assessments</x:v>
      </x:c>
      <x:c r="L37" s="31" t="str">
        <x:v>D01, Markdown line 148; http://nas-1.tail55d152.ts.net:4100/static/2S_CONSULTING_NORDIC_OUTREACH_STRATEGY.html</x:v>
      </x:c>
    </x:row>
    <x:row r="38" ht="42" customHeight="1">
      <x:c r="A38" s="5" t="str">
        <x:v>D01</x:v>
      </x:c>
      <x:c r="B38" s="5" t="str">
        <x:v>D01-L0150-1</x:v>
      </x:c>
      <x:c r="C38" s="5" t="str">
        <x:v>4.1 Track A: MedTech &amp; SaMD Titans</x:v>
      </x:c>
      <x:c r="D38" s="5" t="n">
        <x:v>150</x:v>
      </x:c>
      <x:c r="E38" s="5" t="n">
        <x:v>150</x:v>
      </x:c>
      <x:c r="F38" s="5" t="str">
        <x:v>heading</x:v>
      </x:c>
      <x:c r="G38" s="5" t="n">
        <x:v>1</x:v>
      </x:c>
      <x:c r="H38" s="5" t="n">
        <x:v>1</x:v>
      </x:c>
      <x:c r="I38" s="5" t="str">
        <x:v>### 4.1 Track A: MedTech &amp; SaMD Titans</x:v>
      </x:c>
      <x:c r="J38" s="5" t="str">
        <x:v>SOURCE QUOTE; unvalidated / superseded assessments</x:v>
      </x:c>
      <x:c r="L38" s="31" t="str">
        <x:v>D01, Markdown line 150; http://nas-1.tail55d152.ts.net:4100/static/2S_CONSULTING_NORDIC_OUTREACH_STRATEGY.html</x:v>
      </x:c>
    </x:row>
    <x:row r="39" ht="42" customHeight="1">
      <x:c r="A39" s="5" t="str">
        <x:v>D01</x:v>
      </x:c>
      <x:c r="B39" s="5" t="str">
        <x:v>D01-L0152-1</x:v>
      </x:c>
      <x:c r="C39" s="5" t="str">
        <x:v>1. Getinge AB (Gothenburg, Sweden)</x:v>
      </x:c>
      <x:c r="D39" s="5" t="n">
        <x:v>152</x:v>
      </x:c>
      <x:c r="E39" s="5" t="n">
        <x:v>152</x:v>
      </x:c>
      <x:c r="F39" s="5" t="str">
        <x:v>heading</x:v>
      </x:c>
      <x:c r="G39" s="5" t="n">
        <x:v>1</x:v>
      </x:c>
      <x:c r="H39" s="5" t="n">
        <x:v>1</x:v>
      </x:c>
      <x:c r="I39" s="5" t="str">
        <x:v>#### 1. Getinge AB (Gothenburg, Sweden)</x:v>
      </x:c>
      <x:c r="J39" s="5" t="str">
        <x:v>SOURCE QUOTE; unvalidated / superseded assessments</x:v>
      </x:c>
      <x:c r="L39" s="31" t="str">
        <x:v>D01, Markdown line 152; http://nas-1.tail55d152.ts.net:4100/static/2S_CONSULTING_NORDIC_OUTREACH_STRATEGY.html</x:v>
      </x:c>
    </x:row>
    <x:row r="40" ht="224" customHeight="1">
      <x:c r="A40" s="5" t="str">
        <x:v>D01</x:v>
      </x:c>
      <x:c r="B40" s="5" t="str">
        <x:v>D01-L0153-1</x:v>
      </x:c>
      <x:c r="C40" s="5" t="str">
        <x:v>1. Getinge AB (Gothenburg, Sweden)</x:v>
      </x:c>
      <x:c r="D40" s="5" t="n">
        <x:v>153</x:v>
      </x:c>
      <x:c r="E40" s="5" t="n">
        <x:v>158</x:v>
      </x:c>
      <x:c r="F40" s="5" t="str">
        <x:v>text</x:v>
      </x:c>
      <x:c r="G40" s="5" t="n">
        <x:v>1</x:v>
      </x:c>
      <x:c r="H40" s="5" t="n">
        <x:v>1</x:v>
      </x:c>
      <x:c r="I40" s="5" t="str">
        <x:v>- **Financial Profile**: Revenue: SEK 31.8 Billion (~€2.8B) | Employees: 11,000+ | Public (Nasdaq Stockholm: GETI-B).
- **Core Product Lines**: Servo-u / Servo-air ICU Ventilators, Maquet Operating Tables &amp; Lights, Cardiopulmonary Extracorporeal Systems, Cleanroom Autoclaves.
- **Critical Friction Point**: Nordic and European hospital procurement boards are refusing capital expenditure outlays for ventilator fleets. Getinge faces margin pressure from Draeger and Hamilton Medical.
- **Target Buyer Persona**: *Chief Commercial Officer* / *VP Regulatory &amp; Quality Affairs*.
- **Bountytek AB Operational Wedge**: **Hospital CFO DaaS Procurement Calculator (€28,000 / SEK 320,000)**.
- **Asymmetric Value Proposition**: Provide Getinge’s commercial sales force with an interactive health economic calculator demonstrating to hospital CFOs that transitioning to Getinge's Device-as-a-Service model yields a 14-month ROI via reduced ICU bed-days and automated consumable reordering.</x:v>
      </x:c>
      <x:c r="J40" s="5" t="str">
        <x:v>SOURCE QUOTE; unvalidated / superseded assessments</x:v>
      </x:c>
      <x:c r="L40" s="31" t="str">
        <x:v>D01, Markdown line 153; http://nas-1.tail55d152.ts.net:4100/static/2S_CONSULTING_NORDIC_OUTREACH_STRATEGY.html</x:v>
      </x:c>
    </x:row>
    <x:row r="41" ht="42" customHeight="1">
      <x:c r="A41" s="5" t="str">
        <x:v>D01</x:v>
      </x:c>
      <x:c r="B41" s="5" t="str">
        <x:v>D01-L0160-1</x:v>
      </x:c>
      <x:c r="C41" s="5" t="str">
        <x:v>2. Elekta AB (Stockholm, Sweden)</x:v>
      </x:c>
      <x:c r="D41" s="5" t="n">
        <x:v>160</x:v>
      </x:c>
      <x:c r="E41" s="5" t="n">
        <x:v>160</x:v>
      </x:c>
      <x:c r="F41" s="5" t="str">
        <x:v>heading</x:v>
      </x:c>
      <x:c r="G41" s="5" t="n">
        <x:v>1</x:v>
      </x:c>
      <x:c r="H41" s="5" t="n">
        <x:v>1</x:v>
      </x:c>
      <x:c r="I41" s="5" t="str">
        <x:v>#### 2. Elekta AB (Stockholm, Sweden)</x:v>
      </x:c>
      <x:c r="J41" s="5" t="str">
        <x:v>SOURCE QUOTE; unvalidated / superseded assessments</x:v>
      </x:c>
      <x:c r="L41" s="31" t="str">
        <x:v>D01, Markdown line 160; http://nas-1.tail55d152.ts.net:4100/static/2S_CONSULTING_NORDIC_OUTREACH_STRATEGY.html</x:v>
      </x:c>
    </x:row>
    <x:row r="42" ht="224" customHeight="1">
      <x:c r="A42" s="5" t="str">
        <x:v>D01</x:v>
      </x:c>
      <x:c r="B42" s="5" t="str">
        <x:v>D01-L0161-1</x:v>
      </x:c>
      <x:c r="C42" s="5" t="str">
        <x:v>2. Elekta AB (Stockholm, Sweden)</x:v>
      </x:c>
      <x:c r="D42" s="5" t="n">
        <x:v>161</x:v>
      </x:c>
      <x:c r="E42" s="5" t="n">
        <x:v>166</x:v>
      </x:c>
      <x:c r="F42" s="5" t="str">
        <x:v>text</x:v>
      </x:c>
      <x:c r="G42" s="5" t="n">
        <x:v>1</x:v>
      </x:c>
      <x:c r="H42" s="5" t="n">
        <x:v>1</x:v>
      </x:c>
      <x:c r="I42" s="5" t="str">
        <x:v>- **Financial Profile**: Revenue: SEK 18.5 Billion (~€1.6B) | Employees: 4,700+ | Public (Nasdaq Stockholm: EKTA-B).
- **Core Product Lines**: Leksell Gamma Knife, Elekta Harmony / Versa HD Linear Accelerators, MOSAIQ Oncology Information System, Elekta ONE Software.
- **Critical Friction Point**: Software-intensive radiation therapy platforms face immediate scrutiny under the **EU AI Act (Annex I/III)** for automated radiation beam targeting algorithms and adaptive MRI-guided contouring.
- **Target Buyer Persona**: *Chief Technology Officer* / *VP Software Quality &amp; AI Governance*.
- **Bountytek AB Operational Wedge**: **EU AI Act High-Risk Software Audit &amp; Algorithmic Validation (€35,000 / SEK 400,000)**.
- **Asymmetric Value Proposition**: Execute independent verification of machine-learning contouring algorithms on Numantra’s sovereign Finnish cloud infrastructure ([https://www.numantratech.ai/](https://www.numantratech.ai/)), generating tamper-proof algorithmic audit trails and MDCG 2019-16 compliance documentation.</x:v>
      </x:c>
      <x:c r="J42" s="5" t="str">
        <x:v>SOURCE QUOTE; unvalidated / superseded assessments</x:v>
      </x:c>
      <x:c r="L42" s="31" t="str">
        <x:v>D01, Markdown line 161; http://nas-1.tail55d152.ts.net:4100/static/2S_CONSULTING_NORDIC_OUTREACH_STRATEGY.html</x:v>
      </x:c>
    </x:row>
    <x:row r="43" ht="42" customHeight="1">
      <x:c r="A43" s="5" t="str">
        <x:v>D01</x:v>
      </x:c>
      <x:c r="B43" s="5" t="str">
        <x:v>D01-L0168-1</x:v>
      </x:c>
      <x:c r="C43" s="5" t="str">
        <x:v>3. Vitrolife AB (Gothenburg, Sweden)</x:v>
      </x:c>
      <x:c r="D43" s="5" t="n">
        <x:v>168</x:v>
      </x:c>
      <x:c r="E43" s="5" t="n">
        <x:v>168</x:v>
      </x:c>
      <x:c r="F43" s="5" t="str">
        <x:v>heading</x:v>
      </x:c>
      <x:c r="G43" s="5" t="n">
        <x:v>1</x:v>
      </x:c>
      <x:c r="H43" s="5" t="n">
        <x:v>1</x:v>
      </x:c>
      <x:c r="I43" s="5" t="str">
        <x:v>#### 3. Vitrolife AB (Gothenburg, Sweden)</x:v>
      </x:c>
      <x:c r="J43" s="5" t="str">
        <x:v>SOURCE QUOTE; unvalidated / superseded assessments</x:v>
      </x:c>
      <x:c r="L43" s="31" t="str">
        <x:v>D01, Markdown line 168; http://nas-1.tail55d152.ts.net:4100/static/2S_CONSULTING_NORDIC_OUTREACH_STRATEGY.html</x:v>
      </x:c>
    </x:row>
    <x:row r="44" ht="196" customHeight="1">
      <x:c r="A44" s="5" t="str">
        <x:v>D01</x:v>
      </x:c>
      <x:c r="B44" s="5" t="str">
        <x:v>D01-L0169-1</x:v>
      </x:c>
      <x:c r="C44" s="5" t="str">
        <x:v>3. Vitrolife AB (Gothenburg, Sweden)</x:v>
      </x:c>
      <x:c r="D44" s="5" t="n">
        <x:v>169</x:v>
      </x:c>
      <x:c r="E44" s="5" t="n">
        <x:v>174</x:v>
      </x:c>
      <x:c r="F44" s="5" t="str">
        <x:v>text</x:v>
      </x:c>
      <x:c r="G44" s="5" t="n">
        <x:v>1</x:v>
      </x:c>
      <x:c r="H44" s="5" t="n">
        <x:v>1</x:v>
      </x:c>
      <x:c r="I44" s="5" t="str">
        <x:v>- **Financial Profile**: Revenue: SEK 3.5 Billion (~€310M) | Employees: 1,100+ | Public (Nasdaq Stockholm: VITR).
- **Core Product Lines**: Time-lapse embryo incubation systems (EmbryoScope+), IVF culture media, cryopreservation systems, genomic testing software.
- **Critical Friction Point**: Transitioning automated time-lapse AI embryo scoring software from IVDD to **EU IVDR 2017/746 Class C/D**. Notified Body capacity delays threaten commercial rollout in Southern and Western Europe.
- **Target Buyer Persona**: *VP Quality &amp; Regulatory Affairs* / *Head of Software R&amp;D*.
- **Bountytek AB Operational Wedge**: **IVDR Class C/D Technical File Remediation &amp; Algorithmic Audit (€35,000 / SEK 400,000)**.
- **Asymmetric Value Proposition**: Deliver a complete gap remediation package for EmbryoScope AI scoring algorithms, authoring performance evaluation reports (PER) compliant with MDCG 2020-1.</x:v>
      </x:c>
      <x:c r="J44" s="5" t="str">
        <x:v>SOURCE QUOTE; unvalidated / superseded assessments</x:v>
      </x:c>
      <x:c r="L44" s="31" t="str">
        <x:v>D01, Markdown line 169; http://nas-1.tail55d152.ts.net:4100/static/2S_CONSULTING_NORDIC_OUTREACH_STRATEGY.html</x:v>
      </x:c>
    </x:row>
    <x:row r="45" ht="42" customHeight="1">
      <x:c r="A45" s="5" t="str">
        <x:v>D01</x:v>
      </x:c>
      <x:c r="B45" s="5" t="str">
        <x:v>D01-L0176-1</x:v>
      </x:c>
      <x:c r="C45" s="5" t="str">
        <x:v>4. Sectra AB (Linköping, Sweden)</x:v>
      </x:c>
      <x:c r="D45" s="5" t="n">
        <x:v>176</x:v>
      </x:c>
      <x:c r="E45" s="5" t="n">
        <x:v>176</x:v>
      </x:c>
      <x:c r="F45" s="5" t="str">
        <x:v>heading</x:v>
      </x:c>
      <x:c r="G45" s="5" t="n">
        <x:v>1</x:v>
      </x:c>
      <x:c r="H45" s="5" t="n">
        <x:v>1</x:v>
      </x:c>
      <x:c r="I45" s="5" t="str">
        <x:v>#### 4. Sectra AB (Linköping, Sweden)</x:v>
      </x:c>
      <x:c r="J45" s="5" t="str">
        <x:v>SOURCE QUOTE; unvalidated / superseded assessments</x:v>
      </x:c>
      <x:c r="L45" s="31" t="str">
        <x:v>D01, Markdown line 176; http://nas-1.tail55d152.ts.net:4100/static/2S_CONSULTING_NORDIC_OUTREACH_STRATEGY.html</x:v>
      </x:c>
    </x:row>
    <x:row r="46" ht="210" customHeight="1">
      <x:c r="A46" s="5" t="str">
        <x:v>D01</x:v>
      </x:c>
      <x:c r="B46" s="5" t="str">
        <x:v>D01-L0177-1</x:v>
      </x:c>
      <x:c r="C46" s="5" t="str">
        <x:v>4. Sectra AB (Linköping, Sweden)</x:v>
      </x:c>
      <x:c r="D46" s="5" t="n">
        <x:v>177</x:v>
      </x:c>
      <x:c r="E46" s="5" t="n">
        <x:v>182</x:v>
      </x:c>
      <x:c r="F46" s="5" t="str">
        <x:v>text</x:v>
      </x:c>
      <x:c r="G46" s="5" t="n">
        <x:v>1</x:v>
      </x:c>
      <x:c r="H46" s="5" t="n">
        <x:v>1</x:v>
      </x:c>
      <x:c r="I46" s="5" t="str">
        <x:v>- **Financial Profile**: Revenue: SEK 2.7 Billion (~€235M) | Employees: 1,000+ | Public (Nasdaq Stockholm: SECT-B).
- **Core Product Lines**: Enterprise PACS, Vendor Neutral Archive (VNA), Digital Pathology AI Suite, Orthopaedic Surgery Planning Software.
- **Critical Friction Point**: Rapidly scaling third-party AI image diagnostic algorithms within the Sectra Amplifier Marketplace. Requires continuous software validation (EN 60601-1, ISO 14971) and cloud cybersecurity conformity under NIS2 and GDPR.
- **Target Buyer Persona**: *VP Medical Informatics* / *Head of Cybersecurity &amp; Compliance*.
- **Bountytek AB Operational Wedge**: **PACS AI Marketplace Algorithm Verification Engine (€32,000 / SEK 360,000)**.
- **Asymmetric Value Proposition**: Provide a standardized verification wrapper for incoming third-party algorithms, ensuring automated conformity with MDR Rule 11 and EU AI Act Article 10 data governance rules.</x:v>
      </x:c>
      <x:c r="J46" s="5" t="str">
        <x:v>SOURCE QUOTE; unvalidated / superseded assessments</x:v>
      </x:c>
      <x:c r="L46" s="31" t="str">
        <x:v>D01, Markdown line 177; http://nas-1.tail55d152.ts.net:4100/static/2S_CONSULTING_NORDIC_OUTREACH_STRATEGY.html</x:v>
      </x:c>
    </x:row>
    <x:row r="47" ht="42" customHeight="1">
      <x:c r="A47" s="5" t="str">
        <x:v>D01</x:v>
      </x:c>
      <x:c r="B47" s="5" t="str">
        <x:v>D01-L0184-1</x:v>
      </x:c>
      <x:c r="C47" s="5" t="str">
        <x:v>5. RaySearch Laboratories AB (Stockholm, Sweden)</x:v>
      </x:c>
      <x:c r="D47" s="5" t="n">
        <x:v>184</x:v>
      </x:c>
      <x:c r="E47" s="5" t="n">
        <x:v>184</x:v>
      </x:c>
      <x:c r="F47" s="5" t="str">
        <x:v>heading</x:v>
      </x:c>
      <x:c r="G47" s="5" t="n">
        <x:v>1</x:v>
      </x:c>
      <x:c r="H47" s="5" t="n">
        <x:v>1</x:v>
      </x:c>
      <x:c r="I47" s="5" t="str">
        <x:v>#### 5. RaySearch Laboratories AB (Stockholm, Sweden)</x:v>
      </x:c>
      <x:c r="J47" s="5" t="str">
        <x:v>SOURCE QUOTE; unvalidated / superseded assessments</x:v>
      </x:c>
      <x:c r="L47" s="31" t="str">
        <x:v>D01, Markdown line 184; http://nas-1.tail55d152.ts.net:4100/static/2S_CONSULTING_NORDIC_OUTREACH_STRATEGY.html</x:v>
      </x:c>
    </x:row>
    <x:row r="48" ht="210" customHeight="1">
      <x:c r="A48" s="5" t="str">
        <x:v>D01</x:v>
      </x:c>
      <x:c r="B48" s="5" t="str">
        <x:v>D01-L0185-1</x:v>
      </x:c>
      <x:c r="C48" s="5" t="str">
        <x:v>5. RaySearch Laboratories AB (Stockholm, Sweden)</x:v>
      </x:c>
      <x:c r="D48" s="5" t="n">
        <x:v>185</x:v>
      </x:c>
      <x:c r="E48" s="5" t="n">
        <x:v>190</x:v>
      </x:c>
      <x:c r="F48" s="5" t="str">
        <x:v>text</x:v>
      </x:c>
      <x:c r="G48" s="5" t="n">
        <x:v>1</x:v>
      </x:c>
      <x:c r="H48" s="5" t="n">
        <x:v>1</x:v>
      </x:c>
      <x:c r="I48" s="5" t="str">
        <x:v>- **Financial Profile**: Revenue: SEK 1.05 Billion (~€92M) | Employees: 380+ | Public (Nasdaq Stockholm: RAY-B).
- **Core Product Lines**: RayStation Treatment Planning System, RayCare Oncology Information System, RayIntelligence Oncology Analytics.
- **Critical Friction Point**: Deep learning automated organ segmentation and machine learning proton beam dose optimization require massive clinical verification documentation under MDR 2017/745.
- **Target Buyer Persona**: *VP Quality Assurance &amp; Regulatory Affairs* / *Chief Science Officer*.
- **Bountytek AB Operational Wedge**: **Deep Learning Algorithmic Risk Governance Package (€28,000 / SEK 320,000)**.
- **Asymmetric Value Proposition**: Co-author clinical evaluation reports (CER) with empirical statistical benchmarking of contouring accuracy, slashing Notified Body technical clarification rounds.</x:v>
      </x:c>
      <x:c r="J48" s="5" t="str">
        <x:v>SOURCE QUOTE; unvalidated / superseded assessments</x:v>
      </x:c>
      <x:c r="L48" s="31" t="str">
        <x:v>D01, Markdown line 185; http://nas-1.tail55d152.ts.net:4100/static/2S_CONSULTING_NORDIC_OUTREACH_STRATEGY.html</x:v>
      </x:c>
    </x:row>
    <x:row r="49" ht="42" customHeight="1">
      <x:c r="A49" s="5" t="str">
        <x:v>D01</x:v>
      </x:c>
      <x:c r="B49" s="5" t="str">
        <x:v>D01-L0192-1</x:v>
      </x:c>
      <x:c r="C49" s="5" t="str">
        <x:v>6. Bactiguard AB (Stockholm, Sweden)</x:v>
      </x:c>
      <x:c r="D49" s="5" t="n">
        <x:v>192</x:v>
      </x:c>
      <x:c r="E49" s="5" t="n">
        <x:v>192</x:v>
      </x:c>
      <x:c r="F49" s="5" t="str">
        <x:v>heading</x:v>
      </x:c>
      <x:c r="G49" s="5" t="n">
        <x:v>1</x:v>
      </x:c>
      <x:c r="H49" s="5" t="n">
        <x:v>1</x:v>
      </x:c>
      <x:c r="I49" s="5" t="str">
        <x:v>#### 6. Bactiguard AB (Stockholm, Sweden)</x:v>
      </x:c>
      <x:c r="J49" s="5" t="str">
        <x:v>SOURCE QUOTE; unvalidated / superseded assessments</x:v>
      </x:c>
      <x:c r="L49" s="31" t="str">
        <x:v>D01, Markdown line 192; http://nas-1.tail55d152.ts.net:4100/static/2S_CONSULTING_NORDIC_OUTREACH_STRATEGY.html</x:v>
      </x:c>
    </x:row>
    <x:row r="50" ht="196" customHeight="1">
      <x:c r="A50" s="5" t="str">
        <x:v>D01</x:v>
      </x:c>
      <x:c r="B50" s="5" t="str">
        <x:v>D01-L0193-1</x:v>
      </x:c>
      <x:c r="C50" s="5" t="str">
        <x:v>6. Bactiguard AB (Stockholm, Sweden)</x:v>
      </x:c>
      <x:c r="D50" s="5" t="n">
        <x:v>193</x:v>
      </x:c>
      <x:c r="E50" s="5" t="n">
        <x:v>198</x:v>
      </x:c>
      <x:c r="F50" s="5" t="str">
        <x:v>text</x:v>
      </x:c>
      <x:c r="G50" s="5" t="n">
        <x:v>1</x:v>
      </x:c>
      <x:c r="H50" s="5" t="n">
        <x:v>1</x:v>
      </x:c>
      <x:c r="I50" s="5" t="str">
        <x:v>- **Financial Profile**: Revenue: SEK 250 Million (~€22M) | Employees: 200+ | Public (Nasdaq Stockholm: BACTI-B).
- **Core Product Lines**: Noble metal anti-infective coating technology (BIP) for Foley catheters, central venous catheters, and orthopedic trauma implants.
- **Critical Friction Point**: Defending premium pricing against un-coated generic catheters in Nordic hospital tenders (*Region Stockholm*, *Region Skåne*).
- **Target Buyer Persona**: *Chief Commercial Officer* / *Head of Market Access &amp; Health Economics*.
- **Bountytek AB Operational Wedge**: **Catheter Total Cost of Care (TCC) Hospital Tender Engine (€28,000 / SEK 320,000)**.
- **Asymmetric Value Proposition**: Model the financial impact of catheter-associated urinary tract infections (CAUTI) inside Bountytek AB's HEOR calculator, providing public tender boards with quantitative proof of ICU bed-day cost avoidance.</x:v>
      </x:c>
      <x:c r="J50" s="5" t="str">
        <x:v>SOURCE QUOTE; unvalidated / superseded assessments</x:v>
      </x:c>
      <x:c r="L50" s="31" t="str">
        <x:v>D01, Markdown line 193; http://nas-1.tail55d152.ts.net:4100/static/2S_CONSULTING_NORDIC_OUTREACH_STRATEGY.html</x:v>
      </x:c>
    </x:row>
    <x:row r="51" ht="42" customHeight="1">
      <x:c r="A51" s="5" t="str">
        <x:v>D01</x:v>
      </x:c>
      <x:c r="B51" s="5" t="str">
        <x:v>D01-L0200-1</x:v>
      </x:c>
      <x:c r="C51" s="5" t="str">
        <x:v>7. Mentice AB (Gothenburg, Sweden)</x:v>
      </x:c>
      <x:c r="D51" s="5" t="n">
        <x:v>200</x:v>
      </x:c>
      <x:c r="E51" s="5" t="n">
        <x:v>200</x:v>
      </x:c>
      <x:c r="F51" s="5" t="str">
        <x:v>heading</x:v>
      </x:c>
      <x:c r="G51" s="5" t="n">
        <x:v>1</x:v>
      </x:c>
      <x:c r="H51" s="5" t="n">
        <x:v>1</x:v>
      </x:c>
      <x:c r="I51" s="5" t="str">
        <x:v>#### 7. Mentice AB (Gothenburg, Sweden)</x:v>
      </x:c>
      <x:c r="J51" s="5" t="str">
        <x:v>SOURCE QUOTE; unvalidated / superseded assessments</x:v>
      </x:c>
      <x:c r="L51" s="31" t="str">
        <x:v>D01, Markdown line 200; http://nas-1.tail55d152.ts.net:4100/static/2S_CONSULTING_NORDIC_OUTREACH_STRATEGY.html</x:v>
      </x:c>
    </x:row>
    <x:row r="52" ht="196" customHeight="1">
      <x:c r="A52" s="5" t="str">
        <x:v>D01</x:v>
      </x:c>
      <x:c r="B52" s="5" t="str">
        <x:v>D01-L0201-1</x:v>
      </x:c>
      <x:c r="C52" s="5" t="str">
        <x:v>7. Mentice AB (Gothenburg, Sweden)</x:v>
      </x:c>
      <x:c r="D52" s="5" t="n">
        <x:v>201</x:v>
      </x:c>
      <x:c r="E52" s="5" t="n">
        <x:v>206</x:v>
      </x:c>
      <x:c r="F52" s="5" t="str">
        <x:v>text</x:v>
      </x:c>
      <x:c r="G52" s="5" t="n">
        <x:v>1</x:v>
      </x:c>
      <x:c r="H52" s="5" t="n">
        <x:v>1</x:v>
      </x:c>
      <x:c r="I52" s="5" t="str">
        <x:v>- **Financial Profile**: Revenue: SEK 240 Million (~€21M) | Employees: 130+ | Public (Nasdaq Stockholm: MNTC).
- **Core Product Lines**: Endovascular interventional medical simulation hardware, software simulators, anatomical flow models.
- **Critical Friction Point**: Transitioning simulation platforms from academic training tools into certified software workflows used for pre-operative clinical decision support (Class IIa/IIb SaMD under MDR Rule 11).
- **Target Buyer Persona**: *VP Strategic Marketing &amp; Business Development* / *VP Software R&amp;D*.
- **Bountytek AB Operational Wedge**: **MDR Rule 11 SaMD Clinical Transition Audit (€28,000 / SEK 320,000)**.
- **Asymmetric Value Proposition**: Structure the regulatory pathway for clinical decision support classification, opening recurring hospital clinical billing codes.</x:v>
      </x:c>
      <x:c r="J52" s="5" t="str">
        <x:v>SOURCE QUOTE; unvalidated / superseded assessments</x:v>
      </x:c>
      <x:c r="L52" s="31" t="str">
        <x:v>D01, Markdown line 201; http://nas-1.tail55d152.ts.net:4100/static/2S_CONSULTING_NORDIC_OUTREACH_STRATEGY.html</x:v>
      </x:c>
    </x:row>
    <x:row r="53" ht="42" customHeight="1">
      <x:c r="A53" s="5" t="str">
        <x:v>D01</x:v>
      </x:c>
      <x:c r="B53" s="5" t="str">
        <x:v>D01-L0208-1</x:v>
      </x:c>
      <x:c r="C53" s="5" t="str">
        <x:v>8. AMRA Medical AB (Linköping, Sweden)</x:v>
      </x:c>
      <x:c r="D53" s="5" t="n">
        <x:v>208</x:v>
      </x:c>
      <x:c r="E53" s="5" t="n">
        <x:v>208</x:v>
      </x:c>
      <x:c r="F53" s="5" t="str">
        <x:v>heading</x:v>
      </x:c>
      <x:c r="G53" s="5" t="n">
        <x:v>1</x:v>
      </x:c>
      <x:c r="H53" s="5" t="n">
        <x:v>1</x:v>
      </x:c>
      <x:c r="I53" s="5" t="str">
        <x:v>#### 8. AMRA Medical AB (Linköping, Sweden)</x:v>
      </x:c>
      <x:c r="J53" s="5" t="str">
        <x:v>SOURCE QUOTE; unvalidated / superseded assessments</x:v>
      </x:c>
      <x:c r="L53" s="31" t="str">
        <x:v>D01, Markdown line 208; http://nas-1.tail55d152.ts.net:4100/static/2S_CONSULTING_NORDIC_OUTREACH_STRATEGY.html</x:v>
      </x:c>
    </x:row>
    <x:row r="54" ht="182" customHeight="1">
      <x:c r="A54" s="5" t="str">
        <x:v>D01</x:v>
      </x:c>
      <x:c r="B54" s="5" t="str">
        <x:v>D01-L0209-1</x:v>
      </x:c>
      <x:c r="C54" s="5" t="str">
        <x:v>8. AMRA Medical AB (Linköping, Sweden)</x:v>
      </x:c>
      <x:c r="D54" s="5" t="n">
        <x:v>209</x:v>
      </x:c>
      <x:c r="E54" s="5" t="n">
        <x:v>214</x:v>
      </x:c>
      <x:c r="F54" s="5" t="str">
        <x:v>text</x:v>
      </x:c>
      <x:c r="G54" s="5" t="n">
        <x:v>1</x:v>
      </x:c>
      <x:c r="H54" s="5" t="n">
        <x:v>1</x:v>
      </x:c>
      <x:c r="I54" s="5" t="str">
        <x:v>- **Financial Profile**: High-growth venture-backed spin-out | 60+ Employees | Private.
- **Core Product Lines**: AMRA Researcher, AMRA Profiler (MRI-based body composition and muscle volume analysis software).
- **Critical Friction Point**: Scaling clinical trial muscle biomarker profiling services to multinational biopharma sponsors while maintaining GCP and FDA 21 CFR Part 11 software audit compliance.
- **Target Buyer Persona**: *Chief Executive Officer* / *Head of Clinical Operations*.
- **Bountytek AB Operational Wedge**: **Biopharma GCP Cloud Data Pipeline Verification (€28,000 / SEK 320,000)**.
- **Asymmetric Value Proposition**: Certify data pipelines on Numantra's Finnish sovereign cloud infrastructure, ensuring multi-site data integrity for Phase II/III metabolic and sarcopenia trials.</x:v>
      </x:c>
      <x:c r="J54" s="5" t="str">
        <x:v>SOURCE QUOTE; unvalidated / superseded assessments</x:v>
      </x:c>
      <x:c r="L54" s="31" t="str">
        <x:v>D01, Markdown line 209; http://nas-1.tail55d152.ts.net:4100/static/2S_CONSULTING_NORDIC_OUTREACH_STRATEGY.html</x:v>
      </x:c>
    </x:row>
    <x:row r="55" ht="42" customHeight="1">
      <x:c r="A55" s="5" t="str">
        <x:v>D01</x:v>
      </x:c>
      <x:c r="B55" s="5" t="str">
        <x:v>D01-L0218-1</x:v>
      </x:c>
      <x:c r="C55" s="5" t="str">
        <x:v>4.2 Track B: Pharma, Biotech &amp; Chemical CDMO Powerhouses</x:v>
      </x:c>
      <x:c r="D55" s="5" t="n">
        <x:v>218</x:v>
      </x:c>
      <x:c r="E55" s="5" t="n">
        <x:v>218</x:v>
      </x:c>
      <x:c r="F55" s="5" t="str">
        <x:v>heading</x:v>
      </x:c>
      <x:c r="G55" s="5" t="n">
        <x:v>1</x:v>
      </x:c>
      <x:c r="H55" s="5" t="n">
        <x:v>1</x:v>
      </x:c>
      <x:c r="I55" s="5" t="str">
        <x:v>### 4.2 Track B: Pharma, Biotech &amp; Chemical CDMO Powerhouses</x:v>
      </x:c>
      <x:c r="J55" s="5" t="str">
        <x:v>SOURCE QUOTE; unvalidated / superseded assessments</x:v>
      </x:c>
      <x:c r="L55" s="31" t="str">
        <x:v>D01, Markdown line 218; http://nas-1.tail55d152.ts.net:4100/static/2S_CONSULTING_NORDIC_OUTREACH_STRATEGY.html</x:v>
      </x:c>
    </x:row>
    <x:row r="56" ht="42" customHeight="1">
      <x:c r="A56" s="5" t="str">
        <x:v>D01</x:v>
      </x:c>
      <x:c r="B56" s="5" t="str">
        <x:v>D01-L0220-1</x:v>
      </x:c>
      <x:c r="C56" s="5" t="str">
        <x:v>9. Swedish Orphan Biovitrum AB / Sobi (Stockholm, Sweden)</x:v>
      </x:c>
      <x:c r="D56" s="5" t="n">
        <x:v>220</x:v>
      </x:c>
      <x:c r="E56" s="5" t="n">
        <x:v>220</x:v>
      </x:c>
      <x:c r="F56" s="5" t="str">
        <x:v>heading</x:v>
      </x:c>
      <x:c r="G56" s="5" t="n">
        <x:v>1</x:v>
      </x:c>
      <x:c r="H56" s="5" t="n">
        <x:v>1</x:v>
      </x:c>
      <x:c r="I56" s="5" t="str">
        <x:v>#### 9. Swedish Orphan Biovitrum AB / Sobi (Stockholm, Sweden)</x:v>
      </x:c>
      <x:c r="J56" s="5" t="str">
        <x:v>SOURCE QUOTE; unvalidated / superseded assessments</x:v>
      </x:c>
      <x:c r="L56" s="31" t="str">
        <x:v>D01, Markdown line 220; http://nas-1.tail55d152.ts.net:4100/static/2S_CONSULTING_NORDIC_OUTREACH_STRATEGY.html</x:v>
      </x:c>
    </x:row>
    <x:row r="57" ht="210" customHeight="1">
      <x:c r="A57" s="5" t="str">
        <x:v>D01</x:v>
      </x:c>
      <x:c r="B57" s="5" t="str">
        <x:v>D01-L0221-1</x:v>
      </x:c>
      <x:c r="C57" s="5" t="str">
        <x:v>9. Swedish Orphan Biovitrum AB / Sobi (Stockholm, Sweden)</x:v>
      </x:c>
      <x:c r="D57" s="5" t="n">
        <x:v>221</x:v>
      </x:c>
      <x:c r="E57" s="5" t="n">
        <x:v>226</x:v>
      </x:c>
      <x:c r="F57" s="5" t="str">
        <x:v>text</x:v>
      </x:c>
      <x:c r="G57" s="5" t="n">
        <x:v>1</x:v>
      </x:c>
      <x:c r="H57" s="5" t="n">
        <x:v>1</x:v>
      </x:c>
      <x:c r="I57" s="5" t="str">
        <x:v>- **Financial Profile**: Revenue: SEK 22.1 Billion (~€1.95B) | Employees: 1,800+ | Public (Nasdaq Stockholm: SOBI).
- **Therapeutic Focus**: Rare diseases, Hematology (*Elocta*, *Alprolix*), Immunology (*Kineret*, *Gamifant*).
- **Critical Friction Point**: Extreme gross-to-net (GTN) pricing erosion in public tenders across Scandinavia and Central Europe. Inability to monitor real-time stockist depletions (Tamro/Oriola) leads to unanticipated hospital penalty clawbacks.
- **Target Buyer Persona**: *Chief Commercial Officer* / *Head of Global Supply Chain &amp; Market Access*.
- **Bountytek AB Operational Wedge**: **Merck-Proven Commercial S&amp;OP &amp; GTN Leakage Diagnostic (€35,000 / SEK 400,000)**.
- **Asymmetric Value Proposition**: Deploy 2S's S&amp;OP architecture to integrate primary SAP sales with secondary wholesaler sell-out data, identifying 3% to 5% in uncollected rebates and eliminating tender stockout penalties.</x:v>
      </x:c>
      <x:c r="J57" s="5" t="str">
        <x:v>SOURCE QUOTE; unvalidated / superseded assessments</x:v>
      </x:c>
      <x:c r="L57" s="31" t="str">
        <x:v>D01, Markdown line 221; http://nas-1.tail55d152.ts.net:4100/static/2S_CONSULTING_NORDIC_OUTREACH_STRATEGY.html</x:v>
      </x:c>
    </x:row>
    <x:row r="58" ht="42" customHeight="1">
      <x:c r="A58" s="5" t="str">
        <x:v>D01</x:v>
      </x:c>
      <x:c r="B58" s="5" t="str">
        <x:v>D01-L0228-1</x:v>
      </x:c>
      <x:c r="C58" s="5" t="str">
        <x:v>10. Novo Nordisk A/S (Copenhagen, Denmark &amp; Malmö Site)</x:v>
      </x:c>
      <x:c r="D58" s="5" t="n">
        <x:v>228</x:v>
      </x:c>
      <x:c r="E58" s="5" t="n">
        <x:v>228</x:v>
      </x:c>
      <x:c r="F58" s="5" t="str">
        <x:v>heading</x:v>
      </x:c>
      <x:c r="G58" s="5" t="n">
        <x:v>1</x:v>
      </x:c>
      <x:c r="H58" s="5" t="n">
        <x:v>1</x:v>
      </x:c>
      <x:c r="I58" s="5" t="str">
        <x:v>#### 10. Novo Nordisk A/S (Copenhagen, Denmark &amp; Malmö Site)</x:v>
      </x:c>
      <x:c r="J58" s="5" t="str">
        <x:v>SOURCE QUOTE; unvalidated / superseded assessments</x:v>
      </x:c>
      <x:c r="L58" s="31" t="str">
        <x:v>D01, Markdown line 228; http://nas-1.tail55d152.ts.net:4100/static/2S_CONSULTING_NORDIC_OUTREACH_STRATEGY.html</x:v>
      </x:c>
    </x:row>
    <x:row r="59" ht="210" customHeight="1">
      <x:c r="A59" s="5" t="str">
        <x:v>D01</x:v>
      </x:c>
      <x:c r="B59" s="5" t="str">
        <x:v>D01-L0229-1</x:v>
      </x:c>
      <x:c r="C59" s="5" t="str">
        <x:v>10. Novo Nordisk A/S (Copenhagen, Denmark &amp; Malmö Site)</x:v>
      </x:c>
      <x:c r="D59" s="5" t="n">
        <x:v>229</x:v>
      </x:c>
      <x:c r="E59" s="5" t="n">
        <x:v>234</x:v>
      </x:c>
      <x:c r="F59" s="5" t="str">
        <x:v>text</x:v>
      </x:c>
      <x:c r="G59" s="5" t="n">
        <x:v>1</x:v>
      </x:c>
      <x:c r="H59" s="5" t="n">
        <x:v>1</x:v>
      </x:c>
      <x:c r="I59" s="5" t="str">
        <x:v>- **Financial Profile**: Revenue: DKK 232 Billion (~€32B) | Employees: 64,000+ | Public (Nasdaq Copenhagen: NOVO-B).
- **Therapeutic Focus**: Diabetes, Obesity (*Ozempic*, *Wegovy*), Rare Blood and Endocrine Disorders.
- **Critical Friction Point**: Staggering manufacturing capacity bottlenecks and cleanroom line turnaround delays for sterile injectable cartridge fill-finish lines across Nordic facilities.
- **Target Buyer Persona**: *VP Aseptic Manufacturing Operations* / *Head of Global Quality Control*.
- **Bountytek AB Operational Wedge**: **Unimark/Matix Sterile Cleanroom Turnaround Sprint (€35,000 / SEK 400,000)**.
- **Asymmetric Value Proposition**: Apply 2S's cGMP cleanroom sanitization changeover protocol, cutting cleanroom turnaround downtime by 40% and reclaiming up to 18 operational production hours per week.</x:v>
      </x:c>
      <x:c r="J59" s="5" t="str">
        <x:v>SOURCE QUOTE; unvalidated / superseded assessments</x:v>
      </x:c>
      <x:c r="L59" s="31" t="str">
        <x:v>D01, Markdown line 229; http://nas-1.tail55d152.ts.net:4100/static/2S_CONSULTING_NORDIC_OUTREACH_STRATEGY.html</x:v>
      </x:c>
    </x:row>
    <x:row r="60" ht="42" customHeight="1">
      <x:c r="A60" s="5" t="str">
        <x:v>D01</x:v>
      </x:c>
      <x:c r="B60" s="5" t="str">
        <x:v>D01-L0236-1</x:v>
      </x:c>
      <x:c r="C60" s="5" t="str">
        <x:v>11. AstraZeneca AB (Gothenburg R&amp;D Hub, Sweden)</x:v>
      </x:c>
      <x:c r="D60" s="5" t="n">
        <x:v>236</x:v>
      </x:c>
      <x:c r="E60" s="5" t="n">
        <x:v>236</x:v>
      </x:c>
      <x:c r="F60" s="5" t="str">
        <x:v>heading</x:v>
      </x:c>
      <x:c r="G60" s="5" t="n">
        <x:v>1</x:v>
      </x:c>
      <x:c r="H60" s="5" t="n">
        <x:v>1</x:v>
      </x:c>
      <x:c r="I60" s="5" t="str">
        <x:v>#### 11. AstraZeneca AB (Gothenburg R&amp;D Hub, Sweden)</x:v>
      </x:c>
      <x:c r="J60" s="5" t="str">
        <x:v>SOURCE QUOTE; unvalidated / superseded assessments</x:v>
      </x:c>
      <x:c r="L60" s="31" t="str">
        <x:v>D01, Markdown line 236; http://nas-1.tail55d152.ts.net:4100/static/2S_CONSULTING_NORDIC_OUTREACH_STRATEGY.html</x:v>
      </x:c>
    </x:row>
    <x:row r="61" ht="210" customHeight="1">
      <x:c r="A61" s="5" t="str">
        <x:v>D01</x:v>
      </x:c>
      <x:c r="B61" s="5" t="str">
        <x:v>D01-L0237-1</x:v>
      </x:c>
      <x:c r="C61" s="5" t="str">
        <x:v>11. AstraZeneca AB (Gothenburg R&amp;D Hub, Sweden)</x:v>
      </x:c>
      <x:c r="D61" s="5" t="n">
        <x:v>237</x:v>
      </x:c>
      <x:c r="E61" s="5" t="n">
        <x:v>242</x:v>
      </x:c>
      <x:c r="F61" s="5" t="str">
        <x:v>text</x:v>
      </x:c>
      <x:c r="G61" s="5" t="n">
        <x:v>1</x:v>
      </x:c>
      <x:c r="H61" s="5" t="n">
        <x:v>1</x:v>
      </x:c>
      <x:c r="I61" s="5" t="str">
        <x:v>- **Financial Profile**: Global Revenue: $45.8 Billion (~€42B) | Gothenburg Site: 3,000+ Scientists &amp; Engineers.
- **Therapeutic Focus**: Cardiovascular, Renal &amp; Metabolism (CVRM), Respiratory &amp; Immunology, Oncology.
- **Critical Friction Point**: Multi-million-dollar monthly cash burns in early-phase clinical trial patient screening across Scandinavian university clinics. Protocol exclusion bottlenecks delay trials by 4 to 8 months.
- **Target Buyer Persona**: *VP Clinical Development Operations (Gothenburg)* / *Head of Digital Health &amp; AI*.
- **Bountytek AB Operational Wedge**: **HCare360 NLP Scandinavian Clinical Cohort Acceleration Sprint (€35,000 / SEK 400,000)**.
- **Asymmetric Value Proposition**: Deploy multilingual NLP to screen unstructured clinical records across Nordic university clinics, identifying eligible patient cohorts in 14 days and saving &gt;€500,000 in monthly trial burn.</x:v>
      </x:c>
      <x:c r="J61" s="5" t="str">
        <x:v>SOURCE QUOTE; unvalidated / superseded assessments</x:v>
      </x:c>
      <x:c r="L61" s="31" t="str">
        <x:v>D01, Markdown line 237; http://nas-1.tail55d152.ts.net:4100/static/2S_CONSULTING_NORDIC_OUTREACH_STRATEGY.html</x:v>
      </x:c>
    </x:row>
    <x:row r="62" ht="42" customHeight="1">
      <x:c r="A62" s="5" t="str">
        <x:v>D01</x:v>
      </x:c>
      <x:c r="B62" s="5" t="str">
        <x:v>D01-L0244-1</x:v>
      </x:c>
      <x:c r="C62" s="5" t="str">
        <x:v>12. Camurus AB (Lund, Sweden)</x:v>
      </x:c>
      <x:c r="D62" s="5" t="n">
        <x:v>244</x:v>
      </x:c>
      <x:c r="E62" s="5" t="n">
        <x:v>244</x:v>
      </x:c>
      <x:c r="F62" s="5" t="str">
        <x:v>heading</x:v>
      </x:c>
      <x:c r="G62" s="5" t="n">
        <x:v>1</x:v>
      </x:c>
      <x:c r="H62" s="5" t="n">
        <x:v>1</x:v>
      </x:c>
      <x:c r="I62" s="5" t="str">
        <x:v>#### 12. Camurus AB (Lund, Sweden)</x:v>
      </x:c>
      <x:c r="J62" s="5" t="str">
        <x:v>SOURCE QUOTE; unvalidated / superseded assessments</x:v>
      </x:c>
      <x:c r="L62" s="31" t="str">
        <x:v>D01, Markdown line 244; http://nas-1.tail55d152.ts.net:4100/static/2S_CONSULTING_NORDIC_OUTREACH_STRATEGY.html</x:v>
      </x:c>
    </x:row>
    <x:row r="63" ht="196" customHeight="1">
      <x:c r="A63" s="5" t="str">
        <x:v>D01</x:v>
      </x:c>
      <x:c r="B63" s="5" t="str">
        <x:v>D01-L0245-1</x:v>
      </x:c>
      <x:c r="C63" s="5" t="str">
        <x:v>12. Camurus AB (Lund, Sweden)</x:v>
      </x:c>
      <x:c r="D63" s="5" t="n">
        <x:v>245</x:v>
      </x:c>
      <x:c r="E63" s="5" t="n">
        <x:v>250</x:v>
      </x:c>
      <x:c r="F63" s="5" t="str">
        <x:v>text</x:v>
      </x:c>
      <x:c r="G63" s="5" t="n">
        <x:v>1</x:v>
      </x:c>
      <x:c r="H63" s="5" t="n">
        <x:v>1</x:v>
      </x:c>
      <x:c r="I63" s="5" t="str">
        <x:v>- **Financial Profile**: Revenue: SEK 1.7 Billion (~€150M) | Employees: 180+ | Public (Nasdaq Stockholm: CAMX).
- **Therapeutic Focus**: Long-acting lipid-based injectable therapies (*FluidCrystal* technology) for opioid dependence (*Buvidal*) and neuroendocrine tumors (*CAM2029*).
- **Critical Friction Point**: Complex European hospital tendering and pharmacy dispensing models for controlled substances, requiring continuous supply forecasting to avoid regional stockout fines.
- **Target Buyer Persona**: *Chief Commercial Officer* / *VP Manufacturing &amp; Supply Chain*.
- **Bountytek AB Operational Wedge**: **Hospital Tendering S&amp;OP &amp; Buffer Stock Optimization (€28,000 / SEK 320,000)**.
- **Asymmetric Value Proposition**: Build an algorithmic buffer-stock predictor synchronizing European tender awards with contract manufacturing batch release dates.</x:v>
      </x:c>
      <x:c r="J63" s="5" t="str">
        <x:v>SOURCE QUOTE; unvalidated / superseded assessments</x:v>
      </x:c>
      <x:c r="L63" s="31" t="str">
        <x:v>D01, Markdown line 245; http://nas-1.tail55d152.ts.net:4100/static/2S_CONSULTING_NORDIC_OUTREACH_STRATEGY.html</x:v>
      </x:c>
    </x:row>
    <x:row r="64" ht="42" customHeight="1">
      <x:c r="A64" s="5" t="str">
        <x:v>D01</x:v>
      </x:c>
      <x:c r="B64" s="5" t="str">
        <x:v>D01-L0252-1</x:v>
      </x:c>
      <x:c r="C64" s="5" t="str">
        <x:v>13. Cambrex Karlskoga AB (Karlskoga, Sweden)</x:v>
      </x:c>
      <x:c r="D64" s="5" t="n">
        <x:v>252</x:v>
      </x:c>
      <x:c r="E64" s="5" t="n">
        <x:v>252</x:v>
      </x:c>
      <x:c r="F64" s="5" t="str">
        <x:v>heading</x:v>
      </x:c>
      <x:c r="G64" s="5" t="n">
        <x:v>1</x:v>
      </x:c>
      <x:c r="H64" s="5" t="n">
        <x:v>1</x:v>
      </x:c>
      <x:c r="I64" s="5" t="str">
        <x:v>#### 13. Cambrex Karlskoga AB (Karlskoga, Sweden)</x:v>
      </x:c>
      <x:c r="J64" s="5" t="str">
        <x:v>SOURCE QUOTE; unvalidated / superseded assessments</x:v>
      </x:c>
      <x:c r="L64" s="31" t="str">
        <x:v>D01, Markdown line 252; http://nas-1.tail55d152.ts.net:4100/static/2S_CONSULTING_NORDIC_OUTREACH_STRATEGY.html</x:v>
      </x:c>
    </x:row>
    <x:row r="65" ht="196" customHeight="1">
      <x:c r="A65" s="5" t="str">
        <x:v>D01</x:v>
      </x:c>
      <x:c r="B65" s="5" t="str">
        <x:v>D01-L0253-1</x:v>
      </x:c>
      <x:c r="C65" s="5" t="str">
        <x:v>13. Cambrex Karlskoga AB (Karlskoga, Sweden)</x:v>
      </x:c>
      <x:c r="D65" s="5" t="n">
        <x:v>253</x:v>
      </x:c>
      <x:c r="E65" s="5" t="n">
        <x:v>258</x:v>
      </x:c>
      <x:c r="F65" s="5" t="str">
        <x:v>text</x:v>
      </x:c>
      <x:c r="G65" s="5" t="n">
        <x:v>1</x:v>
      </x:c>
      <x:c r="H65" s="5" t="n">
        <x:v>1</x:v>
      </x:c>
      <x:c r="I65" s="5" t="str">
        <x:v>- **Financial Profile**: Revenue: SEK 2.1 Billion (~€180M) | Employees: 450+ | Private (Cambrex Corporation).
- **Manufacturing Focus**: Small-molecule active pharmaceutical ingredient (API) chemical synthesis, energetic chemistry, controlled substances cGMP manufacturing.
- **Critical Friction Point**: Aggressive price pressure from Indian and Chinese bulk chemical manufacturers, coupled with European REACH solvent handling regulations and high reactor idle turnaround times.
- **Target Buyer Persona**: *Managing Director* / *VP Chemical Operations &amp; Plant Engineering*.
- **Bountytek AB Operational Wedge**: **30-Day API Batch Yield &amp; Reactor Turnaround Diagnostic (€32,000 / SEK 360,000)**.
- **Asymmetric Value Proposition**: Deploy activity-based chemical batch costing to optimize solvent recovery and slash hazardous reaction vessel changeover times by 35%.</x:v>
      </x:c>
      <x:c r="J65" s="5" t="str">
        <x:v>SOURCE QUOTE; unvalidated / superseded assessments</x:v>
      </x:c>
      <x:c r="L65" s="31" t="str">
        <x:v>D01, Markdown line 253; http://nas-1.tail55d152.ts.net:4100/static/2S_CONSULTING_NORDIC_OUTREACH_STRATEGY.html</x:v>
      </x:c>
    </x:row>
    <x:row r="66" ht="42" customHeight="1">
      <x:c r="A66" s="5" t="str">
        <x:v>D01</x:v>
      </x:c>
      <x:c r="B66" s="5" t="str">
        <x:v>D01-L0260-1</x:v>
      </x:c>
      <x:c r="C66" s="5" t="str">
        <x:v>14. PolyPeptide Group (Malmö Facility, Sweden)</x:v>
      </x:c>
      <x:c r="D66" s="5" t="n">
        <x:v>260</x:v>
      </x:c>
      <x:c r="E66" s="5" t="n">
        <x:v>260</x:v>
      </x:c>
      <x:c r="F66" s="5" t="str">
        <x:v>heading</x:v>
      </x:c>
      <x:c r="G66" s="5" t="n">
        <x:v>1</x:v>
      </x:c>
      <x:c r="H66" s="5" t="n">
        <x:v>1</x:v>
      </x:c>
      <x:c r="I66" s="5" t="str">
        <x:v>#### 14. PolyPeptide Group (Malmö Facility, Sweden)</x:v>
      </x:c>
      <x:c r="J66" s="5" t="str">
        <x:v>SOURCE QUOTE; unvalidated / superseded assessments</x:v>
      </x:c>
      <x:c r="L66" s="31" t="str">
        <x:v>D01, Markdown line 260; http://nas-1.tail55d152.ts.net:4100/static/2S_CONSULTING_NORDIC_OUTREACH_STRATEGY.html</x:v>
      </x:c>
    </x:row>
    <x:row r="67" ht="196" customHeight="1">
      <x:c r="A67" s="5" t="str">
        <x:v>D01</x:v>
      </x:c>
      <x:c r="B67" s="5" t="str">
        <x:v>D01-L0261-1</x:v>
      </x:c>
      <x:c r="C67" s="5" t="str">
        <x:v>14. PolyPeptide Group (Malmö Facility, Sweden)</x:v>
      </x:c>
      <x:c r="D67" s="5" t="n">
        <x:v>261</x:v>
      </x:c>
      <x:c r="E67" s="5" t="n">
        <x:v>266</x:v>
      </x:c>
      <x:c r="F67" s="5" t="str">
        <x:v>text</x:v>
      </x:c>
      <x:c r="G67" s="5" t="n">
        <x:v>1</x:v>
      </x:c>
      <x:c r="H67" s="5" t="n">
        <x:v>1</x:v>
      </x:c>
      <x:c r="I67" s="5" t="str">
        <x:v>- **Financial Profile**: Revenue: €280 Million | Employees: 1,200+ | Public (SIX Swiss Exchange: PPGN).
- **Manufacturing Focus**: Custom peptide chemical synthesis, solid-phase and liquid-phase synthesis for generic and novel therapeutic peptides.
- **Critical Friction Point**: Extreme solvent consumption (DMF, NMP) and hazardous waste handling costs threatening European peptide synthesis margins.
- **Target Buyer Persona**: *Director of Malmö Operations* / *Head of Global Process Development*.
- **Bountytek AB Operational Wedge**: **Green Peptide Synthesis &amp; Solvent Recovery Cost Diagnostic (€32,000 / SEK 360,000)**.
- **Asymmetric Value Proposition**: Apply chemical process engineering models to evaluate continuous-flow peptide synthesis and in-line solvent recycling, cutting raw material costs by 20%.</x:v>
      </x:c>
      <x:c r="J67" s="5" t="str">
        <x:v>SOURCE QUOTE; unvalidated / superseded assessments</x:v>
      </x:c>
      <x:c r="L67" s="31" t="str">
        <x:v>D01, Markdown line 261; http://nas-1.tail55d152.ts.net:4100/static/2S_CONSULTING_NORDIC_OUTREACH_STRATEGY.html</x:v>
      </x:c>
    </x:row>
    <x:row r="68" ht="42" customHeight="1">
      <x:c r="A68" s="5" t="str">
        <x:v>D01</x:v>
      </x:c>
      <x:c r="B68" s="5" t="str">
        <x:v>D01-L0268-1</x:v>
      </x:c>
      <x:c r="C68" s="5" t="str">
        <x:v>15. Recipharm AB (Stockholm, Sweden)</x:v>
      </x:c>
      <x:c r="D68" s="5" t="n">
        <x:v>268</x:v>
      </x:c>
      <x:c r="E68" s="5" t="n">
        <x:v>268</x:v>
      </x:c>
      <x:c r="F68" s="5" t="str">
        <x:v>heading</x:v>
      </x:c>
      <x:c r="G68" s="5" t="n">
        <x:v>1</x:v>
      </x:c>
      <x:c r="H68" s="5" t="n">
        <x:v>1</x:v>
      </x:c>
      <x:c r="I68" s="5" t="str">
        <x:v>#### 15. Recipharm AB (Stockholm, Sweden)</x:v>
      </x:c>
      <x:c r="J68" s="5" t="str">
        <x:v>SOURCE QUOTE; unvalidated / superseded assessments</x:v>
      </x:c>
      <x:c r="L68" s="31" t="str">
        <x:v>D01, Markdown line 268; http://nas-1.tail55d152.ts.net:4100/static/2S_CONSULTING_NORDIC_OUTREACH_STRATEGY.html</x:v>
      </x:c>
    </x:row>
    <x:row r="69" ht="168" customHeight="1">
      <x:c r="A69" s="5" t="str">
        <x:v>D01</x:v>
      </x:c>
      <x:c r="B69" s="5" t="str">
        <x:v>D01-L0269-1</x:v>
      </x:c>
      <x:c r="C69" s="5" t="str">
        <x:v>15. Recipharm AB (Stockholm, Sweden)</x:v>
      </x:c>
      <x:c r="D69" s="5" t="n">
        <x:v>269</x:v>
      </x:c>
      <x:c r="E69" s="5" t="n">
        <x:v>274</x:v>
      </x:c>
      <x:c r="F69" s="5" t="str">
        <x:v>text</x:v>
      </x:c>
      <x:c r="G69" s="5" t="n">
        <x:v>1</x:v>
      </x:c>
      <x:c r="H69" s="5" t="n">
        <x:v>1</x:v>
      </x:c>
      <x:c r="I69" s="5" t="str">
        <x:v>- **Financial Profile**: Revenue: SEK 12.5 Billion (~€1.1B) | Employees: 9,000+ | Private (EQT).
- **Manufacturing Focus**: Comprehensive pharmaceutical CDMO across solid doses, sterile injectables, blow-fill-seal, inhalation, and biologics.
- **Critical Friction Point**: Margin leakage across multi-site manufacturing networks due to decentralized ERP systems and disparate OEE tracking across legacy facilities.
- **Target Buyer Persona**: *Chief Operating Officer* / *VP Operational Excellence*.
- **Bountytek AB Operational Wedge**: **Cross-Facility OEE &amp; Sterile Cleanroom Optimization Sprint (€35,000 / SEK 400,000)**.
- **Asymmetric Value Proposition**: Unify operational line-clearance data across Nordic plants, standardizing cleaning validation protocols compliant with cGMP Annex 1.</x:v>
      </x:c>
      <x:c r="J69" s="5" t="str">
        <x:v>SOURCE QUOTE; unvalidated / superseded assessments</x:v>
      </x:c>
      <x:c r="L69" s="31" t="str">
        <x:v>D01, Markdown line 269; http://nas-1.tail55d152.ts.net:4100/static/2S_CONSULTING_NORDIC_OUTREACH_STRATEGY.html</x:v>
      </x:c>
    </x:row>
    <x:row r="70" ht="42" customHeight="1">
      <x:c r="A70" s="5" t="str">
        <x:v>D01</x:v>
      </x:c>
      <x:c r="B70" s="5" t="str">
        <x:v>D01-L0276-1</x:v>
      </x:c>
      <x:c r="C70" s="5" t="str">
        <x:v>16. BioInvent International AB (Lund, Sweden)</x:v>
      </x:c>
      <x:c r="D70" s="5" t="n">
        <x:v>276</x:v>
      </x:c>
      <x:c r="E70" s="5" t="n">
        <x:v>276</x:v>
      </x:c>
      <x:c r="F70" s="5" t="str">
        <x:v>heading</x:v>
      </x:c>
      <x:c r="G70" s="5" t="n">
        <x:v>1</x:v>
      </x:c>
      <x:c r="H70" s="5" t="n">
        <x:v>1</x:v>
      </x:c>
      <x:c r="I70" s="5" t="str">
        <x:v>#### 16. BioInvent International AB (Lund, Sweden)</x:v>
      </x:c>
      <x:c r="J70" s="5" t="str">
        <x:v>SOURCE QUOTE; unvalidated / superseded assessments</x:v>
      </x:c>
      <x:c r="L70" s="31" t="str">
        <x:v>D01, Markdown line 276; http://nas-1.tail55d152.ts.net:4100/static/2S_CONSULTING_NORDIC_OUTREACH_STRATEGY.html</x:v>
      </x:c>
    </x:row>
    <x:row r="71" ht="182" customHeight="1">
      <x:c r="A71" s="5" t="str">
        <x:v>D01</x:v>
      </x:c>
      <x:c r="B71" s="5" t="str">
        <x:v>D01-L0277-1</x:v>
      </x:c>
      <x:c r="C71" s="5" t="str">
        <x:v>16. BioInvent International AB (Lund, Sweden)</x:v>
      </x:c>
      <x:c r="D71" s="5" t="n">
        <x:v>277</x:v>
      </x:c>
      <x:c r="E71" s="5" t="n">
        <x:v>282</x:v>
      </x:c>
      <x:c r="F71" s="5" t="str">
        <x:v>text</x:v>
      </x:c>
      <x:c r="G71" s="5" t="n">
        <x:v>1</x:v>
      </x:c>
      <x:c r="H71" s="5" t="n">
        <x:v>1</x:v>
      </x:c>
      <x:c r="I71" s="5" t="str">
        <x:v>- **Financial Profile**: Revenue: SEK 180 Million (~€16M) | Employees: 120+ | Public (Nasdaq Stockholm: BINV).
- **Therapeutic Focus**: Novel immuno-oncology antibodies (*BI-1206*, *BI-1808*, *BI-1910*) utilizing the proprietary F.I.R.S.T. platform.
- **Critical Friction Point**: High clinical cash burn in Phase I/IIa multi-center trials across the US and Europe. Patient recruitment delays cost over **€25,000 per day** in ongoing site overhead.
- **Target Buyer Persona**: *Chief Medical Officer* / *VP Clinical Development*.
- **Bountytek AB Operational Wedge**: **Oncology Cohort Screening &amp; Protocol Optimization (€28,000 / SEK 320,000)**.
- **Asymmetric Value Proposition**: Deploy HCare360 NLP screening to match complex biomarker-positive refractory lymphoma patients in Nordic hospital cancer registries.</x:v>
      </x:c>
      <x:c r="J71" s="5" t="str">
        <x:v>SOURCE QUOTE; unvalidated / superseded assessments</x:v>
      </x:c>
      <x:c r="L71" s="31" t="str">
        <x:v>D01, Markdown line 277; http://nas-1.tail55d152.ts.net:4100/static/2S_CONSULTING_NORDIC_OUTREACH_STRATEGY.html</x:v>
      </x:c>
    </x:row>
    <x:row r="72" ht="42" customHeight="1">
      <x:c r="A72" s="5" t="str">
        <x:v>D01</x:v>
      </x:c>
      <x:c r="B72" s="5" t="str">
        <x:v>D01-L0284-1</x:v>
      </x:c>
      <x:c r="C72" s="5" t="str">
        <x:v>17. Alligator Bioscience AB (Lund, Sweden)</x:v>
      </x:c>
      <x:c r="D72" s="5" t="n">
        <x:v>284</x:v>
      </x:c>
      <x:c r="E72" s="5" t="n">
        <x:v>284</x:v>
      </x:c>
      <x:c r="F72" s="5" t="str">
        <x:v>heading</x:v>
      </x:c>
      <x:c r="G72" s="5" t="n">
        <x:v>1</x:v>
      </x:c>
      <x:c r="H72" s="5" t="n">
        <x:v>1</x:v>
      </x:c>
      <x:c r="I72" s="5" t="str">
        <x:v>#### 17. Alligator Bioscience AB (Lund, Sweden)</x:v>
      </x:c>
      <x:c r="J72" s="5" t="str">
        <x:v>SOURCE QUOTE; unvalidated / superseded assessments</x:v>
      </x:c>
      <x:c r="L72" s="31" t="str">
        <x:v>D01, Markdown line 284; http://nas-1.tail55d152.ts.net:4100/static/2S_CONSULTING_NORDIC_OUTREACH_STRATEGY.html</x:v>
      </x:c>
    </x:row>
    <x:row r="73" ht="168" customHeight="1">
      <x:c r="A73" s="5" t="str">
        <x:v>D01</x:v>
      </x:c>
      <x:c r="B73" s="5" t="str">
        <x:v>D01-L0285-1</x:v>
      </x:c>
      <x:c r="C73" s="5" t="str">
        <x:v>17. Alligator Bioscience AB (Lund, Sweden)</x:v>
      </x:c>
      <x:c r="D73" s="5" t="n">
        <x:v>285</x:v>
      </x:c>
      <x:c r="E73" s="5" t="n">
        <x:v>290</x:v>
      </x:c>
      <x:c r="F73" s="5" t="str">
        <x:v>text</x:v>
      </x:c>
      <x:c r="G73" s="5" t="n">
        <x:v>1</x:v>
      </x:c>
      <x:c r="H73" s="5" t="n">
        <x:v>1</x:v>
      </x:c>
      <x:c r="I73" s="5" t="str">
        <x:v>- **Financial Profile**: Revenue: SEK 80 Million (~€7M) | Employees: 60+ | Public (Nasdaq Stockholm: ATORX).
- **Therapeutic Focus**: Tumor-directed immuno-oncology antibody drug candidates (*Mitazalimab*, *ATOR-1017*).
- **Critical Friction Point**: Preparing for Phase III partnering and commercial registration while operating under strict biotech cash-runway constraints.
- **Target Buyer Persona**: *Chief Executive Officer* / *Chief Medical Officer*.
- **Bountytek AB Operational Wedge**: **Phase III Trial Feasibility &amp; Regulatory Dossier Audit (€28,000 / SEK 320,000)**.
- **Asymmetric Value Proposition**: Audit clinical trial endpoints and data pipelines to ensure zero-friction transfer during Big Pharma out-licensing due diligence.</x:v>
      </x:c>
      <x:c r="J73" s="5" t="str">
        <x:v>SOURCE QUOTE; unvalidated / superseded assessments</x:v>
      </x:c>
      <x:c r="L73" s="31" t="str">
        <x:v>D01, Markdown line 285; http://nas-1.tail55d152.ts.net:4100/static/2S_CONSULTING_NORDIC_OUTREACH_STRATEGY.html</x:v>
      </x:c>
    </x:row>
    <x:row r="74" ht="42" customHeight="1">
      <x:c r="A74" s="5" t="str">
        <x:v>D01</x:v>
      </x:c>
      <x:c r="B74" s="5" t="str">
        <x:v>D01-L0292-1</x:v>
      </x:c>
      <x:c r="C74" s="5" t="str">
        <x:v>18. Hansa Biopharma AB (Lund, Sweden)</x:v>
      </x:c>
      <x:c r="D74" s="5" t="n">
        <x:v>292</x:v>
      </x:c>
      <x:c r="E74" s="5" t="n">
        <x:v>292</x:v>
      </x:c>
      <x:c r="F74" s="5" t="str">
        <x:v>heading</x:v>
      </x:c>
      <x:c r="G74" s="5" t="n">
        <x:v>1</x:v>
      </x:c>
      <x:c r="H74" s="5" t="n">
        <x:v>1</x:v>
      </x:c>
      <x:c r="I74" s="5" t="str">
        <x:v>#### 18. Hansa Biopharma AB (Lund, Sweden)</x:v>
      </x:c>
      <x:c r="J74" s="5" t="str">
        <x:v>SOURCE QUOTE; unvalidated / superseded assessments</x:v>
      </x:c>
      <x:c r="L74" s="31" t="str">
        <x:v>D01, Markdown line 292; http://nas-1.tail55d152.ts.net:4100/static/2S_CONSULTING_NORDIC_OUTREACH_STRATEGY.html</x:v>
      </x:c>
    </x:row>
    <x:row r="75" ht="210" customHeight="1">
      <x:c r="A75" s="5" t="str">
        <x:v>D01</x:v>
      </x:c>
      <x:c r="B75" s="5" t="str">
        <x:v>D01-L0293-1</x:v>
      </x:c>
      <x:c r="C75" s="5" t="str">
        <x:v>18. Hansa Biopharma AB (Lund, Sweden)</x:v>
      </x:c>
      <x:c r="D75" s="5" t="n">
        <x:v>293</x:v>
      </x:c>
      <x:c r="E75" s="5" t="n">
        <x:v>298</x:v>
      </x:c>
      <x:c r="F75" s="5" t="str">
        <x:v>text</x:v>
      </x:c>
      <x:c r="G75" s="5" t="n">
        <x:v>1</x:v>
      </x:c>
      <x:c r="H75" s="5" t="n">
        <x:v>1</x:v>
      </x:c>
      <x:c r="I75" s="5" t="str">
        <x:v>- **Financial Profile**: Revenue: SEK 140 Million (~€12M) | Employees: 150+ | Public (Nasdaq Stockholm: HNSA).
- **Therapeutic Focus**: Immunoglobulin G (IgG)-cleaving enzymes for rare kidney transplantation (*Idefirix* / imlifidase) and autoimmune diseases.
- **Critical Friction Point**: Highly specialized, low-volume European market access negotiations. Disparate reimbursement protocols across Nordic regions slow hospital adoption.
- **Target Buyer Persona**: *Chief Commercial Officer* / *Head of European Market Access*.
- **Bountytek AB Operational Wedge**: **Orphan Drug Nordic Market Access &amp; Health Economic Dossier (€32,000 / SEK 360,000)**.
- **Asymmetric Value Proposition**: Build a regional budget-impact model demonstrating that desensitization with imlifidase reduces long-term dialysis costs by &gt;€80,000 per patient.</x:v>
      </x:c>
      <x:c r="J75" s="5" t="str">
        <x:v>SOURCE QUOTE; unvalidated / superseded assessments</x:v>
      </x:c>
      <x:c r="L75" s="31" t="str">
        <x:v>D01, Markdown line 293; http://nas-1.tail55d152.ts.net:4100/static/2S_CONSULTING_NORDIC_OUTREACH_STRATEGY.html</x:v>
      </x:c>
    </x:row>
    <x:row r="76" ht="42" customHeight="1">
      <x:c r="A76" s="5" t="str">
        <x:v>D01</x:v>
      </x:c>
      <x:c r="B76" s="5" t="str">
        <x:v>D01-L0300-1</x:v>
      </x:c>
      <x:c r="C76" s="5" t="str">
        <x:v>19. Biotage AB (Uppsala, Sweden)</x:v>
      </x:c>
      <x:c r="D76" s="5" t="n">
        <x:v>300</x:v>
      </x:c>
      <x:c r="E76" s="5" t="n">
        <x:v>300</x:v>
      </x:c>
      <x:c r="F76" s="5" t="str">
        <x:v>heading</x:v>
      </x:c>
      <x:c r="G76" s="5" t="n">
        <x:v>1</x:v>
      </x:c>
      <x:c r="H76" s="5" t="n">
        <x:v>1</x:v>
      </x:c>
      <x:c r="I76" s="5" t="str">
        <x:v>#### 19. Biotage AB (Uppsala, Sweden)</x:v>
      </x:c>
      <x:c r="J76" s="5" t="str">
        <x:v>SOURCE QUOTE; unvalidated / superseded assessments</x:v>
      </x:c>
      <x:c r="L76" s="31" t="str">
        <x:v>D01, Markdown line 300; http://nas-1.tail55d152.ts.net:4100/static/2S_CONSULTING_NORDIC_OUTREACH_STRATEGY.html</x:v>
      </x:c>
    </x:row>
    <x:row r="77" ht="182" customHeight="1">
      <x:c r="A77" s="5" t="str">
        <x:v>D01</x:v>
      </x:c>
      <x:c r="B77" s="5" t="str">
        <x:v>D01-L0301-1</x:v>
      </x:c>
      <x:c r="C77" s="5" t="str">
        <x:v>19. Biotage AB (Uppsala, Sweden)</x:v>
      </x:c>
      <x:c r="D77" s="5" t="n">
        <x:v>301</x:v>
      </x:c>
      <x:c r="E77" s="5" t="n">
        <x:v>306</x:v>
      </x:c>
      <x:c r="F77" s="5" t="str">
        <x:v>text</x:v>
      </x:c>
      <x:c r="G77" s="5" t="n">
        <x:v>1</x:v>
      </x:c>
      <x:c r="H77" s="5" t="n">
        <x:v>1</x:v>
      </x:c>
      <x:c r="I77" s="5" t="str">
        <x:v>- **Financial Profile**: Revenue: SEK 1.9 Billion (~€165M) | Employees: 700+ | Public (Nasdaq Stockholm: BIOT).
- **Manufacturing Focus**: Automated flash chromatography, peptide synthesis instruments, analytical sample preparation, molecular diagnostics consumables.
- **Critical Friction Point**: Capital equipment sales slowing due to academic and biotech lab budget freezes across Scandinavia.
- **Target Buyer Persona**: *Chief Commercial Officer* / *Head of Product Management*.
- **Bountytek AB Operational Wedge**: **Consumable Reagent Subscription Model Calculator (€28,000 / SEK 320,000)**.
- **Asymmetric Value Proposition**: Structure a workflow-based "Hardware-as-a-Service" commercial packaging model, bundling chromatography columns into predictable monthly operational contracts.</x:v>
      </x:c>
      <x:c r="J77" s="5" t="str">
        <x:v>SOURCE QUOTE; unvalidated / superseded assessments</x:v>
      </x:c>
      <x:c r="L77" s="31" t="str">
        <x:v>D01, Markdown line 301; http://nas-1.tail55d152.ts.net:4100/static/2S_CONSULTING_NORDIC_OUTREACH_STRATEGY.html</x:v>
      </x:c>
    </x:row>
    <x:row r="78" ht="42" customHeight="1">
      <x:c r="A78" s="5" t="str">
        <x:v>D01</x:v>
      </x:c>
      <x:c r="B78" s="5" t="str">
        <x:v>D01-L0308-1</x:v>
      </x:c>
      <x:c r="C78" s="5" t="str">
        <x:v>20. EQL Pharma AB (Lund, Sweden)</x:v>
      </x:c>
      <x:c r="D78" s="5" t="n">
        <x:v>308</x:v>
      </x:c>
      <x:c r="E78" s="5" t="n">
        <x:v>308</x:v>
      </x:c>
      <x:c r="F78" s="5" t="str">
        <x:v>heading</x:v>
      </x:c>
      <x:c r="G78" s="5" t="n">
        <x:v>1</x:v>
      </x:c>
      <x:c r="H78" s="5" t="n">
        <x:v>1</x:v>
      </x:c>
      <x:c r="I78" s="5" t="str">
        <x:v>#### 20. EQL Pharma AB (Lund, Sweden)</x:v>
      </x:c>
      <x:c r="J78" s="5" t="str">
        <x:v>SOURCE QUOTE; unvalidated / superseded assessments</x:v>
      </x:c>
      <x:c r="L78" s="31" t="str">
        <x:v>D01, Markdown line 308; http://nas-1.tail55d152.ts.net:4100/static/2S_CONSULTING_NORDIC_OUTREACH_STRATEGY.html</x:v>
      </x:c>
    </x:row>
    <x:row r="79" ht="182" customHeight="1">
      <x:c r="A79" s="5" t="str">
        <x:v>D01</x:v>
      </x:c>
      <x:c r="B79" s="5" t="str">
        <x:v>D01-L0309-1</x:v>
      </x:c>
      <x:c r="C79" s="5" t="str">
        <x:v>20. EQL Pharma AB (Lund, Sweden)</x:v>
      </x:c>
      <x:c r="D79" s="5" t="n">
        <x:v>309</x:v>
      </x:c>
      <x:c r="E79" s="5" t="n">
        <x:v>314</x:v>
      </x:c>
      <x:c r="F79" s="5" t="str">
        <x:v>text</x:v>
      </x:c>
      <x:c r="G79" s="5" t="n">
        <x:v>1</x:v>
      </x:c>
      <x:c r="H79" s="5" t="n">
        <x:v>1</x:v>
      </x:c>
      <x:c r="I79" s="5" t="str">
        <x:v>- **Financial Profile**: Revenue: SEK 280 Million (~€25M) | Employees: 30+ | Public (Nasdaq Stockholm: EQL).
- **Manufacturing Focus**: Cost-effective specialty generics and niche hospital pharmaceuticals across the Nordic region.
- **Critical Friction Point**: Winning hospital tenders while managing narrow gross margins and severe tender penalty clauses for late delivery.
- **Target Buyer Persona**: *Chief Executive Officer* / *Head of Tendering &amp; Supply*.
- **Bountytek AB Operational Wedge**: **Tender Price Optimization &amp; Safety-Stock Predictor (€28,000 / SEK 320,000)**.
- **Asymmetric Value Proposition**: Provide an automated bidding algorithm optimizing tender bid prices against historical winning margins across *Sykehusinnkjøp* and *Region Stockholm*.</x:v>
      </x:c>
      <x:c r="J79" s="5" t="str">
        <x:v>SOURCE QUOTE; unvalidated / superseded assessments</x:v>
      </x:c>
      <x:c r="L79" s="31" t="str">
        <x:v>D01, Markdown line 309; http://nas-1.tail55d152.ts.net:4100/static/2S_CONSULTING_NORDIC_OUTREACH_STRATEGY.html</x:v>
      </x:c>
    </x:row>
    <x:row r="80" ht="42" customHeight="1">
      <x:c r="A80" s="5" t="str">
        <x:v>D01</x:v>
      </x:c>
      <x:c r="B80" s="5" t="str">
        <x:v>D01-L0318-1</x:v>
      </x:c>
      <x:c r="C80" s="5" t="str">
        <x:v>5. The Three Operational Pillars of Pharma &amp; Chemicals Excellence (§6.1)</x:v>
      </x:c>
      <x:c r="D80" s="5" t="n">
        <x:v>318</x:v>
      </x:c>
      <x:c r="E80" s="5" t="n">
        <x:v>318</x:v>
      </x:c>
      <x:c r="F80" s="5" t="str">
        <x:v>heading</x:v>
      </x:c>
      <x:c r="G80" s="5" t="n">
        <x:v>1</x:v>
      </x:c>
      <x:c r="H80" s="5" t="n">
        <x:v>1</x:v>
      </x:c>
      <x:c r="I80" s="5" t="str">
        <x:v>## 5. The Three Operational Pillars of Pharma &amp; Chemicals Excellence (§6.1)</x:v>
      </x:c>
      <x:c r="J80" s="5" t="str">
        <x:v>SOURCE QUOTE; unvalidated / superseded assessments</x:v>
      </x:c>
      <x:c r="L80" s="31" t="str">
        <x:v>D01, Markdown line 318; http://nas-1.tail55d152.ts.net:4100/static/2S_CONSULTING_NORDIC_OUTREACH_STRATEGY.html</x:v>
      </x:c>
    </x:row>
    <x:row r="81" ht="56" customHeight="1">
      <x:c r="A81" s="5" t="str">
        <x:v>D01</x:v>
      </x:c>
      <x:c r="B81" s="5" t="str">
        <x:v>D01-L0320-1</x:v>
      </x:c>
      <x:c r="C81" s="5" t="str">
        <x:v>5. The Three Operational Pillars of Pharma &amp; Chemicals Excellence (§6.1)</x:v>
      </x:c>
      <x:c r="D81" s="5" t="n">
        <x:v>320</x:v>
      </x:c>
      <x:c r="E81" s="5" t="n">
        <x:v>320</x:v>
      </x:c>
      <x:c r="F81" s="5" t="str">
        <x:v>text</x:v>
      </x:c>
      <x:c r="G81" s="5" t="n">
        <x:v>1</x:v>
      </x:c>
      <x:c r="H81" s="5" t="n">
        <x:v>1</x:v>
      </x:c>
      <x:c r="I81" s="5" t="str">
        <x:v>Section 6.1 (Pharmaceuticals &amp; Chemicals) represents over **€14.5 Billion in regional turnover**. Bountytek AB delivers 2S Consulting's proven operational architectures to Nordic producers:</x:v>
      </x:c>
      <x:c r="J81" s="5" t="str">
        <x:v>SOURCE QUOTE; unvalidated / superseded assessments</x:v>
      </x:c>
      <x:c r="L81" s="31" t="str">
        <x:v>D01, Markdown line 320; http://nas-1.tail55d152.ts.net:4100/static/2S_CONSULTING_NORDIC_OUTREACH_STRATEGY.html</x:v>
      </x:c>
    </x:row>
    <x:row r="82" ht="392" customHeight="1">
      <x:c r="A82" s="5" t="str">
        <x:v>D01</x:v>
      </x:c>
      <x:c r="B82" s="5" t="str">
        <x:v>D01-L0322-1</x:v>
      </x:c>
      <x:c r="C82" s="5" t="str">
        <x:v>5. The Three Operational Pillars of Pharma &amp; Chemicals Excellence (§6.1)</x:v>
      </x:c>
      <x:c r="D82" s="5" t="n">
        <x:v>322</x:v>
      </x:c>
      <x:c r="E82" s="5" t="n">
        <x:v>337</x:v>
      </x:c>
      <x:c r="F82" s="5" t="str">
        <x:v>diagram / code</x:v>
      </x:c>
      <x:c r="G82" s="5" t="n">
        <x:v>1</x:v>
      </x:c>
      <x:c r="H82" s="5" t="n">
        <x:v>2</x:v>
      </x:c>
      <x:c r="I82" s="5" t="str">
        <x:v>```
┌──────────────────────────────────────────────────────────────────────────────────────────────────┐
│                   THE THREE PILLARS OF PHARMA &amp; CHEMICAL EXCELLENCE                              │
└──────────────────────────────────────────────────────────────────────────────────────────────────┘
 ┌───────────────────────────┐  ┌───────────────────────────┐  ┌───────────────────────────┐
 │ PILLAR 1: SALES FORCE     │  │ PILLAR 2: R&amp;D PRODUCT-    │  │ PILLAR 3: CHEMICAL API    │
 │ EXCELLENCE &amp; S&amp;OP         │  │ IVITY &amp; CLINICAL BURN     │  │ MARGIN DEFENSE            │
 ├───────────────────────────┤  ├───────────────────────────┤  ├───────────────────────────┤
 │ • Primary ERP Integration │  │ • Milestone Velocity      │  │ • Activity Batch Costing  │
 │ • Secondary Stockist Data │  │ • €25,000/Day Delay Model │  │ • Cleanroom Turnaround    │
 │ • Tamro/Oriola Feeds      │  │ • HCare360 NLP Screening  │  │ • Continuous Flow Micro-R │
 │ • Gross-to-Net (GTN) Eng  │  │ • Scandinavian Cohort Map │  │ • Solvent Recovery Model  │
 │ • Tender Penalty Defense  │  │ • eCTD Module 3 Sync      │  │ • REACH Chemical Defense  │
 └───────────────────────────┘  └──────────────────────</x:v>
      </x:c>
      <x:c r="J82" s="5" t="str">
        <x:v>SOURCE QUOTE; unvalidated / superseded assessments</x:v>
      </x:c>
      <x:c r="L82" s="31" t="str">
        <x:v>D01, Markdown line 322; http://nas-1.tail55d152.ts.net:4100/static/2S_CONSULTING_NORDIC_OUTREACH_STRATEGY.html</x:v>
      </x:c>
    </x:row>
    <x:row r="83" ht="42" customHeight="1">
      <x:c r="A83" s="5" t="str">
        <x:v>D01</x:v>
      </x:c>
      <x:c r="B83" s="5" t="str">
        <x:v>D01-L0322-2</x:v>
      </x:c>
      <x:c r="C83" s="5" t="str">
        <x:v>5. The Three Operational Pillars of Pharma &amp; Chemicals Excellence (§6.1)</x:v>
      </x:c>
      <x:c r="D83" s="5" t="n">
        <x:v>322</x:v>
      </x:c>
      <x:c r="E83" s="5" t="n">
        <x:v>337</x:v>
      </x:c>
      <x:c r="F83" s="5" t="str">
        <x:v>diagram / code</x:v>
      </x:c>
      <x:c r="G83" s="5" t="n">
        <x:v>2</x:v>
      </x:c>
      <x:c r="H83" s="5" t="n">
        <x:v>2</x:v>
      </x:c>
      <x:c r="I83" s="5" t="str">
        <x:v>─────┘  └───────────────────────────┘
```</x:v>
      </x:c>
      <x:c r="J83" s="5" t="str">
        <x:v>SOURCE QUOTE; unvalidated / superseded assessments</x:v>
      </x:c>
      <x:c r="L83" s="31" t="str">
        <x:v>D01, Markdown line 322; http://nas-1.tail55d152.ts.net:4100/static/2S_CONSULTING_NORDIC_OUTREACH_STRATEGY.html</x:v>
      </x:c>
    </x:row>
    <x:row r="84" ht="42" customHeight="1">
      <x:c r="A84" s="5" t="str">
        <x:v>D01</x:v>
      </x:c>
      <x:c r="B84" s="5" t="str">
        <x:v>D01-L0339-1</x:v>
      </x:c>
      <x:c r="C84" s="5" t="str">
        <x:v>5.1 Pillar 1: Sales Force Excellence &amp; Commercial S&amp;OP</x:v>
      </x:c>
      <x:c r="D84" s="5" t="n">
        <x:v>339</x:v>
      </x:c>
      <x:c r="E84" s="5" t="n">
        <x:v>339</x:v>
      </x:c>
      <x:c r="F84" s="5" t="str">
        <x:v>heading</x:v>
      </x:c>
      <x:c r="G84" s="5" t="n">
        <x:v>1</x:v>
      </x:c>
      <x:c r="H84" s="5" t="n">
        <x:v>1</x:v>
      </x:c>
      <x:c r="I84" s="5" t="str">
        <x:v>### 5.1 Pillar 1: Sales Force Excellence &amp; Commercial S&amp;OP</x:v>
      </x:c>
      <x:c r="J84" s="5" t="str">
        <x:v>SOURCE QUOTE; unvalidated / superseded assessments</x:v>
      </x:c>
      <x:c r="L84" s="31" t="str">
        <x:v>D01, Markdown line 339; http://nas-1.tail55d152.ts.net:4100/static/2S_CONSULTING_NORDIC_OUTREACH_STRATEGY.html</x:v>
      </x:c>
    </x:row>
    <x:row r="85" ht="168" customHeight="1">
      <x:c r="A85" s="5" t="str">
        <x:v>D01</x:v>
      </x:c>
      <x:c r="B85" s="5" t="str">
        <x:v>D01-L0340-1</x:v>
      </x:c>
      <x:c r="C85" s="5" t="str">
        <x:v>5.1 Pillar 1: Sales Force Excellence &amp; Commercial S&amp;OP</x:v>
      </x:c>
      <x:c r="D85" s="5" t="n">
        <x:v>340</x:v>
      </x:c>
      <x:c r="E85" s="5" t="n">
        <x:v>345</x:v>
      </x:c>
      <x:c r="F85" s="5" t="str">
        <x:v>text</x:v>
      </x:c>
      <x:c r="G85" s="5" t="n">
        <x:v>1</x:v>
      </x:c>
      <x:c r="H85" s="5" t="n">
        <x:v>1</x:v>
      </x:c>
      <x:c r="I85" s="5" t="str">
        <x:v>- **The Operational Challenge**: Nordic commercial teams face severe data fragmentation across SAP/Oracle ERP, distributor sales (Tamro/Oriola), and CRM field logs.
- **Bountytek AB / 2S Consulting Enterprise Architecture**:
  1. *Unified Executive Visibility Console*: Harmonizing primary sales with secondary stockist sell-out data into real-time regional demand feeds.
  2. *Gross-to-Net (GTN) Leakage Engine*: Tracking hospital tender discount waterfalls, retrospective rebates, and distributor administration fees.
  3. *Tender Fulfillment Early-Warning*: Automated triggers alerting supply chain 45 days before inventory drops below mandated hospital safety stock.
- **Commercial Impact**: 15% reduction in channel inventory carrying costs and complete elimination of public tender default penalties.</x:v>
      </x:c>
      <x:c r="J85" s="5" t="str">
        <x:v>SOURCE QUOTE; unvalidated / superseded assessments</x:v>
      </x:c>
      <x:c r="L85" s="31" t="str">
        <x:v>D01, Markdown line 340; http://nas-1.tail55d152.ts.net:4100/static/2S_CONSULTING_NORDIC_OUTREACH_STRATEGY.html</x:v>
      </x:c>
    </x:row>
    <x:row r="86" ht="42" customHeight="1">
      <x:c r="A86" s="5" t="str">
        <x:v>D01</x:v>
      </x:c>
      <x:c r="B86" s="5" t="str">
        <x:v>D01-L0347-1</x:v>
      </x:c>
      <x:c r="C86" s="5" t="str">
        <x:v>5.2 Pillar 2: R&amp;D Productivity Monitoring &amp; Clinical Cash-Burn</x:v>
      </x:c>
      <x:c r="D86" s="5" t="n">
        <x:v>347</x:v>
      </x:c>
      <x:c r="E86" s="5" t="n">
        <x:v>347</x:v>
      </x:c>
      <x:c r="F86" s="5" t="str">
        <x:v>heading</x:v>
      </x:c>
      <x:c r="G86" s="5" t="n">
        <x:v>1</x:v>
      </x:c>
      <x:c r="H86" s="5" t="n">
        <x:v>1</x:v>
      </x:c>
      <x:c r="I86" s="5" t="str">
        <x:v>### 5.2 Pillar 2: R&amp;D Productivity Monitoring &amp; Clinical Cash-Burn</x:v>
      </x:c>
      <x:c r="J86" s="5" t="str">
        <x:v>SOURCE QUOTE; unvalidated / superseded assessments</x:v>
      </x:c>
      <x:c r="L86" s="31" t="str">
        <x:v>D01, Markdown line 347; http://nas-1.tail55d152.ts.net:4100/static/2S_CONSULTING_NORDIC_OUTREACH_STRATEGY.html</x:v>
      </x:c>
    </x:row>
    <x:row r="87" ht="168" customHeight="1">
      <x:c r="A87" s="5" t="str">
        <x:v>D01</x:v>
      </x:c>
      <x:c r="B87" s="5" t="str">
        <x:v>D01-L0348-1</x:v>
      </x:c>
      <x:c r="C87" s="5" t="str">
        <x:v>5.2 Pillar 2: R&amp;D Productivity Monitoring &amp; Clinical Cash-Burn</x:v>
      </x:c>
      <x:c r="D87" s="5" t="n">
        <x:v>348</x:v>
      </x:c>
      <x:c r="E87" s="5" t="n">
        <x:v>353</x:v>
      </x:c>
      <x:c r="F87" s="5" t="str">
        <x:v>text</x:v>
      </x:c>
      <x:c r="G87" s="5" t="n">
        <x:v>1</x:v>
      </x:c>
      <x:c r="H87" s="5" t="n">
        <x:v>1</x:v>
      </x:c>
      <x:c r="I87" s="5" t="str">
        <x:v>- **The Operational Challenge**: High capital intensity in Nordic biotech with clinical trials burning upwards of €25,000/day during delayed patient recruitment.
- **Bountytek AB / 2S Consulting Enterprise Architecture**:
  1. *NCE Milestone Burn Telemetry*: Real-time tracking of planned vs actual milestone velocity across Preclinical, Phase I, Phase II, and Pivotal Phase III.
  2. *HCare360 NLP Patient Cohort Screening*: Parsing unstructured Scandinavian electronic health records (EHR) against complex protocol inclusion/exclusion criteria.
  3. *Regulatory Technical File Synchronizer*: Automated linking of laboratory analytical data into eCTD Module 3 (Quality/CMC).
- **Commercial Impact**: 2.5 months shaved off clinical recruitment timelines, saving over €1.8M in idle burn for mid-cap biotechs.</x:v>
      </x:c>
      <x:c r="J87" s="5" t="str">
        <x:v>SOURCE QUOTE; unvalidated / superseded assessments</x:v>
      </x:c>
      <x:c r="L87" s="31" t="str">
        <x:v>D01, Markdown line 348; http://nas-1.tail55d152.ts.net:4100/static/2S_CONSULTING_NORDIC_OUTREACH_STRATEGY.html</x:v>
      </x:c>
    </x:row>
    <x:row r="88" ht="42" customHeight="1">
      <x:c r="A88" s="5" t="str">
        <x:v>D01</x:v>
      </x:c>
      <x:c r="B88" s="5" t="str">
        <x:v>D01-L0355-1</x:v>
      </x:c>
      <x:c r="C88" s="5" t="str">
        <x:v>5.3 Pillar 3: Chemical API Margin Defense &amp; Cleanroom Turnaround</x:v>
      </x:c>
      <x:c r="D88" s="5" t="n">
        <x:v>355</x:v>
      </x:c>
      <x:c r="E88" s="5" t="n">
        <x:v>355</x:v>
      </x:c>
      <x:c r="F88" s="5" t="str">
        <x:v>heading</x:v>
      </x:c>
      <x:c r="G88" s="5" t="n">
        <x:v>1</x:v>
      </x:c>
      <x:c r="H88" s="5" t="n">
        <x:v>1</x:v>
      </x:c>
      <x:c r="I88" s="5" t="str">
        <x:v>### 5.3 Pillar 3: Chemical API Margin Defense &amp; Cleanroom Turnaround</x:v>
      </x:c>
      <x:c r="J88" s="5" t="str">
        <x:v>SOURCE QUOTE; unvalidated / superseded assessments</x:v>
      </x:c>
      <x:c r="L88" s="31" t="str">
        <x:v>D01, Markdown line 355; http://nas-1.tail55d152.ts.net:4100/static/2S_CONSULTING_NORDIC_OUTREACH_STRATEGY.html</x:v>
      </x:c>
    </x:row>
    <x:row r="89" ht="168" customHeight="1">
      <x:c r="A89" s="5" t="str">
        <x:v>D01</x:v>
      </x:c>
      <x:c r="B89" s="5" t="str">
        <x:v>D01-L0356-1</x:v>
      </x:c>
      <x:c r="C89" s="5" t="str">
        <x:v>5.3 Pillar 3: Chemical API Margin Defense &amp; Cleanroom Turnaround</x:v>
      </x:c>
      <x:c r="D89" s="5" t="n">
        <x:v>356</x:v>
      </x:c>
      <x:c r="E89" s="5" t="n">
        <x:v>361</x:v>
      </x:c>
      <x:c r="F89" s="5" t="str">
        <x:v>text</x:v>
      </x:c>
      <x:c r="G89" s="5" t="n">
        <x:v>1</x:v>
      </x:c>
      <x:c r="H89" s="5" t="n">
        <x:v>1</x:v>
      </x:c>
      <x:c r="I89" s="5" t="str">
        <x:v>- **The Operational Challenge**: Energy costs, raw material inflation, and aggressive Asian competition threatening Nordic active pharmaceutical ingredient (API) margins.
- **Bountytek AB / 2S Consulting Enterprise Architecture**:
  1. *Activity-Based Batch Costing*: True cost attribution across raw materials (KSMs), solvent recovery, reactor residence time, and analytical release testing.
  2. *Unimark/Matix Cleanroom Turnaround*: Standardized sanitization and equipment changeover protocols slashing idle downtime by 40%.
  3. *Continuous Flow Micro-Reactor Engineering*: Transitioning slow batch chemistry into high-yield continuous synthesis for sensitive active molecules.
- **Commercial Impact**: 300 to 500 basis points expansion in gross manufacturing margins and 25% reduction in volatile solvent waste.</x:v>
      </x:c>
      <x:c r="J89" s="5" t="str">
        <x:v>SOURCE QUOTE; unvalidated / superseded assessments</x:v>
      </x:c>
      <x:c r="L89" s="31" t="str">
        <x:v>D01, Markdown line 356; http://nas-1.tail55d152.ts.net:4100/static/2S_CONSULTING_NORDIC_OUTREACH_STRATEGY.html</x:v>
      </x:c>
    </x:row>
    <x:row r="90" ht="56" customHeight="1">
      <x:c r="A90" s="5" t="str">
        <x:v>D01</x:v>
      </x:c>
      <x:c r="B90" s="5" t="str">
        <x:v>D01-L0365-1</x:v>
      </x:c>
      <x:c r="C90" s="5" t="str">
        <x:v>6. Buying Committee Personas, Discovery Landmines &amp; Psychological Drivers</x:v>
      </x:c>
      <x:c r="D90" s="5" t="n">
        <x:v>365</x:v>
      </x:c>
      <x:c r="E90" s="5" t="n">
        <x:v>365</x:v>
      </x:c>
      <x:c r="F90" s="5" t="str">
        <x:v>heading</x:v>
      </x:c>
      <x:c r="G90" s="5" t="n">
        <x:v>1</x:v>
      </x:c>
      <x:c r="H90" s="5" t="n">
        <x:v>1</x:v>
      </x:c>
      <x:c r="I90" s="5" t="str">
        <x:v>## 6. Buying Committee Personas, Discovery Landmines &amp; Psychological Drivers</x:v>
      </x:c>
      <x:c r="J90" s="5" t="str">
        <x:v>SOURCE QUOTE; unvalidated / superseded assessments</x:v>
      </x:c>
      <x:c r="L90" s="31" t="str">
        <x:v>D01, Markdown line 365; http://nas-1.tail55d152.ts.net:4100/static/2S_CONSULTING_NORDIC_OUTREACH_STRATEGY.html</x:v>
      </x:c>
    </x:row>
    <x:row r="91" ht="56" customHeight="1">
      <x:c r="A91" s="5" t="str">
        <x:v>D01</x:v>
      </x:c>
      <x:c r="B91" s="5" t="str">
        <x:v>D01-L0367-1</x:v>
      </x:c>
      <x:c r="C91" s="5" t="str">
        <x:v>6. Buying Committee Personas, Discovery Landmines &amp; Psychological Drivers</x:v>
      </x:c>
      <x:c r="D91" s="5" t="n">
        <x:v>367</x:v>
      </x:c>
      <x:c r="E91" s="5" t="n">
        <x:v>367</x:v>
      </x:c>
      <x:c r="F91" s="5" t="str">
        <x:v>text</x:v>
      </x:c>
      <x:c r="G91" s="5" t="n">
        <x:v>1</x:v>
      </x:c>
      <x:c r="H91" s="5" t="n">
        <x:v>1</x:v>
      </x:c>
      <x:c r="I91" s="5" t="str">
        <x:v>Scandinavian C-suite executives are notoriously consensus-driven ("Lagom" culture), deeply skeptical of aggressive sales pitches, and intensely focused on technical precision.</x:v>
      </x:c>
      <x:c r="J91" s="5" t="str">
        <x:v>SOURCE QUOTE; unvalidated / superseded assessments</x:v>
      </x:c>
      <x:c r="L91" s="31" t="str">
        <x:v>D01, Markdown line 367; http://nas-1.tail55d152.ts.net:4100/static/2S_CONSULTING_NORDIC_OUTREACH_STRATEGY.html</x:v>
      </x:c>
    </x:row>
    <x:row r="92" ht="42" customHeight="1">
      <x:c r="A92" s="5" t="str">
        <x:v>D01</x:v>
      </x:c>
      <x:c r="B92" s="5" t="str">
        <x:v>D01-L0369-1</x:v>
      </x:c>
      <x:c r="C92" s="5" t="str">
        <x:v>6.1 Buying Committee Persona Breakdown</x:v>
      </x:c>
      <x:c r="D92" s="5" t="n">
        <x:v>369</x:v>
      </x:c>
      <x:c r="E92" s="5" t="n">
        <x:v>369</x:v>
      </x:c>
      <x:c r="F92" s="5" t="str">
        <x:v>heading</x:v>
      </x:c>
      <x:c r="G92" s="5" t="n">
        <x:v>1</x:v>
      </x:c>
      <x:c r="H92" s="5" t="n">
        <x:v>1</x:v>
      </x:c>
      <x:c r="I92" s="5" t="str">
        <x:v>### 6.1 Buying Committee Persona Breakdown</x:v>
      </x:c>
      <x:c r="J92" s="5" t="str">
        <x:v>SOURCE QUOTE; unvalidated / superseded assessments</x:v>
      </x:c>
      <x:c r="L92" s="31" t="str">
        <x:v>D01, Markdown line 369; http://nas-1.tail55d152.ts.net:4100/static/2S_CONSULTING_NORDIC_OUTREACH_STRATEGY.html</x:v>
      </x:c>
    </x:row>
    <x:row r="93" ht="42" customHeight="1">
      <x:c r="A93" s="5" t="str">
        <x:v>D01</x:v>
      </x:c>
      <x:c r="B93" s="5" t="str">
        <x:v>D01-L0379-1</x:v>
      </x:c>
      <x:c r="C93" s="5" t="str">
        <x:v>6.2 Competitive Discovery Landmines (Against Incumbents)</x:v>
      </x:c>
      <x:c r="D93" s="5" t="n">
        <x:v>379</x:v>
      </x:c>
      <x:c r="E93" s="5" t="n">
        <x:v>379</x:v>
      </x:c>
      <x:c r="F93" s="5" t="str">
        <x:v>heading</x:v>
      </x:c>
      <x:c r="G93" s="5" t="n">
        <x:v>1</x:v>
      </x:c>
      <x:c r="H93" s="5" t="n">
        <x:v>1</x:v>
      </x:c>
      <x:c r="I93" s="5" t="str">
        <x:v>### 6.2 Competitive Discovery Landmines (Against Incumbents)</x:v>
      </x:c>
      <x:c r="J93" s="5" t="str">
        <x:v>SOURCE QUOTE; unvalidated / superseded assessments</x:v>
      </x:c>
      <x:c r="L93" s="31" t="str">
        <x:v>D01, Markdown line 379; http://nas-1.tail55d152.ts.net:4100/static/2S_CONSULTING_NORDIC_OUTREACH_STRATEGY.html</x:v>
      </x:c>
    </x:row>
    <x:row r="94" ht="56" customHeight="1">
      <x:c r="A94" s="5" t="str">
        <x:v>D01</x:v>
      </x:c>
      <x:c r="B94" s="5" t="str">
        <x:v>D01-L0380-1</x:v>
      </x:c>
      <x:c r="C94" s="5" t="str">
        <x:v>6.2 Competitive Discovery Landmines (Against Incumbents)</x:v>
      </x:c>
      <x:c r="D94" s="5" t="n">
        <x:v>380</x:v>
      </x:c>
      <x:c r="E94" s="5" t="n">
        <x:v>380</x:v>
      </x:c>
      <x:c r="F94" s="5" t="str">
        <x:v>text</x:v>
      </x:c>
      <x:c r="G94" s="5" t="n">
        <x:v>1</x:v>
      </x:c>
      <x:c r="H94" s="5" t="n">
        <x:v>1</x:v>
      </x:c>
      <x:c r="I94" s="5" t="str">
        <x:v>When prospects mention evaluating traditional consultancies (Plantvision, Knightec, Prevas, Qadvis, McKinsey), Bountytek AB sales reps deploy these targeted discovery landmines:</x:v>
      </x:c>
      <x:c r="J94" s="5" t="str">
        <x:v>SOURCE QUOTE; unvalidated / superseded assessments</x:v>
      </x:c>
      <x:c r="L94" s="31" t="str">
        <x:v>D01, Markdown line 380; http://nas-1.tail55d152.ts.net:4100/static/2S_CONSULTING_NORDIC_OUTREACH_STRATEGY.html</x:v>
      </x:c>
    </x:row>
    <x:row r="95" ht="182" customHeight="1">
      <x:c r="A95" s="5" t="str">
        <x:v>D01</x:v>
      </x:c>
      <x:c r="B95" s="5" t="str">
        <x:v>D01-L0382-1</x:v>
      </x:c>
      <x:c r="C95" s="5" t="str">
        <x:v>6.2 Competitive Discovery Landmines (Against Incumbents)</x:v>
      </x:c>
      <x:c r="D95" s="5" t="n">
        <x:v>382</x:v>
      </x:c>
      <x:c r="E95" s="5" t="n">
        <x:v>387</x:v>
      </x:c>
      <x:c r="F95" s="5" t="str">
        <x:v>text</x:v>
      </x:c>
      <x:c r="G95" s="5" t="n">
        <x:v>1</x:v>
      </x:c>
      <x:c r="H95" s="5" t="n">
        <x:v>1</x:v>
      </x:c>
      <x:c r="I95" s="5" t="str">
        <x:v>1. **Against Plantvision / Knightec (Hourly Generalist Engineering)**:
   - *"When your engineering partner remediates your software technical file, do they provide sovereign AI algorithmic validation, or do they bill you hourly to research the EU AI Act on your dime?"*
2. **Against McKinsey / BCG / Big-4 (Strategy Slides without Software)**:
   - *"Did their recommendation come with a live, functioning S&amp;OP portal that integrates Tamro and Oriola distributor data directly into your SAP ERP, or was it just a PDF slide deck?"*
3. **Against Qadvis / Emergo by UL (Pure Regulatory Paperwork)**:
   - *"Do they provide an interactive health economic calculator your commercial reps can take into hospital procurement tenders to unfreeze capex budgets, or do they stop at the CE mark?"*</x:v>
      </x:c>
      <x:c r="J95" s="5" t="str">
        <x:v>SOURCE QUOTE; unvalidated / superseded assessments</x:v>
      </x:c>
      <x:c r="L95" s="31" t="str">
        <x:v>D01, Markdown line 382; http://nas-1.tail55d152.ts.net:4100/static/2S_CONSULTING_NORDIC_OUTREACH_STRATEGY.html</x:v>
      </x:c>
    </x:row>
    <x:row r="96" ht="42" customHeight="1">
      <x:c r="A96" s="5" t="str">
        <x:v>D01</x:v>
      </x:c>
      <x:c r="B96" s="5" t="str">
        <x:v>D01-L0391-1</x:v>
      </x:c>
      <x:c r="C96" s="5" t="str">
        <x:v>7. Multi-Touch Persona Outreach Cadences across 6 Angles</x:v>
      </x:c>
      <x:c r="D96" s="5" t="n">
        <x:v>391</x:v>
      </x:c>
      <x:c r="E96" s="5" t="n">
        <x:v>391</x:v>
      </x:c>
      <x:c r="F96" s="5" t="str">
        <x:v>heading</x:v>
      </x:c>
      <x:c r="G96" s="5" t="n">
        <x:v>1</x:v>
      </x:c>
      <x:c r="H96" s="5" t="n">
        <x:v>1</x:v>
      </x:c>
      <x:c r="I96" s="5" t="str">
        <x:v>## 7. Multi-Touch Persona Outreach Cadences across 6 Angles</x:v>
      </x:c>
      <x:c r="J96" s="5" t="str">
        <x:v>SOURCE QUOTE; unvalidated / superseded assessments</x:v>
      </x:c>
      <x:c r="L96" s="31" t="str">
        <x:v>D01, Markdown line 391; http://nas-1.tail55d152.ts.net:4100/static/2S_CONSULTING_NORDIC_OUTREACH_STRATEGY.html</x:v>
      </x:c>
    </x:row>
    <x:row r="97" ht="42" customHeight="1">
      <x:c r="A97" s="5" t="str">
        <x:v>D01</x:v>
      </x:c>
      <x:c r="B97" s="5" t="str">
        <x:v>D01-L0393-1</x:v>
      </x:c>
      <x:c r="C97" s="5" t="str">
        <x:v>7. Multi-Touch Persona Outreach Cadences across 6 Angles</x:v>
      </x:c>
      <x:c r="D97" s="5" t="n">
        <x:v>393</x:v>
      </x:c>
      <x:c r="E97" s="5" t="n">
        <x:v>393</x:v>
      </x:c>
      <x:c r="F97" s="5" t="str">
        <x:v>text</x:v>
      </x:c>
      <x:c r="G97" s="5" t="n">
        <x:v>1</x:v>
      </x:c>
      <x:c r="H97" s="5" t="n">
        <x:v>1</x:v>
      </x:c>
      <x:c r="I97" s="5" t="str">
        <x:v>Outbound sequences are executed by **Bountytek AB** through hyper-personalized, trigger-driven cadences across 6 specialized angles:</x:v>
      </x:c>
      <x:c r="J97" s="5" t="str">
        <x:v>SOURCE QUOTE; unvalidated / superseded assessments</x:v>
      </x:c>
      <x:c r="L97" s="31" t="str">
        <x:v>D01, Markdown line 393; http://nas-1.tail55d152.ts.net:4100/static/2S_CONSULTING_NORDIC_OUTREACH_STRATEGY.html</x:v>
      </x:c>
    </x:row>
    <x:row r="98" ht="252" customHeight="1">
      <x:c r="A98" s="5" t="str">
        <x:v>D01</x:v>
      </x:c>
      <x:c r="B98" s="5" t="str">
        <x:v>D01-L0395-1</x:v>
      </x:c>
      <x:c r="C98" s="5" t="str">
        <x:v>7. Multi-Touch Persona Outreach Cadences across 6 Angles</x:v>
      </x:c>
      <x:c r="D98" s="5" t="n">
        <x:v>395</x:v>
      </x:c>
      <x:c r="E98" s="5" t="n">
        <x:v>406</x:v>
      </x:c>
      <x:c r="F98" s="5" t="str">
        <x:v>diagram / code</x:v>
      </x:c>
      <x:c r="G98" s="5" t="n">
        <x:v>1</x:v>
      </x:c>
      <x:c r="H98" s="5" t="n">
        <x:v>1</x:v>
      </x:c>
      <x:c r="I98" s="5" t="str">
        <x:v>```
┌──────────────────────────────────────────────────────────────────────────────────────────────────┐
│                   THE 6 SPECIALIZED PERSONA OUTREACH ANGLES                                      │
└──────────────────────────────────────────────────────────────────────────────────────────────────┘
 [ANGLE A: MDR / SaMD Technical File Crisis]     ──► Target: VP QA/RA
 [ANGLE B: EU AI Act &amp; Algorithmic Governance]   ──► Target: CTO / Head of AI
 [ANGLE C: MedTech DaaS &amp; Hospital CFO HEOR]     ──► Target: CCO / VP Commercial
 [ANGLE D: API Margin Defense &amp; Cleanroom Turn]  ──► Target: VP Manufacturing / Plant Director
 [ANGLE E: Specialty Pharma S&amp;OP &amp; GTN Leak]    ──► Target: CCO / Head of Market Access
 [ANGLE F: Clinical R&amp;D Cash-Burn &amp; NLP Screen]  ──► Target: CMO / VP Clinical Development
```</x:v>
      </x:c>
      <x:c r="J98" s="5" t="str">
        <x:v>SOURCE QUOTE; unvalidated / superseded assessments</x:v>
      </x:c>
      <x:c r="L98" s="31" t="str">
        <x:v>D01, Markdown line 395; http://nas-1.tail55d152.ts.net:4100/static/2S_CONSULTING_NORDIC_OUTREACH_STRATEGY.html</x:v>
      </x:c>
    </x:row>
    <x:row r="99" ht="42" customHeight="1">
      <x:c r="A99" s="5" t="str">
        <x:v>D01</x:v>
      </x:c>
      <x:c r="B99" s="5" t="str">
        <x:v>D01-L0408-1</x:v>
      </x:c>
      <x:c r="C99" s="5" t="str">
        <x:v>7.1 Angle A: The MDR / SaMD Technical File Crisis Cadence</x:v>
      </x:c>
      <x:c r="D99" s="5" t="n">
        <x:v>408</x:v>
      </x:c>
      <x:c r="E99" s="5" t="n">
        <x:v>408</x:v>
      </x:c>
      <x:c r="F99" s="5" t="str">
        <x:v>heading</x:v>
      </x:c>
      <x:c r="G99" s="5" t="n">
        <x:v>1</x:v>
      </x:c>
      <x:c r="H99" s="5" t="n">
        <x:v>1</x:v>
      </x:c>
      <x:c r="I99" s="5" t="str">
        <x:v>### 7.1 Angle A: The MDR / SaMD Technical File Crisis Cadence</x:v>
      </x:c>
      <x:c r="J99" s="5" t="str">
        <x:v>SOURCE QUOTE; unvalidated / superseded assessments</x:v>
      </x:c>
      <x:c r="L99" s="31" t="str">
        <x:v>D01, Markdown line 408; http://nas-1.tail55d152.ts.net:4100/static/2S_CONSULTING_NORDIC_OUTREACH_STRATEGY.html</x:v>
      </x:c>
    </x:row>
    <x:row r="100" ht="280" customHeight="1">
      <x:c r="A100" s="5" t="str">
        <x:v>D01</x:v>
      </x:c>
      <x:c r="B100" s="5" t="str">
        <x:v>D01-L0409-1</x:v>
      </x:c>
      <x:c r="C100" s="5" t="str">
        <x:v>7.1 Angle A: The MDR / SaMD Technical File Crisis Cadence</x:v>
      </x:c>
      <x:c r="D100" s="5" t="n">
        <x:v>409</x:v>
      </x:c>
      <x:c r="E100" s="5" t="n">
        <x:v>422</x:v>
      </x:c>
      <x:c r="F100" s="5" t="str">
        <x:v>text</x:v>
      </x:c>
      <x:c r="G100" s="5" t="n">
        <x:v>1</x:v>
      </x:c>
      <x:c r="H100" s="5" t="n">
        <x:v>2</x:v>
      </x:c>
      <x:c r="I100" s="5" t="str">
        <x:v>- **Target Persona**: VP Quality Assurance / VP Regulatory Affairs (MedTech Track).
- **Trigger**: Imminent Notified Body re-certification audit or recent ISO 13485 / MDR non-conformity notice.
- **Cadence Rhythm**: Day 1 (Personalized Gap Teardown) → Day 4 (Peer Benchmark) → Day 8 (Diagnostic Wedge Proposal) → Day 14 (Closing Executive Briefing).
- **Day 1 Touch Body**:
  &gt; *Subject: {Company_Name}'s MDR Rule 11 technical file — Notified Body audit capacity*  
  &gt; *Hej {First_Name},*  
  &gt; *Reviewing {Company_Name}'s recent clinical software disclosures for {Product_Line}, your team is likely navigating the upcoming Notified Body re-certification under MDR 2017/745 Rule 11.*  
  &gt; *Across Swedish MedTech OEMs, the primary bottleneck isn't clinical safety—it's the 14-month Notified Body delay caused by software risk audit documentation (MDCG 2019-16).*  
  &gt; *At Bountytek AB, representing 2S Consulting (https://www.2sconsulting.com/) in the Nordics, we deliver a rapid 48-Hour Technical Gap Scan that pinpoints the exact non-conformities Notified Body auditors flag in software architecture files.*  
  &gt; *Are you available for a 15-minute briefing this Thursday at 14:00 CET to review </x:v>
      </x:c>
      <x:c r="J100" s="5" t="str">
        <x:v>SOURCE QUOTE; unvalidated / superseded assessments</x:v>
      </x:c>
      <x:c r="L100" s="31" t="str">
        <x:v>D01, Markdown line 409; http://nas-1.tail55d152.ts.net:4100/static/2S_CONSULTING_NORDIC_OUTREACH_STRATEGY.html</x:v>
      </x:c>
    </x:row>
    <x:row r="101" ht="98" customHeight="1">
      <x:c r="A101" s="5" t="str">
        <x:v>D01</x:v>
      </x:c>
      <x:c r="B101" s="5" t="str">
        <x:v>D01-L0409-2</x:v>
      </x:c>
      <x:c r="C101" s="5" t="str">
        <x:v>7.1 Angle A: The MDR / SaMD Technical File Crisis Cadence</x:v>
      </x:c>
      <x:c r="D101" s="5" t="n">
        <x:v>409</x:v>
      </x:c>
      <x:c r="E101" s="5" t="n">
        <x:v>422</x:v>
      </x:c>
      <x:c r="F101" s="5" t="str">
        <x:v>text</x:v>
      </x:c>
      <x:c r="G101" s="5" t="n">
        <x:v>2</x:v>
      </x:c>
      <x:c r="H101" s="5" t="n">
        <x:v>2</x:v>
      </x:c>
      <x:c r="I101" s="5" t="str">
        <x:v>our teardown of common Rule 11 audit pitfalls?*  
  &gt; *Vänliga hälsningar,*  
  &gt; *Bountytek AB | Exclusive Nordic Agent for 2S Consulting &amp; Numantra Technologies*  
  &gt; *In Strategic Alliance with: Hichem Sellami (CEO, 2S Consulting) &amp; Safa Sellami (COO, 2S Consulting)*  
  &gt; *Web: https://www.2sconsulting.com/ | https://www.numantratech.ai/*</x:v>
      </x:c>
      <x:c r="J101" s="5" t="str">
        <x:v>SOURCE QUOTE; unvalidated / superseded assessments</x:v>
      </x:c>
      <x:c r="L101" s="31" t="str">
        <x:v>D01, Markdown line 409; http://nas-1.tail55d152.ts.net:4100/static/2S_CONSULTING_NORDIC_OUTREACH_STRATEGY.html</x:v>
      </x:c>
    </x:row>
    <x:row r="102" ht="42" customHeight="1">
      <x:c r="A102" s="5" t="str">
        <x:v>D01</x:v>
      </x:c>
      <x:c r="B102" s="5" t="str">
        <x:v>D01-L0424-1</x:v>
      </x:c>
      <x:c r="C102" s="5" t="str">
        <x:v>7.2 Angle B: The EU AI Act &amp; Algorithmic Governance Cadence</x:v>
      </x:c>
      <x:c r="D102" s="5" t="n">
        <x:v>424</x:v>
      </x:c>
      <x:c r="E102" s="5" t="n">
        <x:v>424</x:v>
      </x:c>
      <x:c r="F102" s="5" t="str">
        <x:v>heading</x:v>
      </x:c>
      <x:c r="G102" s="5" t="n">
        <x:v>1</x:v>
      </x:c>
      <x:c r="H102" s="5" t="n">
        <x:v>1</x:v>
      </x:c>
      <x:c r="I102" s="5" t="str">
        <x:v>### 7.2 Angle B: The EU AI Act &amp; Algorithmic Governance Cadence</x:v>
      </x:c>
      <x:c r="J102" s="5" t="str">
        <x:v>SOURCE QUOTE; unvalidated / superseded assessments</x:v>
      </x:c>
      <x:c r="L102" s="31" t="str">
        <x:v>D01, Markdown line 424; http://nas-1.tail55d152.ts.net:4100/static/2S_CONSULTING_NORDIC_OUTREACH_STRATEGY.html</x:v>
      </x:c>
    </x:row>
    <x:row r="103" ht="294" customHeight="1">
      <x:c r="A103" s="5" t="str">
        <x:v>D01</x:v>
      </x:c>
      <x:c r="B103" s="5" t="str">
        <x:v>D01-L0425-1</x:v>
      </x:c>
      <x:c r="C103" s="5" t="str">
        <x:v>7.2 Angle B: The EU AI Act &amp; Algorithmic Governance Cadence</x:v>
      </x:c>
      <x:c r="D103" s="5" t="n">
        <x:v>425</x:v>
      </x:c>
      <x:c r="E103" s="5" t="n">
        <x:v>435</x:v>
      </x:c>
      <x:c r="F103" s="5" t="str">
        <x:v>text</x:v>
      </x:c>
      <x:c r="G103" s="5" t="n">
        <x:v>1</x:v>
      </x:c>
      <x:c r="H103" s="5" t="n">
        <x:v>1</x:v>
      </x:c>
      <x:c r="I103" s="5" t="str">
        <x:v>- **Target Persona**: Chief Technology Officer / Head of AI &amp; Software (SaMD &amp; Imaging Track).
- **Trigger**: Launch of machine learning image classification or automated diagnostic software.
- **Day 1 Touch Body**:
  &gt; *Subject: EU AI Act Annex III compliance for {Product_Line}'s algorithms*  
  &gt; *Hej {First_Name},*  
  &gt; *With the entry into application of Regulation 2024/1689 (EU AI Act), medical software utilizing predictive algorithms automatically triggers high-risk classification under Annex I/III.*  
  &gt; *Most engineering teams are unprepared for the algorithmic transparency, training data provenance, and continuous bias logging requirements enforced alongside MDR.*  
  &gt; *Bountytek AB, in partnership with Numantra Technologies (https://www.numantratech.ai/), provides sovereign algorithmic validation environments hosted on Finnish ISO 27001 infrastructure, delivering turnkey audit trails without exposing your proprietary source models.*  
  &gt; *Could we share our 3-page algorithmic conformity checklist for Scandinavian SaMD developers?*  
  &gt; *Vänliga hälsningar,*  
  &gt; *Bountytek AB | Exclusive Nordic Agent for 2S Consulting &amp; Numantra Technologies*</x:v>
      </x:c>
      <x:c r="J103" s="5" t="str">
        <x:v>SOURCE QUOTE; unvalidated / superseded assessments</x:v>
      </x:c>
      <x:c r="L103" s="31" t="str">
        <x:v>D01, Markdown line 425; http://nas-1.tail55d152.ts.net:4100/static/2S_CONSULTING_NORDIC_OUTREACH_STRATEGY.html</x:v>
      </x:c>
    </x:row>
    <x:row r="104" ht="42" customHeight="1">
      <x:c r="A104" s="5" t="str">
        <x:v>D01</x:v>
      </x:c>
      <x:c r="B104" s="5" t="str">
        <x:v>D01-L0437-1</x:v>
      </x:c>
      <x:c r="C104" s="5" t="str">
        <x:v>7.3 Angle C: MedTech Device-as-a-Service (DaaS) &amp; Hospital CFO Cadence</x:v>
      </x:c>
      <x:c r="D104" s="5" t="n">
        <x:v>437</x:v>
      </x:c>
      <x:c r="E104" s="5" t="n">
        <x:v>437</x:v>
      </x:c>
      <x:c r="F104" s="5" t="str">
        <x:v>heading</x:v>
      </x:c>
      <x:c r="G104" s="5" t="n">
        <x:v>1</x:v>
      </x:c>
      <x:c r="H104" s="5" t="n">
        <x:v>1</x:v>
      </x:c>
      <x:c r="I104" s="5" t="str">
        <x:v>### 7.3 Angle C: MedTech Device-as-a-Service (DaaS) &amp; Hospital CFO Cadence</x:v>
      </x:c>
      <x:c r="J104" s="5" t="str">
        <x:v>SOURCE QUOTE; unvalidated / superseded assessments</x:v>
      </x:c>
      <x:c r="L104" s="31" t="str">
        <x:v>D01, Markdown line 437; http://nas-1.tail55d152.ts.net:4100/static/2S_CONSULTING_NORDIC_OUTREACH_STRATEGY.html</x:v>
      </x:c>
    </x:row>
    <x:row r="105" ht="280" customHeight="1">
      <x:c r="A105" s="5" t="str">
        <x:v>D01</x:v>
      </x:c>
      <x:c r="B105" s="5" t="str">
        <x:v>D01-L0438-1</x:v>
      </x:c>
      <x:c r="C105" s="5" t="str">
        <x:v>7.3 Angle C: MedTech Device-as-a-Service (DaaS) &amp; Hospital CFO Cadence</x:v>
      </x:c>
      <x:c r="D105" s="5" t="n">
        <x:v>438</x:v>
      </x:c>
      <x:c r="E105" s="5" t="n">
        <x:v>448</x:v>
      </x:c>
      <x:c r="F105" s="5" t="str">
        <x:v>text</x:v>
      </x:c>
      <x:c r="G105" s="5" t="n">
        <x:v>1</x:v>
      </x:c>
      <x:c r="H105" s="5" t="n">
        <x:v>1</x:v>
      </x:c>
      <x:c r="I105" s="5" t="str">
        <x:v>- **Target Persona**: Chief Commercial Officer / VP Commercial Operations (Capital MedTech Track).
- **Trigger**: Hospital procurement tender rejected due to capex freezes (*Region Stockholm*, *Danske Regioner*).
- **Day 1 Touch Body**:
  &gt; *Subject: Overcoming hospital capex freezes for {Product_Line} in Region Stockholm*  
  &gt; *Hej {First_Name},*  
  &gt; *Scandinavian public hospitals are freezing capital equipment purchases, forcing device OEMs into brutal discount battles.*  
  &gt; *To protect gross margins above 60%, leaders like Getinge and Elekta are shifting to Device-as-a-Service (DaaS) models where equipment is bundled into operating expense contracts tied to ICU bed-day reduction.*  
  &gt; *Bountytek AB provides the Hospital CFO DaaS Calculator that models hospital bed-day cost avoidance, proving a 14-month cash ROI directly to hospital finance committees.*  
  &gt; *Would you be open to a 10-minute preview of the calculator configured for {Company_Name}'s equipment?*  
  &gt; *Vänliga hälsningar,*  
  &gt; *Bountytek AB | Exclusive Nordic Agent for 2S Consulting &amp; Numantra Technologies*</x:v>
      </x:c>
      <x:c r="J105" s="5" t="str">
        <x:v>SOURCE QUOTE; unvalidated / superseded assessments</x:v>
      </x:c>
      <x:c r="L105" s="31" t="str">
        <x:v>D01, Markdown line 438; http://nas-1.tail55d152.ts.net:4100/static/2S_CONSULTING_NORDIC_OUTREACH_STRATEGY.html</x:v>
      </x:c>
    </x:row>
    <x:row r="106" ht="42" customHeight="1">
      <x:c r="A106" s="5" t="str">
        <x:v>D01</x:v>
      </x:c>
      <x:c r="B106" s="5" t="str">
        <x:v>D01-L0450-1</x:v>
      </x:c>
      <x:c r="C106" s="5" t="str">
        <x:v>7.4 Angle D: Chemical API Margin Defense &amp; Cleanroom Turnaround Cadence</x:v>
      </x:c>
      <x:c r="D106" s="5" t="n">
        <x:v>450</x:v>
      </x:c>
      <x:c r="E106" s="5" t="n">
        <x:v>450</x:v>
      </x:c>
      <x:c r="F106" s="5" t="str">
        <x:v>heading</x:v>
      </x:c>
      <x:c r="G106" s="5" t="n">
        <x:v>1</x:v>
      </x:c>
      <x:c r="H106" s="5" t="n">
        <x:v>1</x:v>
      </x:c>
      <x:c r="I106" s="5" t="str">
        <x:v>### 7.4 Angle D: Chemical API Margin Defense &amp; Cleanroom Turnaround Cadence</x:v>
      </x:c>
      <x:c r="J106" s="5" t="str">
        <x:v>SOURCE QUOTE; unvalidated / superseded assessments</x:v>
      </x:c>
      <x:c r="L106" s="31" t="str">
        <x:v>D01, Markdown line 450; http://nas-1.tail55d152.ts.net:4100/static/2S_CONSULTING_NORDIC_OUTREACH_STRATEGY.html</x:v>
      </x:c>
    </x:row>
    <x:row r="107" ht="266" customHeight="1">
      <x:c r="A107" s="5" t="str">
        <x:v>D01</x:v>
      </x:c>
      <x:c r="B107" s="5" t="str">
        <x:v>D01-L0451-1</x:v>
      </x:c>
      <x:c r="C107" s="5" t="str">
        <x:v>7.4 Angle D: Chemical API Margin Defense &amp; Cleanroom Turnaround Cadence</x:v>
      </x:c>
      <x:c r="D107" s="5" t="n">
        <x:v>451</x:v>
      </x:c>
      <x:c r="E107" s="5" t="n">
        <x:v>461</x:v>
      </x:c>
      <x:c r="F107" s="5" t="str">
        <x:v>text</x:v>
      </x:c>
      <x:c r="G107" s="5" t="n">
        <x:v>1</x:v>
      </x:c>
      <x:c r="H107" s="5" t="n">
        <x:v>1</x:v>
      </x:c>
      <x:c r="I107" s="5" t="str">
        <x:v>- **Target Persona**: VP Manufacturing / Plant Director / Chemical Operations Head (Pharma/Chemical Track).
- **Trigger**: Asian API price competition, rising European solvent costs, or sterile line turnaround delays.
- **Day 1 Touch Body**:
  &gt; *Subject: Reclaiming 18 hours/week in cleanroom turnaround at {Plant_Location}*  
  &gt; *Hej {First_Name},*  
  &gt; *Between aggressive Asian API pricing and rising energy costs, Nordic chemical synthesis and aseptic fill lines are squeezed on gross margins.*  
  &gt; *In our operational work with pharmaceutical plants (leveraging 2S Consulting's Unimark and Matix architectures), the fastest margin unlock is compressing sanitization and reactor changeover downtime.*  
  &gt; *Our 30-Day API Turnaround Diagnostic routinely slashes cleanroom changeover downtime by 40%, returning 12 to 18 operational production hours per line weekly.*  
  &gt; *Let's connect for 15 minutes next Tuesday to review how this protocol applies to your cGMP reaction trains.*  
  &gt; *Vänliga hälsningar,*  
  &gt; *Bountytek AB | Exclusive Nordic Agent for 2S Consulting &amp; Numantra Technologies*</x:v>
      </x:c>
      <x:c r="J107" s="5" t="str">
        <x:v>SOURCE QUOTE; unvalidated / superseded assessments</x:v>
      </x:c>
      <x:c r="L107" s="31" t="str">
        <x:v>D01, Markdown line 451; http://nas-1.tail55d152.ts.net:4100/static/2S_CONSULTING_NORDIC_OUTREACH_STRATEGY.html</x:v>
      </x:c>
    </x:row>
    <x:row r="108" ht="42" customHeight="1">
      <x:c r="A108" s="5" t="str">
        <x:v>D01</x:v>
      </x:c>
      <x:c r="B108" s="5" t="str">
        <x:v>D01-L0463-1</x:v>
      </x:c>
      <x:c r="C108" s="5" t="str">
        <x:v>7.5 Angle E: Specialty Pharma S&amp;OP &amp; Tender GTN Leakage Cadence</x:v>
      </x:c>
      <x:c r="D108" s="5" t="n">
        <x:v>463</x:v>
      </x:c>
      <x:c r="E108" s="5" t="n">
        <x:v>463</x:v>
      </x:c>
      <x:c r="F108" s="5" t="str">
        <x:v>heading</x:v>
      </x:c>
      <x:c r="G108" s="5" t="n">
        <x:v>1</x:v>
      </x:c>
      <x:c r="H108" s="5" t="n">
        <x:v>1</x:v>
      </x:c>
      <x:c r="I108" s="5" t="str">
        <x:v>### 7.5 Angle E: Specialty Pharma S&amp;OP &amp; Tender GTN Leakage Cadence</x:v>
      </x:c>
      <x:c r="J108" s="5" t="str">
        <x:v>SOURCE QUOTE; unvalidated / superseded assessments</x:v>
      </x:c>
      <x:c r="L108" s="31" t="str">
        <x:v>D01, Markdown line 463; http://nas-1.tail55d152.ts.net:4100/static/2S_CONSULTING_NORDIC_OUTREACH_STRATEGY.html</x:v>
      </x:c>
    </x:row>
    <x:row r="109" ht="252" customHeight="1">
      <x:c r="A109" s="5" t="str">
        <x:v>D01</x:v>
      </x:c>
      <x:c r="B109" s="5" t="str">
        <x:v>D01-L0464-1</x:v>
      </x:c>
      <x:c r="C109" s="5" t="str">
        <x:v>7.5 Angle E: Specialty Pharma S&amp;OP &amp; Tender GTN Leakage Cadence</x:v>
      </x:c>
      <x:c r="D109" s="5" t="n">
        <x:v>464</x:v>
      </x:c>
      <x:c r="E109" s="5" t="n">
        <x:v>474</x:v>
      </x:c>
      <x:c r="F109" s="5" t="str">
        <x:v>text</x:v>
      </x:c>
      <x:c r="G109" s="5" t="n">
        <x:v>1</x:v>
      </x:c>
      <x:c r="H109" s="5" t="n">
        <x:v>1</x:v>
      </x:c>
      <x:c r="I109" s="5" t="str">
        <x:v>- **Target Persona**: Chief Commercial Officer / Head of Supply Chain &amp; Market Access (Specialty Pharma Track).
- **Trigger**: Public tender award announcements (*Amgros*, *Sykehusinnkjøp*) or secondary stockout reports.
- **Day 1 Touch Body**:
  &gt; *Subject: Eliminating GTN rebate leakage across Tamro &amp; Oriola channels*  
  &gt; *Hej {First_Name},*  
  &gt; *Monitoring Nordic specialty pharma distribution, commercial teams lose 3% to 6% of revenue in uncalculated wholesaler clawbacks and hospital tender penalties.*  
  &gt; *2S Consulting (https://www.2sconsulting.com/) deployed a unified commercial S&amp;OP portal for Merck that links primary ERP billing with secondary stockist sell-out data (Tamro, Oriola, NMD) into a live executive cockpit.*  
  &gt; *Bountytek AB can run an initial Gross-to-Net (GTN) Leakage Audit for {Company_Name} within 30 days to identify trapped margin in your Scandinavian channels.*  
  &gt; *Are you free for a brief introductory call this week?*  
  &gt; *Vänliga hälsningar,*  
  &gt; *Bountytek AB | Exclusive Nordic Agent for 2S Consulting &amp; Numantra Technologies*</x:v>
      </x:c>
      <x:c r="J109" s="5" t="str">
        <x:v>SOURCE QUOTE; unvalidated / superseded assessments</x:v>
      </x:c>
      <x:c r="L109" s="31" t="str">
        <x:v>D01, Markdown line 464; http://nas-1.tail55d152.ts.net:4100/static/2S_CONSULTING_NORDIC_OUTREACH_STRATEGY.html</x:v>
      </x:c>
    </x:row>
    <x:row r="110" ht="42" customHeight="1">
      <x:c r="A110" s="5" t="str">
        <x:v>D01</x:v>
      </x:c>
      <x:c r="B110" s="5" t="str">
        <x:v>D01-L0476-1</x:v>
      </x:c>
      <x:c r="C110" s="5" t="str">
        <x:v>7.6 Angle F: Clinical R&amp;D Cash-Burn &amp; HCare360 NLP Screening Cadence</x:v>
      </x:c>
      <x:c r="D110" s="5" t="n">
        <x:v>476</x:v>
      </x:c>
      <x:c r="E110" s="5" t="n">
        <x:v>476</x:v>
      </x:c>
      <x:c r="F110" s="5" t="str">
        <x:v>heading</x:v>
      </x:c>
      <x:c r="G110" s="5" t="n">
        <x:v>1</x:v>
      </x:c>
      <x:c r="H110" s="5" t="n">
        <x:v>1</x:v>
      </x:c>
      <x:c r="I110" s="5" t="str">
        <x:v>### 7.6 Angle F: Clinical R&amp;D Cash-Burn &amp; HCare360 NLP Screening Cadence</x:v>
      </x:c>
      <x:c r="J110" s="5" t="str">
        <x:v>SOURCE QUOTE; unvalidated / superseded assessments</x:v>
      </x:c>
      <x:c r="L110" s="31" t="str">
        <x:v>D01, Markdown line 476; http://nas-1.tail55d152.ts.net:4100/static/2S_CONSULTING_NORDIC_OUTREACH_STRATEGY.html</x:v>
      </x:c>
    </x:row>
    <x:row r="111" ht="266" customHeight="1">
      <x:c r="A111" s="5" t="str">
        <x:v>D01</x:v>
      </x:c>
      <x:c r="B111" s="5" t="str">
        <x:v>D01-L0477-1</x:v>
      </x:c>
      <x:c r="C111" s="5" t="str">
        <x:v>7.6 Angle F: Clinical R&amp;D Cash-Burn &amp; HCare360 NLP Screening Cadence</x:v>
      </x:c>
      <x:c r="D111" s="5" t="n">
        <x:v>477</x:v>
      </x:c>
      <x:c r="E111" s="5" t="n">
        <x:v>487</x:v>
      </x:c>
      <x:c r="F111" s="5" t="str">
        <x:v>text</x:v>
      </x:c>
      <x:c r="G111" s="5" t="n">
        <x:v>1</x:v>
      </x:c>
      <x:c r="H111" s="5" t="n">
        <x:v>1</x:v>
      </x:c>
      <x:c r="I111" s="5" t="str">
        <x:v>- **Target Persona**: Chief Medical Officer / VP Clinical Development (Biotech Track).
- **Trigger**: Clinical trial milestone announcement (Phase I/II/III) on ClinicalTrials.gov or Nasdaq Nordic.
- **Day 1 Touch Body**:
  &gt; *Subject: Shaving 2.5 months off {Candidate_Name}'s clinical trial recruitment*  
  &gt; *Hej {First_Name},*  
  &gt; *Running Phase II/III trials across Nordic university clinics, clinical teams face a burn rate of €25,000 per calendar day while patient screening stalls in unstructured hospital records.*  
  &gt; *Numantra's HCare360 platform (https://www.numantratech.ai/) uses multilingual clinical NLP to screen Nordic hospital health records against complex inclusion criteria, identifying eligible trial candidates in 14 days.*  
  &gt; *We recently helped an oncology sponsor shave 3 months off their recruitment schedule, saving &gt;€2M in ongoing clinical overhead.*  
  &gt; *Can Bountytek AB share our 10-minute briefing on Scandinavian patient cohort acceleration?*  
  &gt; *Vänliga hälsningar,*  
  &gt; *Bountytek AB | Exclusive Nordic Agent for 2S Consulting &amp; Numantra Technologies*</x:v>
      </x:c>
      <x:c r="J111" s="5" t="str">
        <x:v>SOURCE QUOTE; unvalidated / superseded assessments</x:v>
      </x:c>
      <x:c r="L111" s="31" t="str">
        <x:v>D01, Markdown line 477; http://nas-1.tail55d152.ts.net:4100/static/2S_CONSULTING_NORDIC_OUTREACH_STRATEGY.html</x:v>
      </x:c>
    </x:row>
    <x:row r="112" ht="42" customHeight="1">
      <x:c r="A112" s="5" t="str">
        <x:v>D01</x:v>
      </x:c>
      <x:c r="B112" s="5" t="str">
        <x:v>D01-L0491-1</x:v>
      </x:c>
      <x:c r="C112" s="5" t="str">
        <x:v>8. The Complete 6-Wedge Offer Portfolio (&lt;€35,000 Entry Points)</x:v>
      </x:c>
      <x:c r="D112" s="5" t="n">
        <x:v>491</x:v>
      </x:c>
      <x:c r="E112" s="5" t="n">
        <x:v>491</x:v>
      </x:c>
      <x:c r="F112" s="5" t="str">
        <x:v>heading</x:v>
      </x:c>
      <x:c r="G112" s="5" t="n">
        <x:v>1</x:v>
      </x:c>
      <x:c r="H112" s="5" t="n">
        <x:v>1</x:v>
      </x:c>
      <x:c r="I112" s="5" t="str">
        <x:v>## 8. The Complete 6-Wedge Offer Portfolio (&lt;€35,000 Entry Points)</x:v>
      </x:c>
      <x:c r="J112" s="5" t="str">
        <x:v>SOURCE QUOTE; unvalidated / superseded assessments</x:v>
      </x:c>
      <x:c r="L112" s="31" t="str">
        <x:v>D01, Markdown line 491; http://nas-1.tail55d152.ts.net:4100/static/2S_CONSULTING_NORDIC_OUTREACH_STRATEGY.html</x:v>
      </x:c>
    </x:row>
    <x:row r="113" ht="56" customHeight="1">
      <x:c r="A113" s="5" t="str">
        <x:v>D01</x:v>
      </x:c>
      <x:c r="B113" s="5" t="str">
        <x:v>D01-L0493-1</x:v>
      </x:c>
      <x:c r="C113" s="5" t="str">
        <x:v>8. The Complete 6-Wedge Offer Portfolio (&lt;€35,000 Entry Points)</x:v>
      </x:c>
      <x:c r="D113" s="5" t="n">
        <x:v>493</x:v>
      </x:c>
      <x:c r="E113" s="5" t="n">
        <x:v>493</x:v>
      </x:c>
      <x:c r="F113" s="5" t="str">
        <x:v>text</x:v>
      </x:c>
      <x:c r="G113" s="5" t="n">
        <x:v>1</x:v>
      </x:c>
      <x:c r="H113" s="5" t="n">
        <x:v>1</x:v>
      </x:c>
      <x:c r="I113" s="5" t="str">
        <x:v>To eliminate enterprise procurement delays and bypass committee RFPs, Bountytek AB enters accounts strictly through fixed-fee, high-impact diagnostic wedges capped below corporate procurement thresholds and invoiced domestically in SEK or EUR.</x:v>
      </x:c>
      <x:c r="J113" s="5" t="str">
        <x:v>SOURCE QUOTE; unvalidated / superseded assessments</x:v>
      </x:c>
      <x:c r="L113" s="31" t="str">
        <x:v>D01, Markdown line 493; http://nas-1.tail55d152.ts.net:4100/static/2S_CONSULTING_NORDIC_OUTREACH_STRATEGY.html</x:v>
      </x:c>
    </x:row>
    <x:row r="114" ht="308" customHeight="1">
      <x:c r="A114" s="5" t="str">
        <x:v>D01</x:v>
      </x:c>
      <x:c r="B114" s="5" t="str">
        <x:v>D01-L0495-1</x:v>
      </x:c>
      <x:c r="C114" s="5" t="str">
        <x:v>8. The Complete 6-Wedge Offer Portfolio (&lt;€35,000 Entry Points)</x:v>
      </x:c>
      <x:c r="D114" s="5" t="n">
        <x:v>495</x:v>
      </x:c>
      <x:c r="E114" s="5" t="n">
        <x:v>506</x:v>
      </x:c>
      <x:c r="F114" s="5" t="str">
        <x:v>diagram / code</x:v>
      </x:c>
      <x:c r="G114" s="5" t="n">
        <x:v>1</x:v>
      </x:c>
      <x:c r="H114" s="5" t="n">
        <x:v>1</x:v>
      </x:c>
      <x:c r="I114" s="5" t="str">
        <x:v>```
┌──────────────────────────────────────────────────────────────────────────────────────────────────┐
│                   BOUNTYTEK AB: 6-WEDGE ENTRY PORTFOLIO                                          │
└──────────────────────────────────────────────────────────────────────────────────────────────────┘
 [W1: 48-Hour MDR/AI Act Gap Scan] ──────► €28,000 / SEK 320,000 │ Delivery: 5 Business Days
 [W2: Hospital CFO DaaS Calculator] ─────► €28,000 / SEK 320,000 │ Delivery: 10 Business Days
 [W3: API Yield &amp; Cleanroom Turnaround] ─► €32,000 / SEK 360,000 │ Delivery: 30 Calendar Days
 [W4: Pharma GTN Tender Leakage Audit] ──► €28,000 / SEK 320,000 │ Delivery: 21 Calendar Days
 [W5: Clinical Burn &amp; NLP Screening] ────► €35,000 / SEK 400,000 │ Delivery: 14 Calendar Days
 [W6: Adversarial Audit Simulation] ─────► €35,000 / SEK 400,000 │ Delivery: 10 Business Days
```</x:v>
      </x:c>
      <x:c r="J114" s="5" t="str">
        <x:v>SOURCE QUOTE; unvalidated / superseded assessments</x:v>
      </x:c>
      <x:c r="L114" s="31" t="str">
        <x:v>D01, Markdown line 495; http://nas-1.tail55d152.ts.net:4100/static/2S_CONSULTING_NORDIC_OUTREACH_STRATEGY.html</x:v>
      </x:c>
    </x:row>
    <x:row r="115" ht="42" customHeight="1">
      <x:c r="A115" s="5" t="str">
        <x:v>D01</x:v>
      </x:c>
      <x:c r="B115" s="5" t="str">
        <x:v>D01-L0519-1</x:v>
      </x:c>
      <x:c r="C115" s="5" t="str">
        <x:v>9. Nordic Life Science Ecosystem Clusters &amp; Infiltration Playbook</x:v>
      </x:c>
      <x:c r="D115" s="5" t="n">
        <x:v>519</x:v>
      </x:c>
      <x:c r="E115" s="5" t="n">
        <x:v>519</x:v>
      </x:c>
      <x:c r="F115" s="5" t="str">
        <x:v>heading</x:v>
      </x:c>
      <x:c r="G115" s="5" t="n">
        <x:v>1</x:v>
      </x:c>
      <x:c r="H115" s="5" t="n">
        <x:v>1</x:v>
      </x:c>
      <x:c r="I115" s="5" t="str">
        <x:v>## 9. Nordic Life Science Ecosystem Clusters &amp; Infiltration Playbook</x:v>
      </x:c>
      <x:c r="J115" s="5" t="str">
        <x:v>SOURCE QUOTE; unvalidated / superseded assessments</x:v>
      </x:c>
      <x:c r="L115" s="31" t="str">
        <x:v>D01, Markdown line 519; http://nas-1.tail55d152.ts.net:4100/static/2S_CONSULTING_NORDIC_OUTREACH_STRATEGY.html</x:v>
      </x:c>
    </x:row>
    <x:row r="116" ht="42" customHeight="1">
      <x:c r="A116" s="5" t="str">
        <x:v>D01</x:v>
      </x:c>
      <x:c r="B116" s="5" t="str">
        <x:v>D01-L0521-1</x:v>
      </x:c>
      <x:c r="C116" s="5" t="str">
        <x:v>9. Nordic Life Science Ecosystem Clusters &amp; Infiltration Playbook</x:v>
      </x:c>
      <x:c r="D116" s="5" t="n">
        <x:v>521</x:v>
      </x:c>
      <x:c r="E116" s="5" t="n">
        <x:v>521</x:v>
      </x:c>
      <x:c r="F116" s="5" t="str">
        <x:v>text</x:v>
      </x:c>
      <x:c r="G116" s="5" t="n">
        <x:v>1</x:v>
      </x:c>
      <x:c r="H116" s="5" t="n">
        <x:v>1</x:v>
      </x:c>
      <x:c r="I116" s="5" t="str">
        <x:v>Bountytek AB establishes permanent commercial presence across the five dominant Nordic innovation clusters:</x:v>
      </x:c>
      <x:c r="J116" s="5" t="str">
        <x:v>SOURCE QUOTE; unvalidated / superseded assessments</x:v>
      </x:c>
      <x:c r="L116" s="31" t="str">
        <x:v>D01, Markdown line 521; http://nas-1.tail55d152.ts.net:4100/static/2S_CONSULTING_NORDIC_OUTREACH_STRATEGY.html</x:v>
      </x:c>
    </x:row>
    <x:row r="117" ht="364" customHeight="1">
      <x:c r="A117" s="5" t="str">
        <x:v>D01</x:v>
      </x:c>
      <x:c r="B117" s="5" t="str">
        <x:v>D01-L0523-1</x:v>
      </x:c>
      <x:c r="C117" s="5" t="str">
        <x:v>9. Nordic Life Science Ecosystem Clusters &amp; Infiltration Playbook</x:v>
      </x:c>
      <x:c r="D117" s="5" t="n">
        <x:v>523</x:v>
      </x:c>
      <x:c r="E117" s="5" t="n">
        <x:v>536</x:v>
      </x:c>
      <x:c r="F117" s="5" t="str">
        <x:v>diagram / code</x:v>
      </x:c>
      <x:c r="G117" s="5" t="n">
        <x:v>1</x:v>
      </x:c>
      <x:c r="H117" s="5" t="n">
        <x:v>1</x:v>
      </x:c>
      <x:c r="I117" s="5" t="str">
        <x:v>```
┌──────────────────────────────────────────────────────────────────────────────────────────────────┐
│                   BOUNTYTEK AB: NORDIC CLUSTER HUBS                                              │
└──────────────────────────────────────────────────────────────────────────────────────────────────┘
  MEDICON VALLEY (SE/DK)   STOCKHOLM-UPPSALA (SE)   GOTHENBURG CORRIDOR (SE)  OSLO &amp; HELSINKI (NO/FI)
 ┌──────────────────────┐  ┌──────────────────────┐  ┌──────────────────────┐  ┌──────────────────┐
 │ • Medicon Village    │  │ • KI Science Park    │  │ • GoCo Innovation    │  │ • Oslo Cancer Cl │
 │   (Lund, SE)         │  │   (Stockholm, SE)    │  │   (Gothenburg, SE)   │  │   (Oslo, NO)     │
 │ • COBIS (Cph, DK)    │  │ • Uppsala Science Pk │  │ • AstraZeneca BioHub │  │ • Norway Health  │
 │ • DTU Science Park   │  │ • SwedenBIO HQ       │  │ • Sahlgrenska Science│  │ • Health Capital │
 │   (Lyngby, DK)       │  │ • SciLifeLab         │  │ • MedTech West       │  │   Helsinki (FI)  │
 └──────────────────────┘  └──────────────────────┘  └──────────────────────┘  └──────────────────┘
```</x:v>
      </x:c>
      <x:c r="J117" s="5" t="str">
        <x:v>SOURCE QUOTE; unvalidated / superseded assessments</x:v>
      </x:c>
      <x:c r="L117" s="31" t="str">
        <x:v>D01, Markdown line 523; http://nas-1.tail55d152.ts.net:4100/static/2S_CONSULTING_NORDIC_OUTREACH_STRATEGY.html</x:v>
      </x:c>
    </x:row>
    <x:row r="118" ht="42" customHeight="1">
      <x:c r="A118" s="5" t="str">
        <x:v>D01</x:v>
      </x:c>
      <x:c r="B118" s="5" t="str">
        <x:v>D01-L0538-1</x:v>
      </x:c>
      <x:c r="C118" s="5" t="str">
        <x:v>9.1 Strategic Cluster Infiltration Plays:</x:v>
      </x:c>
      <x:c r="D118" s="5" t="n">
        <x:v>538</x:v>
      </x:c>
      <x:c r="E118" s="5" t="n">
        <x:v>538</x:v>
      </x:c>
      <x:c r="F118" s="5" t="str">
        <x:v>heading</x:v>
      </x:c>
      <x:c r="G118" s="5" t="n">
        <x:v>1</x:v>
      </x:c>
      <x:c r="H118" s="5" t="n">
        <x:v>1</x:v>
      </x:c>
      <x:c r="I118" s="5" t="str">
        <x:v>### 9.1 Strategic Cluster Infiltration Plays:</x:v>
      </x:c>
      <x:c r="J118" s="5" t="str">
        <x:v>SOURCE QUOTE; unvalidated / superseded assessments</x:v>
      </x:c>
      <x:c r="L118" s="31" t="str">
        <x:v>D01, Markdown line 538; http://nas-1.tail55d152.ts.net:4100/static/2S_CONSULTING_NORDIC_OUTREACH_STRATEGY.html</x:v>
      </x:c>
    </x:row>
    <x:row r="119" ht="308" customHeight="1">
      <x:c r="A119" s="5" t="str">
        <x:v>D01</x:v>
      </x:c>
      <x:c r="B119" s="5" t="str">
        <x:v>D01-L0539-1</x:v>
      </x:c>
      <x:c r="C119" s="5" t="str">
        <x:v>9.1 Strategic Cluster Infiltration Plays:</x:v>
      </x:c>
      <x:c r="D119" s="5" t="n">
        <x:v>539</x:v>
      </x:c>
      <x:c r="E119" s="5" t="n">
        <x:v>553</x:v>
      </x:c>
      <x:c r="F119" s="5" t="str">
        <x:v>text</x:v>
      </x:c>
      <x:c r="G119" s="5" t="n">
        <x:v>1</x:v>
      </x:c>
      <x:c r="H119" s="5" t="n">
        <x:v>2</x:v>
      </x:c>
      <x:c r="I119" s="5" t="str">
        <x:v>1. **Medicon Village (Lund) Commercial Desk**:
   - Bountytek AB establishes an active commercial desk at Medicon Village, housing 180+ life science entities.
   - Host bi-weekly "Regulatory &amp; S&amp;OP Clinic" sessions for CEOs and operations heads.
2. **Stockholm-Uppsala / KI Science Park Infiltration**:
   - Partner with Karolinska Institutet Innovations and SciLifeLab.
   - Sponsor quarterly "AI Act &amp; Clinical NLP Executive Roundtable" for digital health spinouts.
3. **Gothenburg GoCo Health Innovation City**:
   - Establish touchpoints adjacent to AstraZeneca’s global R&amp;D site and Sahlgrenska University Hospital.
   - Focus on cardiovascular clinical trial acceleration and connected drug-delivery device engineering.
4. **Venture Capital Co-Diligence Alliances**:
   - Partner with leading Nordic healthcare VC funds (*HealthCap*, *Industrifonden*, *Novo Holdings*, *Sound Bioventures*).
   - Bountytek AB provides pre-investment regulatory and operational due diligence audits on target portfolio companies.
5. **Engineering Primes Co-Opetition (Subcontracting Channel)**:
   - Form strategic white-label alliances with domestic engineering consultancies (*Knightec*, *Semcon*, *Prevas*, *P</x:v>
      </x:c>
      <x:c r="J119" s="5" t="str">
        <x:v>SOURCE QUOTE; unvalidated / superseded assessments</x:v>
      </x:c>
      <x:c r="L119" s="31" t="str">
        <x:v>D01, Markdown line 539; http://nas-1.tail55d152.ts.net:4100/static/2S_CONSULTING_NORDIC_OUTREACH_STRATEGY.html</x:v>
      </x:c>
    </x:row>
    <x:row r="120" ht="56" customHeight="1">
      <x:c r="A120" s="5" t="str">
        <x:v>D01</x:v>
      </x:c>
      <x:c r="B120" s="5" t="str">
        <x:v>D01-L0539-2</x:v>
      </x:c>
      <x:c r="C120" s="5" t="str">
        <x:v>9.1 Strategic Cluster Infiltration Plays:</x:v>
      </x:c>
      <x:c r="D120" s="5" t="n">
        <x:v>539</x:v>
      </x:c>
      <x:c r="E120" s="5" t="n">
        <x:v>553</x:v>
      </x:c>
      <x:c r="F120" s="5" t="str">
        <x:v>text</x:v>
      </x:c>
      <x:c r="G120" s="5" t="n">
        <x:v>2</x:v>
      </x:c>
      <x:c r="H120" s="5" t="n">
        <x:v>2</x:v>
      </x:c>
      <x:c r="I120" s="5" t="str">
        <x:v>lantvision*).
   - Deliver specialized SaMD certification and AI validation under their established master services agreements (MSAs).</x:v>
      </x:c>
      <x:c r="J120" s="5" t="str">
        <x:v>SOURCE QUOTE; unvalidated / superseded assessments</x:v>
      </x:c>
      <x:c r="L120" s="31" t="str">
        <x:v>D01, Markdown line 539; http://nas-1.tail55d152.ts.net:4100/static/2S_CONSULTING_NORDIC_OUTREACH_STRATEGY.html</x:v>
      </x:c>
    </x:row>
    <x:row r="121" ht="42" customHeight="1">
      <x:c r="A121" s="5" t="str">
        <x:v>D01</x:v>
      </x:c>
      <x:c r="B121" s="5" t="str">
        <x:v>D01-L0557-1</x:v>
      </x:c>
      <x:c r="C121" s="5" t="str">
        <x:v>10. Value-Based Hospital &amp; Tender Procurement Strategy</x:v>
      </x:c>
      <x:c r="D121" s="5" t="n">
        <x:v>557</x:v>
      </x:c>
      <x:c r="E121" s="5" t="n">
        <x:v>557</x:v>
      </x:c>
      <x:c r="F121" s="5" t="str">
        <x:v>heading</x:v>
      </x:c>
      <x:c r="G121" s="5" t="n">
        <x:v>1</x:v>
      </x:c>
      <x:c r="H121" s="5" t="n">
        <x:v>1</x:v>
      </x:c>
      <x:c r="I121" s="5" t="str">
        <x:v>## 10. Value-Based Hospital &amp; Tender Procurement Strategy</x:v>
      </x:c>
      <x:c r="J121" s="5" t="str">
        <x:v>SOURCE QUOTE; unvalidated / superseded assessments</x:v>
      </x:c>
      <x:c r="L121" s="31" t="str">
        <x:v>D01, Markdown line 557; http://nas-1.tail55d152.ts.net:4100/static/2S_CONSULTING_NORDIC_OUTREACH_STRATEGY.html</x:v>
      </x:c>
    </x:row>
    <x:row r="122" ht="70" customHeight="1">
      <x:c r="A122" s="5" t="str">
        <x:v>D01</x:v>
      </x:c>
      <x:c r="B122" s="5" t="str">
        <x:v>D01-L0559-1</x:v>
      </x:c>
      <x:c r="C122" s="5" t="str">
        <x:v>10. Value-Based Hospital &amp; Tender Procurement Strategy</x:v>
      </x:c>
      <x:c r="D122" s="5" t="n">
        <x:v>559</x:v>
      </x:c>
      <x:c r="E122" s="5" t="n">
        <x:v>559</x:v>
      </x:c>
      <x:c r="F122" s="5" t="str">
        <x:v>text</x:v>
      </x:c>
      <x:c r="G122" s="5" t="n">
        <x:v>1</x:v>
      </x:c>
      <x:c r="H122" s="5" t="n">
        <x:v>1</x:v>
      </x:c>
      <x:c r="I122" s="5" t="str">
        <x:v>Nordic public healthcare procurement is governed by strict value-based criteria (*LOU in Sweden*, *LOV in Norway*, *Danish Public Procurement Act*). Hospital procurement councils (*Region Stockholm*, *Region Skåne*, *Västra Götalandsregionen*, *Danske Regioner / Amgros*, *Sykehusinnkjøp*) actively reject bids evaluated solely on acquisition price.</x:v>
      </x:c>
      <x:c r="J122" s="5" t="str">
        <x:v>SOURCE QUOTE; unvalidated / superseded assessments</x:v>
      </x:c>
      <x:c r="L122" s="31" t="str">
        <x:v>D01, Markdown line 559; http://nas-1.tail55d152.ts.net:4100/static/2S_CONSULTING_NORDIC_OUTREACH_STRATEGY.html</x:v>
      </x:c>
    </x:row>
    <x:row r="123" ht="42" customHeight="1">
      <x:c r="A123" s="5" t="str">
        <x:v>D01</x:v>
      </x:c>
      <x:c r="B123" s="5" t="str">
        <x:v>D01-L0561-1</x:v>
      </x:c>
      <x:c r="C123" s="5" t="str">
        <x:v>10.1 The Value-Based Healthcare (VBHC) Tender Scoring Formula</x:v>
      </x:c>
      <x:c r="D123" s="5" t="n">
        <x:v>561</x:v>
      </x:c>
      <x:c r="E123" s="5" t="n">
        <x:v>561</x:v>
      </x:c>
      <x:c r="F123" s="5" t="str">
        <x:v>heading</x:v>
      </x:c>
      <x:c r="G123" s="5" t="n">
        <x:v>1</x:v>
      </x:c>
      <x:c r="H123" s="5" t="n">
        <x:v>1</x:v>
      </x:c>
      <x:c r="I123" s="5" t="str">
        <x:v>### 10.1 The Value-Based Healthcare (VBHC) Tender Scoring Formula</x:v>
      </x:c>
      <x:c r="J123" s="5" t="str">
        <x:v>SOURCE QUOTE; unvalidated / superseded assessments</x:v>
      </x:c>
      <x:c r="L123" s="31" t="str">
        <x:v>D01, Markdown line 561; http://nas-1.tail55d152.ts.net:4100/static/2S_CONSULTING_NORDIC_OUTREACH_STRATEGY.html</x:v>
      </x:c>
    </x:row>
    <x:row r="124" ht="42" customHeight="1">
      <x:c r="A124" s="5" t="str">
        <x:v>D01</x:v>
      </x:c>
      <x:c r="B124" s="5" t="str">
        <x:v>D01-L0562-1</x:v>
      </x:c>
      <x:c r="C124" s="5" t="str">
        <x:v>10.1 The Value-Based Healthcare (VBHC) Tender Scoring Formula</x:v>
      </x:c>
      <x:c r="D124" s="5" t="n">
        <x:v>562</x:v>
      </x:c>
      <x:c r="E124" s="5" t="n">
        <x:v>562</x:v>
      </x:c>
      <x:c r="F124" s="5" t="str">
        <x:v>text</x:v>
      </x:c>
      <x:c r="G124" s="5" t="n">
        <x:v>1</x:v>
      </x:c>
      <x:c r="H124" s="5" t="n">
        <x:v>1</x:v>
      </x:c>
      <x:c r="I124" s="5" t="str">
        <x:v>Scandinavian tenders evaluate bids using multi-criteria weighted scoring:</x:v>
      </x:c>
      <x:c r="J124" s="5" t="str">
        <x:v>SOURCE QUOTE; unvalidated / superseded assessments</x:v>
      </x:c>
      <x:c r="L124" s="31" t="str">
        <x:v>D01, Markdown line 562; http://nas-1.tail55d152.ts.net:4100/static/2S_CONSULTING_NORDIC_OUTREACH_STRATEGY.html</x:v>
      </x:c>
    </x:row>
    <x:row r="125" ht="42" customHeight="1">
      <x:c r="A125" s="5" t="str">
        <x:v>D01</x:v>
      </x:c>
      <x:c r="B125" s="5" t="str">
        <x:v>D01-L0564-1</x:v>
      </x:c>
      <x:c r="C125" s="5" t="str">
        <x:v>10.1 The Value-Based Healthcare (VBHC) Tender Scoring Formula</x:v>
      </x:c>
      <x:c r="D125" s="5" t="n">
        <x:v>564</x:v>
      </x:c>
      <x:c r="E125" s="5" t="n">
        <x:v>564</x:v>
      </x:c>
      <x:c r="F125" s="5" t="str">
        <x:v>text</x:v>
      </x:c>
      <x:c r="G125" s="5" t="n">
        <x:v>1</x:v>
      </x:c>
      <x:c r="H125" s="5" t="n">
        <x:v>1</x:v>
      </x:c>
      <x:c r="I125" s="5" t="str">
        <x:v>$$\text{Final Tender Score} = 0.40 \times \text{Acquisition Price} + 0.35 \times \text{Clinical Efficacy} + 0.25 \times \text{Health Economic Impact}$$</x:v>
      </x:c>
      <x:c r="J125" s="5" t="str">
        <x:v>SOURCE QUOTE; unvalidated / superseded assessments</x:v>
      </x:c>
      <x:c r="L125" s="31" t="str">
        <x:v>D01, Markdown line 564; http://nas-1.tail55d152.ts.net:4100/static/2S_CONSULTING_NORDIC_OUTREACH_STRATEGY.html</x:v>
      </x:c>
    </x:row>
    <x:row r="126" ht="98" customHeight="1">
      <x:c r="A126" s="5" t="str">
        <x:v>D01</x:v>
      </x:c>
      <x:c r="B126" s="5" t="str">
        <x:v>D01-L0566-1</x:v>
      </x:c>
      <x:c r="C126" s="5" t="str">
        <x:v>10.1 The Value-Based Healthcare (VBHC) Tender Scoring Formula</x:v>
      </x:c>
      <x:c r="D126" s="5" t="n">
        <x:v>566</x:v>
      </x:c>
      <x:c r="E126" s="5" t="n">
        <x:v>569</x:v>
      </x:c>
      <x:c r="F126" s="5" t="str">
        <x:v>text</x:v>
      </x:c>
      <x:c r="G126" s="5" t="n">
        <x:v>1</x:v>
      </x:c>
      <x:c r="H126" s="5" t="n">
        <x:v>1</x:v>
      </x:c>
      <x:c r="I126" s="5" t="str">
        <x:v>Where:
- **Acquisition Price** is normalized against the regional budget cap.
- **Clinical Efficacy** is scored via peer-reviewed clinical data and CE-mark classification rigor.
- **Health Economic Impact (HEOR)** is evaluated using total cost of care (TCC) reduction formulas:</x:v>
      </x:c>
      <x:c r="J126" s="5" t="str">
        <x:v>SOURCE QUOTE; unvalidated / superseded assessments</x:v>
      </x:c>
      <x:c r="L126" s="31" t="str">
        <x:v>D01, Markdown line 566; http://nas-1.tail55d152.ts.net:4100/static/2S_CONSULTING_NORDIC_OUTREACH_STRATEGY.html</x:v>
      </x:c>
    </x:row>
    <x:row r="127" ht="42" customHeight="1">
      <x:c r="A127" s="5" t="str">
        <x:v>D01</x:v>
      </x:c>
      <x:c r="B127" s="5" t="str">
        <x:v>D01-L0571-1</x:v>
      </x:c>
      <x:c r="C127" s="5" t="str">
        <x:v>10.1 The Value-Based Healthcare (VBHC) Tender Scoring Formula</x:v>
      </x:c>
      <x:c r="D127" s="5" t="n">
        <x:v>571</x:v>
      </x:c>
      <x:c r="E127" s="5" t="n">
        <x:v>571</x:v>
      </x:c>
      <x:c r="F127" s="5" t="str">
        <x:v>text</x:v>
      </x:c>
      <x:c r="G127" s="5" t="n">
        <x:v>1</x:v>
      </x:c>
      <x:c r="H127" s="5" t="n">
        <x:v>1</x:v>
      </x:c>
      <x:c r="I127" s="5" t="str">
        <x:v>$$\text{Total Cost of Care Reduction} = (\Delta \text{ICU Bed-Days} \times €1,850) + (\Delta \text{Nursing Minutes} \times €45/\text{hr}) - \text{Device Subscription Cost}$$</x:v>
      </x:c>
      <x:c r="J127" s="5" t="str">
        <x:v>SOURCE QUOTE; unvalidated / superseded assessments</x:v>
      </x:c>
      <x:c r="L127" s="31" t="str">
        <x:v>D01, Markdown line 571; http://nas-1.tail55d152.ts.net:4100/static/2S_CONSULTING_NORDIC_OUTREACH_STRATEGY.html</x:v>
      </x:c>
    </x:row>
    <x:row r="128" ht="42" customHeight="1">
      <x:c r="A128" s="5" t="str">
        <x:v>D01</x:v>
      </x:c>
      <x:c r="B128" s="5" t="str">
        <x:v>D01-L0573-1</x:v>
      </x:c>
      <x:c r="C128" s="5" t="str">
        <x:v>10.2 The Bountytek AB Co-Bidding Advantage</x:v>
      </x:c>
      <x:c r="D128" s="5" t="n">
        <x:v>573</x:v>
      </x:c>
      <x:c r="E128" s="5" t="n">
        <x:v>573</x:v>
      </x:c>
      <x:c r="F128" s="5" t="str">
        <x:v>heading</x:v>
      </x:c>
      <x:c r="G128" s="5" t="n">
        <x:v>1</x:v>
      </x:c>
      <x:c r="H128" s="5" t="n">
        <x:v>1</x:v>
      </x:c>
      <x:c r="I128" s="5" t="str">
        <x:v>### 10.2 The Bountytek AB Co-Bidding Advantage</x:v>
      </x:c>
      <x:c r="J128" s="5" t="str">
        <x:v>SOURCE QUOTE; unvalidated / superseded assessments</x:v>
      </x:c>
      <x:c r="L128" s="31" t="str">
        <x:v>D01, Markdown line 573; http://nas-1.tail55d152.ts.net:4100/static/2S_CONSULTING_NORDIC_OUTREACH_STRATEGY.html</x:v>
      </x:c>
    </x:row>
    <x:row r="129" ht="112" customHeight="1">
      <x:c r="A129" s="5" t="str">
        <x:v>D01</x:v>
      </x:c>
      <x:c r="B129" s="5" t="str">
        <x:v>D01-L0574-1</x:v>
      </x:c>
      <x:c r="C129" s="5" t="str">
        <x:v>10.2 The Bountytek AB Co-Bidding Advantage</x:v>
      </x:c>
      <x:c r="D129" s="5" t="n">
        <x:v>574</x:v>
      </x:c>
      <x:c r="E129" s="5" t="n">
        <x:v>577</x:v>
      </x:c>
      <x:c r="F129" s="5" t="str">
        <x:v>text</x:v>
      </x:c>
      <x:c r="G129" s="5" t="n">
        <x:v>1</x:v>
      </x:c>
      <x:c r="H129" s="5" t="n">
        <x:v>1</x:v>
      </x:c>
      <x:c r="I129" s="5" t="str">
        <x:v>Bountytek AB embeds directly with client commercial bidding teams as the domestic Swedish prime vendor to:
1. Co-author the health economic and clinical sections of public tender submissions.
2. Embed interactive HEOR calculators demonstrating that selecting our client's device saves the regional hospital council €500,000 to €2.5M over a 4-year procurement cycle.
3. Establish 3.2x higher win rates in competitive public tenders across Sweden, Denmark, and Norway.</x:v>
      </x:c>
      <x:c r="J129" s="5" t="str">
        <x:v>SOURCE QUOTE; unvalidated / superseded assessments</x:v>
      </x:c>
      <x:c r="L129" s="31" t="str">
        <x:v>D01, Markdown line 574; http://nas-1.tail55d152.ts.net:4100/static/2S_CONSULTING_NORDIC_OUTREACH_STRATEGY.html</x:v>
      </x:c>
    </x:row>
    <x:row r="130" ht="42" customHeight="1">
      <x:c r="A130" s="5" t="str">
        <x:v>D01</x:v>
      </x:c>
      <x:c r="B130" s="5" t="str">
        <x:v>D01-L0581-1</x:v>
      </x:c>
      <x:c r="C130" s="5" t="str">
        <x:v>11. 90-Day Execution Roadmap &amp; Revenue Milestones</x:v>
      </x:c>
      <x:c r="D130" s="5" t="n">
        <x:v>581</x:v>
      </x:c>
      <x:c r="E130" s="5" t="n">
        <x:v>581</x:v>
      </x:c>
      <x:c r="F130" s="5" t="str">
        <x:v>heading</x:v>
      </x:c>
      <x:c r="G130" s="5" t="n">
        <x:v>1</x:v>
      </x:c>
      <x:c r="H130" s="5" t="n">
        <x:v>1</x:v>
      </x:c>
      <x:c r="I130" s="5" t="str">
        <x:v>## 11. 90-Day Execution Roadmap &amp; Revenue Milestones</x:v>
      </x:c>
      <x:c r="J130" s="5" t="str">
        <x:v>SOURCE QUOTE; unvalidated / superseded assessments</x:v>
      </x:c>
      <x:c r="L130" s="31" t="str">
        <x:v>D01, Markdown line 581; http://nas-1.tail55d152.ts.net:4100/static/2S_CONSULTING_NORDIC_OUTREACH_STRATEGY.html</x:v>
      </x:c>
    </x:row>
    <x:row r="131" ht="378" customHeight="1">
      <x:c r="A131" s="5" t="str">
        <x:v>D01</x:v>
      </x:c>
      <x:c r="B131" s="5" t="str">
        <x:v>D01-L0583-1</x:v>
      </x:c>
      <x:c r="C131" s="5" t="str">
        <x:v>11. 90-Day Execution Roadmap &amp; Revenue Milestones</x:v>
      </x:c>
      <x:c r="D131" s="5" t="n">
        <x:v>583</x:v>
      </x:c>
      <x:c r="E131" s="5" t="n">
        <x:v>608</x:v>
      </x:c>
      <x:c r="F131" s="5" t="str">
        <x:v>diagram / code</x:v>
      </x:c>
      <x:c r="G131" s="5" t="n">
        <x:v>1</x:v>
      </x:c>
      <x:c r="H131" s="5" t="n">
        <x:v>2</x:v>
      </x:c>
      <x:c r="I131" s="5" t="str">
        <x:v>```
┌──────────────────────────────────────────────────────────────────────────────────────────────────┐
│                     90-DAY MULTI-TRACK EXECUTION ROADMAP                                         │
└──────────────────────────────────────────────────────────────────────────────────────────────────┘
  MONTH 1: COLD OUTREACH ACTIVATION (DAYS 1 - 30)
  ┌──────────────────────────────────────────────────────────────────────────────────────────────┐
  │ • Launch 6 personalized cadences to Top 20 Titans and 60 Tier-2 accounts across both tracks  │
  │ • Targets: 240 personalized executive touches, 30 exploratory discovery meetings booked      │
  │ • Goal: 8 Diagnostic Wedge proposals submitted via Bountytek AB                              │
  └──────────────────────────────────────────────┬───────────────────────────────────────────────┘
                                                 │
  MONTH 2: WEDGE DELIVERY &amp; C-SUITE ROI PROOF (DAYS 31 - 60)
  ┌──────────────────────────────────────────────────────────────────────────────────────────────┐
  │ • Deliver 4 complimentary gap audits and 4 paid diagnostic wedges (€28k - €35k each)         │
  │ • Present C-suite findings decks </x:v>
      </x:c>
      <x:c r="J131" s="5" t="str">
        <x:v>SOURCE QUOTE; unvalidated / superseded assessments</x:v>
      </x:c>
      <x:c r="L131" s="31" t="str">
        <x:v>D01, Markdown line 583; http://nas-1.tail55d152.ts.net:4100/static/2S_CONSULTING_NORDIC_OUTREACH_STRATEGY.html</x:v>
      </x:c>
    </x:row>
    <x:row r="132" ht="266" customHeight="1">
      <x:c r="A132" s="5" t="str">
        <x:v>D01</x:v>
      </x:c>
      <x:c r="B132" s="5" t="str">
        <x:v>D01-L0583-2</x:v>
      </x:c>
      <x:c r="C132" s="5" t="str">
        <x:v>11. 90-Day Execution Roadmap &amp; Revenue Milestones</x:v>
      </x:c>
      <x:c r="D132" s="5" t="n">
        <x:v>583</x:v>
      </x:c>
      <x:c r="E132" s="5" t="n">
        <x:v>608</x:v>
      </x:c>
      <x:c r="F132" s="5" t="str">
        <x:v>diagram / code</x:v>
      </x:c>
      <x:c r="G132" s="5" t="n">
        <x:v>2</x:v>
      </x:c>
      <x:c r="H132" s="5" t="n">
        <x:v>2</x:v>
      </x:c>
      <x:c r="I132" s="5" t="str">
        <x:v>demonstrating €500k - €2.5M in actionable margin recoveries │
  │ • Revenue Booked: €120,000+ in initial diagnostic fees                                       │
  └──────────────────────────────────────────────┬───────────────────────────────────────────────┘
                                                 │
  MONTH 3: RETAINER CONVERSIONS &amp; ARR SCALING (DAYS 61 - 90)
  ┌──────────────────────────────────────────────────────────────────────────────────────────────┐
  │ • Convert 3 diagnostic engagements into full annual enterprise retainers (€250k - €450k each)│
  │ • Sign 1 Co-Opetition Subcontracting Agreement with domestic engineering firm (Knightec/Semcon│
  │ • Cumulative Contract Value: €1,200,000+ ARR contracted via Bountytek AB                     │
  └──────────────────────────────────────────────────────────────────────────────────────────────┘
```</x:v>
      </x:c>
      <x:c r="J132" s="5" t="str">
        <x:v>SOURCE QUOTE; unvalidated / superseded assessments</x:v>
      </x:c>
      <x:c r="L132" s="31" t="str">
        <x:v>D01, Markdown line 583; http://nas-1.tail55d152.ts.net:4100/static/2S_CONSULTING_NORDIC_OUTREACH_STRATEGY.html</x:v>
      </x:c>
    </x:row>
    <x:row r="133" ht="42" customHeight="1">
      <x:c r="A133" s="5" t="str">
        <x:v>D01</x:v>
      </x:c>
      <x:c r="B133" s="5" t="str">
        <x:v>D01-L0610-1</x:v>
      </x:c>
      <x:c r="C133" s="5" t="str">
        <x:v>11.1 Cumulative 90-Day Revenue Projection</x:v>
      </x:c>
      <x:c r="D133" s="5" t="n">
        <x:v>610</x:v>
      </x:c>
      <x:c r="E133" s="5" t="n">
        <x:v>610</x:v>
      </x:c>
      <x:c r="F133" s="5" t="str">
        <x:v>heading</x:v>
      </x:c>
      <x:c r="G133" s="5" t="n">
        <x:v>1</x:v>
      </x:c>
      <x:c r="H133" s="5" t="n">
        <x:v>1</x:v>
      </x:c>
      <x:c r="I133" s="5" t="str">
        <x:v>### 11.1 Cumulative 90-Day Revenue Projection</x:v>
      </x:c>
      <x:c r="J133" s="5" t="str">
        <x:v>SOURCE QUOTE; unvalidated / superseded assessments</x:v>
      </x:c>
      <x:c r="L133" s="31" t="str">
        <x:v>D01, Markdown line 610; http://nas-1.tail55d152.ts.net:4100/static/2S_CONSULTING_NORDIC_OUTREACH_STRATEGY.html</x:v>
      </x:c>
    </x:row>
    <x:row r="134" ht="42" customHeight="1">
      <x:c r="A134" s="5" t="str">
        <x:v>D01</x:v>
      </x:c>
      <x:c r="B134" s="5" t="str">
        <x:v>D01-L0621-1</x:v>
      </x:c>
      <x:c r="C134" s="5" t="str">
        <x:v>12. Epistemic Validation: ACH, NATO Admiralty &amp; Devil's Advocate</x:v>
      </x:c>
      <x:c r="D134" s="5" t="n">
        <x:v>621</x:v>
      </x:c>
      <x:c r="E134" s="5" t="n">
        <x:v>621</x:v>
      </x:c>
      <x:c r="F134" s="5" t="str">
        <x:v>heading</x:v>
      </x:c>
      <x:c r="G134" s="5" t="n">
        <x:v>1</x:v>
      </x:c>
      <x:c r="H134" s="5" t="n">
        <x:v>1</x:v>
      </x:c>
      <x:c r="I134" s="5" t="str">
        <x:v>## 12. Epistemic Validation: ACH, NATO Admiralty &amp; Devil's Advocate</x:v>
      </x:c>
      <x:c r="J134" s="5" t="str">
        <x:v>SOURCE QUOTE; unvalidated / superseded assessments</x:v>
      </x:c>
      <x:c r="L134" s="31" t="str">
        <x:v>D01, Markdown line 621; http://nas-1.tail55d152.ts.net:4100/static/2S_CONSULTING_NORDIC_OUTREACH_STRATEGY.html</x:v>
      </x:c>
    </x:row>
    <x:row r="135" ht="42" customHeight="1">
      <x:c r="A135" s="5" t="str">
        <x:v>D01</x:v>
      </x:c>
      <x:c r="B135" s="5" t="str">
        <x:v>D01-L0623-1</x:v>
      </x:c>
      <x:c r="C135" s="5" t="str">
        <x:v>12.1 Analysis of Competing Hypotheses (ACH) Matrix</x:v>
      </x:c>
      <x:c r="D135" s="5" t="n">
        <x:v>623</x:v>
      </x:c>
      <x:c r="E135" s="5" t="n">
        <x:v>623</x:v>
      </x:c>
      <x:c r="F135" s="5" t="str">
        <x:v>heading</x:v>
      </x:c>
      <x:c r="G135" s="5" t="n">
        <x:v>1</x:v>
      </x:c>
      <x:c r="H135" s="5" t="n">
        <x:v>1</x:v>
      </x:c>
      <x:c r="I135" s="5" t="str">
        <x:v>### 12.1 Analysis of Competing Hypotheses (ACH) Matrix</x:v>
      </x:c>
      <x:c r="J135" s="5" t="str">
        <x:v>SOURCE QUOTE; unvalidated / superseded assessments</x:v>
      </x:c>
      <x:c r="L135" s="31" t="str">
        <x:v>D01, Markdown line 623; http://nas-1.tail55d152.ts.net:4100/static/2S_CONSULTING_NORDIC_OUTREACH_STRATEGY.html</x:v>
      </x:c>
    </x:row>
    <x:row r="136" ht="42" customHeight="1">
      <x:c r="A136" s="5" t="str">
        <x:v>D01</x:v>
      </x:c>
      <x:c r="B136" s="5" t="str">
        <x:v>D01-L0624-1</x:v>
      </x:c>
      <x:c r="C136" s="5" t="str">
        <x:v>12.1 Analysis of Competing Hypotheses (ACH) Matrix</x:v>
      </x:c>
      <x:c r="D136" s="5" t="n">
        <x:v>624</x:v>
      </x:c>
      <x:c r="E136" s="5" t="n">
        <x:v>624</x:v>
      </x:c>
      <x:c r="F136" s="5" t="str">
        <x:v>text</x:v>
      </x:c>
      <x:c r="G136" s="5" t="n">
        <x:v>1</x:v>
      </x:c>
      <x:c r="H136" s="5" t="n">
        <x:v>1</x:v>
      </x:c>
      <x:c r="I136" s="5" t="str">
        <x:v>Evaluating outbound sales execution modalities under Richards J. Heuer Jr.'s formal intelligence methodology:</x:v>
      </x:c>
      <x:c r="J136" s="5" t="str">
        <x:v>SOURCE QUOTE; unvalidated / superseded assessments</x:v>
      </x:c>
      <x:c r="L136" s="31" t="str">
        <x:v>D01, Markdown line 624; http://nas-1.tail55d152.ts.net:4100/static/2S_CONSULTING_NORDIC_OUTREACH_STRATEGY.html</x:v>
      </x:c>
    </x:row>
    <x:row r="137" ht="42" customHeight="1">
      <x:c r="A137" s="5" t="str">
        <x:v>D01</x:v>
      </x:c>
      <x:c r="B137" s="5" t="str">
        <x:v>D01-L0636-1</x:v>
      </x:c>
      <x:c r="C137" s="5" t="str">
        <x:v>12.1 Analysis of Competing Hypotheses (ACH) Matrix</x:v>
      </x:c>
      <x:c r="D137" s="5" t="n">
        <x:v>636</x:v>
      </x:c>
      <x:c r="E137" s="5" t="n">
        <x:v>636</x:v>
      </x:c>
      <x:c r="F137" s="5" t="str">
        <x:v>text</x:v>
      </x:c>
      <x:c r="G137" s="5" t="n">
        <x:v>1</x:v>
      </x:c>
      <x:c r="H137" s="5" t="n">
        <x:v>1</x:v>
      </x:c>
      <x:c r="I137" s="5" t="str">
        <x:v>*Conclusion*: $H_3$ (Bountytek AB Asymmetric Trigger ABM with Diagnostic Wedges &amp; Co-Opetition) is confirmed with **zero disconfirmation penalties**.</x:v>
      </x:c>
      <x:c r="J137" s="5" t="str">
        <x:v>SOURCE QUOTE; unvalidated / superseded assessments</x:v>
      </x:c>
      <x:c r="L137" s="31" t="str">
        <x:v>D01, Markdown line 636; http://nas-1.tail55d152.ts.net:4100/static/2S_CONSULTING_NORDIC_OUTREACH_STRATEGY.html</x:v>
      </x:c>
    </x:row>
    <x:row r="138" ht="42" customHeight="1">
      <x:c r="A138" s="5" t="str">
        <x:v>D01</x:v>
      </x:c>
      <x:c r="B138" s="5" t="str">
        <x:v>D01-L0638-1</x:v>
      </x:c>
      <x:c r="C138" s="5" t="str">
        <x:v>12.2 NATO STANAG 2017/2018 Admiralty Audit ($\ge \text{B2}$)</x:v>
      </x:c>
      <x:c r="D138" s="5" t="n">
        <x:v>638</x:v>
      </x:c>
      <x:c r="E138" s="5" t="n">
        <x:v>638</x:v>
      </x:c>
      <x:c r="F138" s="5" t="str">
        <x:v>heading</x:v>
      </x:c>
      <x:c r="G138" s="5" t="n">
        <x:v>1</x:v>
      </x:c>
      <x:c r="H138" s="5" t="n">
        <x:v>1</x:v>
      </x:c>
      <x:c r="I138" s="5" t="str">
        <x:v>### 12.2 NATO STANAG 2017/2018 Admiralty Audit ($\ge \text{B2}$)</x:v>
      </x:c>
      <x:c r="J138" s="5" t="str">
        <x:v>SOURCE QUOTE; unvalidated / superseded assessments</x:v>
      </x:c>
      <x:c r="L138" s="31" t="str">
        <x:v>D01, Markdown line 638; http://nas-1.tail55d152.ts.net:4100/static/2S_CONSULTING_NORDIC_OUTREACH_STRATEGY.html</x:v>
      </x:c>
    </x:row>
    <x:row r="139" ht="42" customHeight="1">
      <x:c r="A139" s="5" t="str">
        <x:v>D01</x:v>
      </x:c>
      <x:c r="B139" s="5" t="str">
        <x:v>D01-L0639-1</x:v>
      </x:c>
      <x:c r="C139" s="5" t="str">
        <x:v>12.2 NATO STANAG 2017/2018 Admiralty Audit ($\ge \text{B2}$)</x:v>
      </x:c>
      <x:c r="D139" s="5" t="n">
        <x:v>639</x:v>
      </x:c>
      <x:c r="E139" s="5" t="n">
        <x:v>639</x:v>
      </x:c>
      <x:c r="F139" s="5" t="str">
        <x:v>text</x:v>
      </x:c>
      <x:c r="G139" s="5" t="n">
        <x:v>1</x:v>
      </x:c>
      <x:c r="H139" s="5" t="n">
        <x:v>1</x:v>
      </x:c>
      <x:c r="I139" s="5" t="str">
        <x:v>All commercial entities, target companies, and market parameters are audited to NATO STANAG criteria:</x:v>
      </x:c>
      <x:c r="J139" s="5" t="str">
        <x:v>SOURCE QUOTE; unvalidated / superseded assessments</x:v>
      </x:c>
      <x:c r="L139" s="31" t="str">
        <x:v>D01, Markdown line 639; http://nas-1.tail55d152.ts.net:4100/static/2S_CONSULTING_NORDIC_OUTREACH_STRATEGY.html</x:v>
      </x:c>
    </x:row>
    <x:row r="140" ht="42" customHeight="1">
      <x:c r="A140" s="5" t="str">
        <x:v>D01</x:v>
      </x:c>
      <x:c r="B140" s="5" t="str">
        <x:v>D01-L0667-1</x:v>
      </x:c>
      <x:c r="C140" s="5" t="str">
        <x:v>12.2 NATO STANAG 2017/2018 Admiralty Audit ($\ge \text{B2}$)</x:v>
      </x:c>
      <x:c r="D140" s="5" t="n">
        <x:v>667</x:v>
      </x:c>
      <x:c r="E140" s="5" t="n">
        <x:v>667</x:v>
      </x:c>
      <x:c r="F140" s="5" t="str">
        <x:v>text</x:v>
      </x:c>
      <x:c r="G140" s="5" t="n">
        <x:v>1</x:v>
      </x:c>
      <x:c r="H140" s="5" t="n">
        <x:v>1</x:v>
      </x:c>
      <x:c r="I140" s="5" t="str">
        <x:v>*Admiralty Compliance*: **100% of analyzed entities meet or exceed the B2 standard** ($\ge \text{B2}$ mandate satisfied).</x:v>
      </x:c>
      <x:c r="J140" s="5" t="str">
        <x:v>SOURCE QUOTE; unvalidated / superseded assessments</x:v>
      </x:c>
      <x:c r="L140" s="31" t="str">
        <x:v>D01, Markdown line 667; http://nas-1.tail55d152.ts.net:4100/static/2S_CONSULTING_NORDIC_OUTREACH_STRATEGY.html</x:v>
      </x:c>
    </x:row>
    <x:row r="141" ht="42" customHeight="1">
      <x:c r="A141" s="5" t="str">
        <x:v>D01</x:v>
      </x:c>
      <x:c r="B141" s="5" t="str">
        <x:v>D01-L0669-1</x:v>
      </x:c>
      <x:c r="C141" s="5" t="str">
        <x:v>12.3 Devil's Advocate / Tenth Man Falsification Protocol</x:v>
      </x:c>
      <x:c r="D141" s="5" t="n">
        <x:v>669</x:v>
      </x:c>
      <x:c r="E141" s="5" t="n">
        <x:v>669</x:v>
      </x:c>
      <x:c r="F141" s="5" t="str">
        <x:v>heading</x:v>
      </x:c>
      <x:c r="G141" s="5" t="n">
        <x:v>1</x:v>
      </x:c>
      <x:c r="H141" s="5" t="n">
        <x:v>1</x:v>
      </x:c>
      <x:c r="I141" s="5" t="str">
        <x:v>### 12.3 Devil's Advocate / Tenth Man Falsification Protocol</x:v>
      </x:c>
      <x:c r="J141" s="5" t="str">
        <x:v>SOURCE QUOTE; unvalidated / superseded assessments</x:v>
      </x:c>
      <x:c r="L141" s="31" t="str">
        <x:v>D01, Markdown line 669; http://nas-1.tail55d152.ts.net:4100/static/2S_CONSULTING_NORDIC_OUTREACH_STRATEGY.html</x:v>
      </x:c>
    </x:row>
    <x:row r="142" ht="266" customHeight="1">
      <x:c r="A142" s="5" t="str">
        <x:v>D01</x:v>
      </x:c>
      <x:c r="B142" s="5" t="str">
        <x:v>D01-L0670-1</x:v>
      </x:c>
      <x:c r="C142" s="5" t="str">
        <x:v>12.3 Devil's Advocate / Tenth Man Falsification Protocol</x:v>
      </x:c>
      <x:c r="D142" s="5" t="n">
        <x:v>670</x:v>
      </x:c>
      <x:c r="E142" s="5" t="n">
        <x:v>682</x:v>
      </x:c>
      <x:c r="F142" s="5" t="str">
        <x:v>text</x:v>
      </x:c>
      <x:c r="G142" s="5" t="n">
        <x:v>1</x:v>
      </x:c>
      <x:c r="H142" s="5" t="n">
        <x:v>2</x:v>
      </x:c>
      <x:c r="I142" s="5" t="str">
        <x:v>Applying the Tenth Man Rule to Bountytek AB's primary commercial assumptions:
1. **The Enterprise Procurement Wall**:
   - *Adversarial Challenge*: Tier-1 OEMs will stall vendor onboarding for 6+ months regardless of price.
   - *Bountytek AB Countermeasure*: Bountytek AB is a domestic Swedish registered corporate entity. Contracts under SEK 400,000 (&lt;€35k) qualify for local departmental purchase orders without triggering international vendor screening.
   - *30-Day Tripwire*: If $&gt;3$ enterprise accounts mandate full central vendor onboarding for a &lt;€35k wedge, divert 100% of outbound capacity to prime subcontracting (Knightec/Semcon).
2. **The Nordic Cultural Insularity &amp; Local Language Barrier**:
   - *Adversarial Challenge*: MedTech and Pharma executives in Gothenburg, Stockholm, and Lund operate within intimate alumni networks and favor Swedish relationships.
   - *Bountytek AB Countermeasure*: Bountytek AB acts as the accredited Nordic front and domestic partner, presenting local Swedish commercial representation backed by 2S Consulting's Swiss/French technical execution.
   - *30-Day Tripwire*: If prospect discovery calls reveal cultural hesitation, ensure Swedish-speaking ac</x:v>
      </x:c>
      <x:c r="J142" s="5" t="str">
        <x:v>SOURCE QUOTE; unvalidated / superseded assessments</x:v>
      </x:c>
      <x:c r="L142" s="31" t="str">
        <x:v>D01, Markdown line 670; http://nas-1.tail55d152.ts.net:4100/static/2S_CONSULTING_NORDIC_OUTREACH_STRATEGY.html</x:v>
      </x:c>
    </x:row>
    <x:row r="143" ht="126" customHeight="1">
      <x:c r="A143" s="5" t="str">
        <x:v>D01</x:v>
      </x:c>
      <x:c r="B143" s="5" t="str">
        <x:v>D01-L0670-2</x:v>
      </x:c>
      <x:c r="C143" s="5" t="str">
        <x:v>12.3 Devil's Advocate / Tenth Man Falsification Protocol</x:v>
      </x:c>
      <x:c r="D143" s="5" t="n">
        <x:v>670</x:v>
      </x:c>
      <x:c r="E143" s="5" t="n">
        <x:v>682</x:v>
      </x:c>
      <x:c r="F143" s="5" t="str">
        <x:v>text</x:v>
      </x:c>
      <x:c r="G143" s="5" t="n">
        <x:v>2</x:v>
      </x:c>
      <x:c r="H143" s="5" t="n">
        <x:v>2</x:v>
      </x:c>
      <x:c r="I143" s="5" t="str">
        <x:v>count directors lead all introductory conversations.
3. **The Academic Science Park Poverty Trap**:
   - *Adversarial Challenge*: Incubator startups lack operational budgets for consulting.
   - *Countermeasure*: Screen incubator tenants strictly for institutional Series A+ funding (&gt;€5M) and co-sponsor portfolio review sessions directly with healthcare VC funds.
   - *30-Day Tripwire*: If $&gt;50\%$ of inbound cluster leads are pre-revenue, immediately cease open advisory desk hours and restrict attendance to private VC portfolio days.</x:v>
      </x:c>
      <x:c r="J143" s="5" t="str">
        <x:v>SOURCE QUOTE; unvalidated / superseded assessments</x:v>
      </x:c>
      <x:c r="L143" s="31" t="str">
        <x:v>D01, Markdown line 670; http://nas-1.tail55d152.ts.net:4100/static/2S_CONSULTING_NORDIC_OUTREACH_STRATEGY.html</x:v>
      </x:c>
    </x:row>
    <x:row r="144" ht="42" customHeight="1">
      <x:c r="A144" s="5" t="str">
        <x:v>D01</x:v>
      </x:c>
      <x:c r="B144" s="5" t="str">
        <x:v>D01-L0686-1</x:v>
      </x:c>
      <x:c r="C144" s="5" t="str">
        <x:v>13. Complete Sovereign Artifact Registry &amp; Inter-Connected FQDN Network</x:v>
      </x:c>
      <x:c r="D144" s="5" t="n">
        <x:v>686</x:v>
      </x:c>
      <x:c r="E144" s="5" t="n">
        <x:v>686</x:v>
      </x:c>
      <x:c r="F144" s="5" t="str">
        <x:v>heading</x:v>
      </x:c>
      <x:c r="G144" s="5" t="n">
        <x:v>1</x:v>
      </x:c>
      <x:c r="H144" s="5" t="n">
        <x:v>1</x:v>
      </x:c>
      <x:c r="I144" s="5" t="str">
        <x:v>## 13. Complete Sovereign Artifact Registry &amp; Inter-Connected FQDN Network</x:v>
      </x:c>
      <x:c r="J144" s="5" t="str">
        <x:v>SOURCE QUOTE; unvalidated / superseded assessments</x:v>
      </x:c>
      <x:c r="L144" s="31" t="str">
        <x:v>D01, Markdown line 686; http://nas-1.tail55d152.ts.net:4100/static/2S_CONSULTING_NORDIC_OUTREACH_STRATEGY.html</x:v>
      </x:c>
    </x:row>
    <x:row r="145" ht="42" customHeight="1">
      <x:c r="A145" s="5" t="str">
        <x:v>D01</x:v>
      </x:c>
      <x:c r="B145" s="5" t="str">
        <x:v>D01-L0688-1</x:v>
      </x:c>
      <x:c r="C145" s="5" t="str">
        <x:v>13. Complete Sovereign Artifact Registry &amp; Inter-Connected FQDN Network</x:v>
      </x:c>
      <x:c r="D145" s="5" t="n">
        <x:v>688</x:v>
      </x:c>
      <x:c r="E145" s="5" t="n">
        <x:v>688</x:v>
      </x:c>
      <x:c r="F145" s="5" t="str">
        <x:v>text</x:v>
      </x:c>
      <x:c r="G145" s="5" t="n">
        <x:v>1</x:v>
      </x:c>
      <x:c r="H145" s="5" t="n">
        <x:v>1</x:v>
      </x:c>
      <x:c r="I145" s="5" t="str">
        <x:v>Under Codex Astra SIL-6 governance, all intelligence artifacts, presentations, financial models, and verification engines are cross-linked across the sovereign network.</x:v>
      </x:c>
      <x:c r="J145" s="5" t="str">
        <x:v>SOURCE QUOTE; unvalidated / superseded assessments</x:v>
      </x:c>
      <x:c r="L145" s="31" t="str">
        <x:v>D01, Markdown line 688; http://nas-1.tail55d152.ts.net:4100/static/2S_CONSULTING_NORDIC_OUTREACH_STRATEGY.html</x:v>
      </x:c>
    </x:row>
    <x:row r="146" ht="42" customHeight="1">
      <x:c r="A146" s="5" t="str">
        <x:v>D01</x:v>
      </x:c>
      <x:c r="B146" s="5" t="str">
        <x:v>D01-L0719-1</x:v>
      </x:c>
      <x:c r="C146" s="5" t="str">
        <x:v>13. Complete Sovereign Artifact Registry &amp; Inter-Connected FQDN Network</x:v>
      </x:c>
      <x:c r="D146" s="5" t="n">
        <x:v>719</x:v>
      </x:c>
      <x:c r="E146" s="5" t="n">
        <x:v>719</x:v>
      </x:c>
      <x:c r="F146" s="5" t="str">
        <x:v>text</x:v>
      </x:c>
      <x:c r="G146" s="5" t="n">
        <x:v>1</x:v>
      </x:c>
      <x:c r="H146" s="5" t="n">
        <x:v>1</x:v>
      </x:c>
      <x:c r="I146" s="5" t="str">
        <x:v>*Governed by L0-codex-gpt-6-astra Sovereign Architecture • C3I &amp; UOS Mesh Operational Document*</x:v>
      </x:c>
      <x:c r="J146" s="5" t="str">
        <x:v>SOURCE QUOTE; unvalidated / superseded assessments</x:v>
      </x:c>
      <x:c r="L146" s="31" t="str">
        <x:v>D01, Markdown line 719; http://nas-1.tail55d152.ts.net:4100/static/2S_CONSULTING_NORDIC_OUTREACH_STRATEGY.html</x:v>
      </x:c>
    </x:row>
    <x:row r="147" ht="84" customHeight="1">
      <x:c r="A147" s="5" t="str">
        <x:v>D02</x:v>
      </x:c>
      <x:c r="B147" s="5" t="str">
        <x:v>D02-L0001-1</x:v>
      </x:c>
      <x:c r="C147" s="5" t="str">
        <x:v>Document preamble</x:v>
      </x:c>
      <x:c r="D147" s="5" t="n">
        <x:v>1</x:v>
      </x:c>
      <x:c r="E147" s="5" t="n">
        <x:v>1</x:v>
      </x:c>
      <x:c r="F147" s="5" t="str">
        <x:v>text</x:v>
      </x:c>
      <x:c r="G147" s="5" t="n">
        <x:v>1</x:v>
      </x:c>
      <x:c r="H147" s="5" t="n">
        <x:v>1</x:v>
      </x:c>
      <x:c r="I147"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147" s="5" t="str">
        <x:v>SOURCE QUOTE; unvalidated / superseded assessments</x:v>
      </x:c>
      <x:c r="L147" s="31" t="str">
        <x:v>D02, Markdown line 1; http://nas-1.tail55d152.ts.net:4100/static/2S_NORDIC_MARKET_PENETRATION_AND_ECOSYSTEM_ACCELERATOR.html</x:v>
      </x:c>
    </x:row>
    <x:row r="148" ht="56" customHeight="1">
      <x:c r="A148" s="5" t="str">
        <x:v>D02</x:v>
      </x:c>
      <x:c r="B148" s="5" t="str">
        <x:v>D02-L0003-1</x:v>
      </x:c>
      <x:c r="C148" s="5" t="str">
        <x:v>Bountytek AB • 2S Consulting &amp; Numantra Technologies — Nordic Market Penetration &amp; Ecosystem Accelerator</x:v>
      </x:c>
      <x:c r="D148" s="5" t="n">
        <x:v>3</x:v>
      </x:c>
      <x:c r="E148" s="5" t="n">
        <x:v>3</x:v>
      </x:c>
      <x:c r="F148" s="5" t="str">
        <x:v>heading</x:v>
      </x:c>
      <x:c r="G148" s="5" t="n">
        <x:v>1</x:v>
      </x:c>
      <x:c r="H148" s="5" t="n">
        <x:v>1</x:v>
      </x:c>
      <x:c r="I148" s="5" t="str">
        <x:v># Bountytek AB • 2S Consulting &amp; Numantra Technologies — Nordic Market Penetration &amp; Ecosystem Accelerator</x:v>
      </x:c>
      <x:c r="J148" s="5" t="str">
        <x:v>SOURCE QUOTE; unvalidated / superseded assessments</x:v>
      </x:c>
      <x:c r="L148" s="31" t="str">
        <x:v>D02, Markdown line 3; http://nas-1.tail55d152.ts.net:4100/static/2S_NORDIC_MARKET_PENETRATION_AND_ECOSYSTEM_ACCELERATOR.html</x:v>
      </x:c>
    </x:row>
    <x:row r="149" ht="126" customHeight="1">
      <x:c r="A149" s="5" t="str">
        <x:v>D02</x:v>
      </x:c>
      <x:c r="B149" s="5" t="str">
        <x:v>D02-L0005-1</x:v>
      </x:c>
      <x:c r="C149" s="5" t="str">
        <x:v>Bountytek AB • 2S Consulting &amp; Numantra Technologies — Nordic Market Penetration &amp; Ecosystem Accelerator</x:v>
      </x:c>
      <x:c r="D149" s="5" t="n">
        <x:v>5</x:v>
      </x:c>
      <x:c r="E149" s="5" t="n">
        <x:v>8</x:v>
      </x:c>
      <x:c r="F149" s="5" t="str">
        <x:v>text</x:v>
      </x:c>
      <x:c r="G149" s="5" t="n">
        <x:v>1</x:v>
      </x:c>
      <x:c r="H149" s="5" t="n">
        <x:v>1</x:v>
      </x:c>
      <x:c r="I149" s="5" t="str">
        <x:v>**Authoritative Executive Strategic Blueprint for Comprehensive Market Expansion**  
*Governed by L0-codex-gpt-6-astra Sovereign Architecture • Mesh Node: `nas-1.tail55d152.ts.net:4100`*  
*Exclusive Nordic Commercial Agent: Bountytek AB (Sweden) • Principals: [2S Consulting](https://www.2sconsulting.com/) &amp; [Numantra Technologies](https://www.numantratech.ai/)*  
*Timestamp: 2026-09-28 • Classification: Strategic Commercial Advisory &amp; Ecosystem Blueprint*</x:v>
      </x:c>
      <x:c r="J149" s="5" t="str">
        <x:v>SOURCE QUOTE; unvalidated / superseded assessments</x:v>
      </x:c>
      <x:c r="L149" s="31" t="str">
        <x:v>D02, Markdown line 5; http://nas-1.tail55d152.ts.net:4100/static/2S_NORDIC_MARKET_PENETRATION_AND_ECOSYSTEM_ACCELERATOR.html</x:v>
      </x:c>
    </x:row>
    <x:row r="150" ht="42" customHeight="1">
      <x:c r="A150" s="5" t="str">
        <x:v>D02</x:v>
      </x:c>
      <x:c r="B150" s="5" t="str">
        <x:v>D02-L0012-1</x:v>
      </x:c>
      <x:c r="C150" s="5" t="str">
        <x:v>1. Executive Summary &amp; Strategic Rationale</x:v>
      </x:c>
      <x:c r="D150" s="5" t="n">
        <x:v>12</x:v>
      </x:c>
      <x:c r="E150" s="5" t="n">
        <x:v>12</x:v>
      </x:c>
      <x:c r="F150" s="5" t="str">
        <x:v>heading</x:v>
      </x:c>
      <x:c r="G150" s="5" t="n">
        <x:v>1</x:v>
      </x:c>
      <x:c r="H150" s="5" t="n">
        <x:v>1</x:v>
      </x:c>
      <x:c r="I150" s="5" t="str">
        <x:v>## 1. Executive Summary &amp; Strategic Rationale</x:v>
      </x:c>
      <x:c r="J150" s="5" t="str">
        <x:v>SOURCE QUOTE; unvalidated / superseded assessments</x:v>
      </x:c>
      <x:c r="L150" s="31" t="str">
        <x:v>D02, Markdown line 12; http://nas-1.tail55d152.ts.net:4100/static/2S_NORDIC_MARKET_PENETRATION_AND_ECOSYSTEM_ACCELERATOR.html</x:v>
      </x:c>
    </x:row>
    <x:row r="151" ht="70" customHeight="1">
      <x:c r="A151" s="5" t="str">
        <x:v>D02</x:v>
      </x:c>
      <x:c r="B151" s="5" t="str">
        <x:v>D02-L0014-1</x:v>
      </x:c>
      <x:c r="C151" s="5" t="str">
        <x:v>1. Executive Summary &amp; Strategic Rationale</x:v>
      </x:c>
      <x:c r="D151" s="5" t="n">
        <x:v>14</x:v>
      </x:c>
      <x:c r="E151" s="5" t="n">
        <x:v>14</x:v>
      </x:c>
      <x:c r="F151" s="5" t="str">
        <x:v>text</x:v>
      </x:c>
      <x:c r="G151" s="5" t="n">
        <x:v>1</x:v>
      </x:c>
      <x:c r="H151" s="5" t="n">
        <x:v>1</x:v>
      </x:c>
      <x:c r="I151" s="5" t="str">
        <x:v>While traditional cold-outreach campaigns to MedTech and biopharma enterprise accounts (Getinge, Elekta, Vitrolife, Sectra, etc.) form a critical foundation, sustainable, non-linear market penetration across the Nordic Life Science corridor requires a **multi-channel ecosystem strategy** fronted by a domestic Nordic contracting entity.</x:v>
      </x:c>
      <x:c r="J151" s="5" t="str">
        <x:v>SOURCE QUOTE; unvalidated / superseded assessments</x:v>
      </x:c>
      <x:c r="L151" s="31" t="str">
        <x:v>D02, Markdown line 14; http://nas-1.tail55d152.ts.net:4100/static/2S_NORDIC_MARKET_PENETRATION_AND_ECOSYSTEM_ACCELERATOR.html</x:v>
      </x:c>
    </x:row>
    <x:row r="152" ht="84" customHeight="1">
      <x:c r="A152" s="5" t="str">
        <x:v>D02</x:v>
      </x:c>
      <x:c r="B152" s="5" t="str">
        <x:v>D02-L0016-1</x:v>
      </x:c>
      <x:c r="C152" s="5" t="str">
        <x:v>1. Executive Summary &amp; Strategic Rationale</x:v>
      </x:c>
      <x:c r="D152" s="5" t="n">
        <x:v>16</x:v>
      </x:c>
      <x:c r="E152" s="5" t="n">
        <x:v>16</x:v>
      </x:c>
      <x:c r="F152" s="5" t="str">
        <x:v>text</x:v>
      </x:c>
      <x:c r="G152" s="5" t="n">
        <x:v>1</x:v>
      </x:c>
      <x:c r="H152" s="5" t="n">
        <x:v>1</x:v>
      </x:c>
      <x:c r="I152" s="5" t="str">
        <x:v>To establish immediate market velocity and eliminate cross-border procurement friction, **Bountytek AB** (Sweden) has been appointed as the **exclusive commercial agent and domestic prime contractor** representing **2S Consulting** ([https://www.2sconsulting.com/](https://www.2sconsulting.com/)) and **Numantra Technologies** ([https://www.numantratech.ai/](https://www.numantratech.ai/)) across Sweden, Denmark, Norway, and Finland.</x:v>
      </x:c>
      <x:c r="J152" s="5" t="str">
        <x:v>SOURCE QUOTE; unvalidated / superseded assessments</x:v>
      </x:c>
      <x:c r="L152" s="31" t="str">
        <x:v>D02, Markdown line 16; http://nas-1.tail55d152.ts.net:4100/static/2S_NORDIC_MARKET_PENETRATION_AND_ECOSYSTEM_ACCELERATOR.html</x:v>
      </x:c>
    </x:row>
    <x:row r="153" ht="84" customHeight="1">
      <x:c r="A153" s="5" t="str">
        <x:v>D02</x:v>
      </x:c>
      <x:c r="B153" s="5" t="str">
        <x:v>D02-L0018-1</x:v>
      </x:c>
      <x:c r="C153" s="5" t="str">
        <x:v>1. Executive Summary &amp; Strategic Rationale</x:v>
      </x:c>
      <x:c r="D153" s="5" t="n">
        <x:v>18</x:v>
      </x:c>
      <x:c r="E153" s="5" t="n">
        <x:v>18</x:v>
      </x:c>
      <x:c r="F153" s="5" t="str">
        <x:v>text</x:v>
      </x:c>
      <x:c r="G153" s="5" t="n">
        <x:v>1</x:v>
      </x:c>
      <x:c r="H153" s="5" t="n">
        <x:v>1</x:v>
      </x:c>
      <x:c r="I153" s="5" t="str">
        <x:v>The Nordic MedTech landscape (spanning Sweden, Denmark, Norway, and Finland) is characterized by high social trust, strong regional clusters, tight-knit procurement networks, and deep institutional interdependencies between hospitals, universities, and commercial developers. Foreign consultancies that rely purely on direct cold email face significant relationship inertia and prolonged sales cycles (6 to 14 months).</x:v>
      </x:c>
      <x:c r="J153" s="5" t="str">
        <x:v>SOURCE QUOTE; unvalidated / superseded assessments</x:v>
      </x:c>
      <x:c r="L153" s="31" t="str">
        <x:v>D02, Markdown line 18; http://nas-1.tail55d152.ts.net:4100/static/2S_NORDIC_MARKET_PENETRATION_AND_ECOSYSTEM_ACCELERATOR.html</x:v>
      </x:c>
    </x:row>
    <x:row r="154" ht="238" customHeight="1">
      <x:c r="A154" s="5" t="str">
        <x:v>D02</x:v>
      </x:c>
      <x:c r="B154" s="5" t="str">
        <x:v>D02-L0020-1</x:v>
      </x:c>
      <x:c r="C154" s="5" t="str">
        <x:v>1. Executive Summary &amp; Strategic Rationale</x:v>
      </x:c>
      <x:c r="D154" s="5" t="n">
        <x:v>20</x:v>
      </x:c>
      <x:c r="E154" s="5" t="n">
        <x:v>25</x:v>
      </x:c>
      <x:c r="F154" s="5" t="str">
        <x:v>text</x:v>
      </x:c>
      <x:c r="G154" s="5" t="n">
        <x:v>1</x:v>
      </x:c>
      <x:c r="H154" s="5" t="n">
        <x:v>2</x:v>
      </x:c>
      <x:c r="I154" s="5" t="str">
        <x:v>To bypass this barrier, Bountytek AB deploys an **asymmetric multi-channel penetration framework** that activates five complementary growth vectors:
1. **Co-Opetition &amp; Subcontracting Alliances**: Partnering with large Scandinavian hardware/embedded engineering firms (Knightec, Semcon, Prevas) to provide high-margin Software as a Medical Device (SaMD), clinical evaluation, and EU AI Act compliance extensions under Bountytek AB domestic subcontracts.
2. **Cluster &amp; Science Park Infiltration**: Embedding into the primary life science innovation hubs (Medicon Village, GoCo Health Innovation City, Karolinska Innovations, Norway Health Tech, Health Capital Helsinki) through specialized masterclasses and accredited advisory desks fronted by Bountytek AB.
3. **Public Hospital Procurement &amp; Value-Based Healthcare (VBHC) Enablement**: Arming device manufacturers with health economic simulation models (Package A: DaaS + HEOR ICU bed-day calculators) to decisively win regional public tenders (Region Stockholm, Region Skåne, Danske Regioner) with Bountytek AB as domestic bidding prime.
4. **Notified Body Pre-Assessment Fast-Track ("90-Day Audit-Ready")**: Exploiting the severe 18–24 month back</x:v>
      </x:c>
      <x:c r="J154" s="5" t="str">
        <x:v>SOURCE QUOTE; unvalidated / superseded assessments</x:v>
      </x:c>
      <x:c r="L154" s="31" t="str">
        <x:v>D02, Markdown line 20; http://nas-1.tail55d152.ts.net:4100/static/2S_NORDIC_MARKET_PENETRATION_AND_ECOSYSTEM_ACCELERATOR.html</x:v>
      </x:c>
    </x:row>
    <x:row r="155" ht="98" customHeight="1">
      <x:c r="A155" s="5" t="str">
        <x:v>D02</x:v>
      </x:c>
      <x:c r="B155" s="5" t="str">
        <x:v>D02-L0020-2</x:v>
      </x:c>
      <x:c r="C155" s="5" t="str">
        <x:v>1. Executive Summary &amp; Strategic Rationale</x:v>
      </x:c>
      <x:c r="D155" s="5" t="n">
        <x:v>20</x:v>
      </x:c>
      <x:c r="E155" s="5" t="n">
        <x:v>25</x:v>
      </x:c>
      <x:c r="F155" s="5" t="str">
        <x:v>text</x:v>
      </x:c>
      <x:c r="G155" s="5" t="n">
        <x:v>2</x:v>
      </x:c>
      <x:c r="H155" s="5" t="n">
        <x:v>2</x:v>
      </x:c>
      <x:c r="I155" s="5" t="str">
        <x:v>logs at TÜV SÜD, DNV, and BSI by offering rapid pre-audit remediation that guarantees zero major non-conformities during formal submissions.
5. **Venture Capital &amp; Private Equity Portfolio De-Risking**: Partnering with Nordic HealthTech VC funds (HealthCap, Sunstone, Industrifonden, Novo Holdings) as an operational partner to audit and accelerate portfolio startups prior to Series B rounds or commercial launches.</x:v>
      </x:c>
      <x:c r="J155" s="5" t="str">
        <x:v>SOURCE QUOTE; unvalidated / superseded assessments</x:v>
      </x:c>
      <x:c r="L155" s="31" t="str">
        <x:v>D02, Markdown line 20; http://nas-1.tail55d152.ts.net:4100/static/2S_NORDIC_MARKET_PENETRATION_AND_ECOSYSTEM_ACCELERATOR.html</x:v>
      </x:c>
    </x:row>
    <x:row r="156" ht="42" customHeight="1">
      <x:c r="A156" s="5" t="str">
        <x:v>D02</x:v>
      </x:c>
      <x:c r="B156" s="5" t="str">
        <x:v>D02-L0029-1</x:v>
      </x:c>
      <x:c r="C156" s="5" t="str">
        <x:v>2. The Five Strategic Expansion Vectors</x:v>
      </x:c>
      <x:c r="D156" s="5" t="n">
        <x:v>29</x:v>
      </x:c>
      <x:c r="E156" s="5" t="n">
        <x:v>29</x:v>
      </x:c>
      <x:c r="F156" s="5" t="str">
        <x:v>heading</x:v>
      </x:c>
      <x:c r="G156" s="5" t="n">
        <x:v>1</x:v>
      </x:c>
      <x:c r="H156" s="5" t="n">
        <x:v>1</x:v>
      </x:c>
      <x:c r="I156" s="5" t="str">
        <x:v>## 2. The Five Strategic Expansion Vectors</x:v>
      </x:c>
      <x:c r="J156" s="5" t="str">
        <x:v>SOURCE QUOTE; unvalidated / superseded assessments</x:v>
      </x:c>
      <x:c r="L156" s="31" t="str">
        <x:v>D02, Markdown line 29; http://nas-1.tail55d152.ts.net:4100/static/2S_NORDIC_MARKET_PENETRATION_AND_ECOSYSTEM_ACCELERATOR.html</x:v>
      </x:c>
    </x:row>
    <x:row r="157" ht="364" customHeight="1">
      <x:c r="A157" s="5" t="str">
        <x:v>D02</x:v>
      </x:c>
      <x:c r="B157" s="5" t="str">
        <x:v>D02-L0031-1</x:v>
      </x:c>
      <x:c r="C157" s="5" t="str">
        <x:v>2. The Five Strategic Expansion Vectors</x:v>
      </x:c>
      <x:c r="D157" s="5" t="n">
        <x:v>31</x:v>
      </x:c>
      <x:c r="E157" s="5" t="n">
        <x:v>55</x:v>
      </x:c>
      <x:c r="F157" s="5" t="str">
        <x:v>diagram / code</x:v>
      </x:c>
      <x:c r="G157" s="5" t="n">
        <x:v>1</x:v>
      </x:c>
      <x:c r="H157" s="5" t="n">
        <x:v>2</x:v>
      </x:c>
      <x:c r="I157" s="5" t="str">
        <x:v>```
+--------------------------------------------------------------------------------------------------+
|                    2S CONSULTING &amp; NUMANTRA ASYMMETRIC PENETRATION ARCHITECTURE                  |
+--------------------------------------------------------------------------------------------------+
                                                 |
         +---------------------------------------+---------------------------------------+
         |                                       |                                       |
+------------------+                   +--------------------+                  +--------------------+
| 1. CO-OPETITION  |                   | 2. CLUSTER &amp; PARKS |                  | 3. VBHC PROCUREMENT|
| Alliances with   |                   | Direct Infiltration|                  | Hospital Tender    |
| Engineering Firms|                   | of Medicon Village,|                  | Economic Modeling  |
| (Semcon/Knightec)|                   | GoCo, Karolinska   |                  | &amp; HEOR Enablement  |
+------------------+                   +--------------------+                  +--------------------+
         |                                      </x:v>
      </x:c>
      <x:c r="J157" s="5" t="str">
        <x:v>SOURCE QUOTE; unvalidated / superseded assessments</x:v>
      </x:c>
      <x:c r="L157" s="31" t="str">
        <x:v>D02, Markdown line 31; http://nas-1.tail55d152.ts.net:4100/static/2S_NORDIC_MARKET_PENETRATION_AND_ECOSYSTEM_ACCELERATOR.html</x:v>
      </x:c>
    </x:row>
    <x:row r="158" ht="308" customHeight="1">
      <x:c r="A158" s="5" t="str">
        <x:v>D02</x:v>
      </x:c>
      <x:c r="B158" s="5" t="str">
        <x:v>D02-L0031-2</x:v>
      </x:c>
      <x:c r="C158" s="5" t="str">
        <x:v>2. The Five Strategic Expansion Vectors</x:v>
      </x:c>
      <x:c r="D158" s="5" t="n">
        <x:v>31</x:v>
      </x:c>
      <x:c r="E158" s="5" t="n">
        <x:v>55</x:v>
      </x:c>
      <x:c r="F158" s="5" t="str">
        <x:v>diagram / code</x:v>
      </x:c>
      <x:c r="G158" s="5" t="n">
        <x:v>2</x:v>
      </x:c>
      <x:c r="H158" s="5" t="n">
        <x:v>2</x:v>
      </x:c>
      <x:c r="I158" s="5" t="str">
        <x:v> |                                       |
         +---------------------------------------+---------------------------------------+
                                                 |
         +---------------------------------------+---------------------------------------+
         |                                                                               |
+------------------+                                                           +--------------------+
| 4. NOTIFIED BODY |                                                           | 5. VC / PE FUNDS   |
| Fast-Track Pre-  |                                                           | Portfolio Growth &amp; |
| Audit Remediation|                                                           | Regulatory Risk    |
| (90-Day Readiness)                                                           | De-Risking Audits  |
+------------------+                                                           +--------------------+
```</x:v>
      </x:c>
      <x:c r="J158" s="5" t="str">
        <x:v>SOURCE QUOTE; unvalidated / superseded assessments</x:v>
      </x:c>
      <x:c r="L158" s="31" t="str">
        <x:v>D02, Markdown line 31; http://nas-1.tail55d152.ts.net:4100/static/2S_NORDIC_MARKET_PENETRATION_AND_ECOSYSTEM_ACCELERATOR.html</x:v>
      </x:c>
    </x:row>
    <x:row r="159" ht="42" customHeight="1">
      <x:c r="A159" s="5" t="str">
        <x:v>D02</x:v>
      </x:c>
      <x:c r="B159" s="5" t="str">
        <x:v>D02-L0057-1</x:v>
      </x:c>
      <x:c r="C159" s="5" t="str">
        <x:v>Vector 1: Co-Opetition &amp; Subcontracting Alliances</x:v>
      </x:c>
      <x:c r="D159" s="5" t="n">
        <x:v>57</x:v>
      </x:c>
      <x:c r="E159" s="5" t="n">
        <x:v>57</x:v>
      </x:c>
      <x:c r="F159" s="5" t="str">
        <x:v>heading</x:v>
      </x:c>
      <x:c r="G159" s="5" t="n">
        <x:v>1</x:v>
      </x:c>
      <x:c r="H159" s="5" t="n">
        <x:v>1</x:v>
      </x:c>
      <x:c r="I159" s="5" t="str">
        <x:v>### Vector 1: Co-Opetition &amp; Subcontracting Alliances</x:v>
      </x:c>
      <x:c r="J159" s="5" t="str">
        <x:v>SOURCE QUOTE; unvalidated / superseded assessments</x:v>
      </x:c>
      <x:c r="L159" s="31" t="str">
        <x:v>D02, Markdown line 57; http://nas-1.tail55d152.ts.net:4100/static/2S_NORDIC_MARKET_PENETRATION_AND_ECOSYSTEM_ACCELERATOR.html</x:v>
      </x:c>
    </x:row>
    <x:row r="160" ht="42" customHeight="1">
      <x:c r="A160" s="5" t="str">
        <x:v>D02</x:v>
      </x:c>
      <x:c r="B160" s="5" t="str">
        <x:v>D02-L0059-1</x:v>
      </x:c>
      <x:c r="C160" s="5" t="str">
        <x:v>Strategic Thesis</x:v>
      </x:c>
      <x:c r="D160" s="5" t="n">
        <x:v>59</x:v>
      </x:c>
      <x:c r="E160" s="5" t="n">
        <x:v>59</x:v>
      </x:c>
      <x:c r="F160" s="5" t="str">
        <x:v>heading</x:v>
      </x:c>
      <x:c r="G160" s="5" t="n">
        <x:v>1</x:v>
      </x:c>
      <x:c r="H160" s="5" t="n">
        <x:v>1</x:v>
      </x:c>
      <x:c r="I160" s="5" t="str">
        <x:v>#### Strategic Thesis</x:v>
      </x:c>
      <x:c r="J160" s="5" t="str">
        <x:v>SOURCE QUOTE; unvalidated / superseded assessments</x:v>
      </x:c>
      <x:c r="L160" s="31" t="str">
        <x:v>D02, Markdown line 59; http://nas-1.tail55d152.ts.net:4100/static/2S_NORDIC_MARKET_PENETRATION_AND_ECOSYSTEM_ACCELERATOR.html</x:v>
      </x:c>
    </x:row>
    <x:row r="161" ht="182" customHeight="1">
      <x:c r="A161" s="5" t="str">
        <x:v>D02</x:v>
      </x:c>
      <x:c r="B161" s="5" t="str">
        <x:v>D02-L0060-1</x:v>
      </x:c>
      <x:c r="C161" s="5" t="str">
        <x:v>Strategic Thesis</x:v>
      </x:c>
      <x:c r="D161" s="5" t="n">
        <x:v>60</x:v>
      </x:c>
      <x:c r="E161" s="5" t="n">
        <x:v>64</x:v>
      </x:c>
      <x:c r="F161" s="5" t="str">
        <x:v>text</x:v>
      </x:c>
      <x:c r="G161" s="5" t="n">
        <x:v>1</x:v>
      </x:c>
      <x:c r="H161" s="5" t="n">
        <x:v>1</x:v>
      </x:c>
      <x:c r="I161" s="5" t="str">
        <x:v>Major Nordic engineering consultancies—such as **Knightec Group** (800+ consultants), **Semcon** (1,200+ consultants), and **Prevas AB** (900+ consultants)—dominate mechanical engineering, industrial design, embedded systems firmware, and manufacturing automation. However, their leadership teams acknowledge significant capability gaps in:
- **Software as a Medical Device (SaMD) Lifecycle**: IEC 62304 architecture for distributed cloud and edge algorithms.
- **EU AI Act &amp; Algorithmic Explainability**: Class IIb/III algorithmic auditing and bias mitigation.
- **Clinical Evaluation &amp; HCare360 NLP**: Synthesizing real-world clinical evidence and trial matching.
- **Health Economics &amp; Outcomes Research (HEOR)**: Quantifying ICU bed-day reduction and health economic reimbursement dossiers.</x:v>
      </x:c>
      <x:c r="J161" s="5" t="str">
        <x:v>SOURCE QUOTE; unvalidated / superseded assessments</x:v>
      </x:c>
      <x:c r="L161" s="31" t="str">
        <x:v>D02, Markdown line 60; http://nas-1.tail55d152.ts.net:4100/static/2S_NORDIC_MARKET_PENETRATION_AND_ECOSYSTEM_ACCELERATOR.html</x:v>
      </x:c>
    </x:row>
    <x:row r="162" ht="56" customHeight="1">
      <x:c r="A162" s="5" t="str">
        <x:v>D02</x:v>
      </x:c>
      <x:c r="B162" s="5" t="str">
        <x:v>D02-L0066-1</x:v>
      </x:c>
      <x:c r="C162" s="5" t="str">
        <x:v>Strategic Thesis</x:v>
      </x:c>
      <x:c r="D162" s="5" t="n">
        <x:v>66</x:v>
      </x:c>
      <x:c r="E162" s="5" t="n">
        <x:v>66</x:v>
      </x:c>
      <x:c r="F162" s="5" t="str">
        <x:v>text</x:v>
      </x:c>
      <x:c r="G162" s="5" t="n">
        <x:v>1</x:v>
      </x:c>
      <x:c r="H162" s="5" t="n">
        <x:v>1</x:v>
      </x:c>
      <x:c r="I162" s="5" t="str">
        <x:v>Rather than competing with these entrenched giants for primary account relationships, 2S Consulting positions itself as an **elite specialist subcontractor and white-label partner**.</x:v>
      </x:c>
      <x:c r="J162" s="5" t="str">
        <x:v>SOURCE QUOTE; unvalidated / superseded assessments</x:v>
      </x:c>
      <x:c r="L162" s="31" t="str">
        <x:v>D02, Markdown line 66; http://nas-1.tail55d152.ts.net:4100/static/2S_NORDIC_MARKET_PENETRATION_AND_ECOSYSTEM_ACCELERATOR.html</x:v>
      </x:c>
    </x:row>
    <x:row r="163" ht="42" customHeight="1">
      <x:c r="A163" s="5" t="str">
        <x:v>D02</x:v>
      </x:c>
      <x:c r="B163" s="5" t="str">
        <x:v>D02-L0068-1</x:v>
      </x:c>
      <x:c r="C163" s="5" t="str">
        <x:v>Operating Alliance Models</x:v>
      </x:c>
      <x:c r="D163" s="5" t="n">
        <x:v>68</x:v>
      </x:c>
      <x:c r="E163" s="5" t="n">
        <x:v>68</x:v>
      </x:c>
      <x:c r="F163" s="5" t="str">
        <x:v>heading</x:v>
      </x:c>
      <x:c r="G163" s="5" t="n">
        <x:v>1</x:v>
      </x:c>
      <x:c r="H163" s="5" t="n">
        <x:v>1</x:v>
      </x:c>
      <x:c r="I163" s="5" t="str">
        <x:v>#### Operating Alliance Models</x:v>
      </x:c>
      <x:c r="J163" s="5" t="str">
        <x:v>SOURCE QUOTE; unvalidated / superseded assessments</x:v>
      </x:c>
      <x:c r="L163" s="31" t="str">
        <x:v>D02, Markdown line 68; http://nas-1.tail55d152.ts.net:4100/static/2S_NORDIC_MARKET_PENETRATION_AND_ECOSYSTEM_ACCELERATOR.html</x:v>
      </x:c>
    </x:row>
    <x:row r="164" ht="126" customHeight="1">
      <x:c r="A164" s="5" t="str">
        <x:v>D02</x:v>
      </x:c>
      <x:c r="B164" s="5" t="str">
        <x:v>D02-L0069-1</x:v>
      </x:c>
      <x:c r="C164" s="5" t="str">
        <x:v>Operating Alliance Models</x:v>
      </x:c>
      <x:c r="D164" s="5" t="n">
        <x:v>69</x:v>
      </x:c>
      <x:c r="E164" s="5" t="n">
        <x:v>71</x:v>
      </x:c>
      <x:c r="F164" s="5" t="str">
        <x:v>text</x:v>
      </x:c>
      <x:c r="G164" s="5" t="n">
        <x:v>1</x:v>
      </x:c>
      <x:c r="H164" s="5" t="n">
        <x:v>1</x:v>
      </x:c>
      <x:c r="I164" s="5" t="str">
        <x:v>1. **White-Label Delivery**: Knightec or Semcon contracts a multi-million-euro device overhaul for an OEM (e.g., Getinge or Bactiguard); 2S Consulting delivers the entire IEC 62304 / EU AI Act workstream under the lead partner's banner.
2. **Co-Branded Advisory**: For high-stakes regulatory remediation, 2S Consulting is introduced as the "Specialist Clinical &amp; Algorithmic Regulatory Affiliate."
3. **Subcontracting Economics**: 2S bills the primary consultancy at a predictable daily/weekly rate (€1,600 – €2,200/day) or fixed milestone fee, capturing immediate cash flow with zero customer acquisition cost (CAC).</x:v>
      </x:c>
      <x:c r="J164" s="5" t="str">
        <x:v>SOURCE QUOTE; unvalidated / superseded assessments</x:v>
      </x:c>
      <x:c r="L164" s="31" t="str">
        <x:v>D02, Markdown line 69; http://nas-1.tail55d152.ts.net:4100/static/2S_NORDIC_MARKET_PENETRATION_AND_ECOSYSTEM_ACCELERATOR.html</x:v>
      </x:c>
    </x:row>
    <x:row r="165" ht="42" customHeight="1">
      <x:c r="A165" s="5" t="str">
        <x:v>D02</x:v>
      </x:c>
      <x:c r="B165" s="5" t="str">
        <x:v>D02-L0075-1</x:v>
      </x:c>
      <x:c r="C165" s="5" t="str">
        <x:v>Vector 2: Innovation Cluster &amp; Science Park Infiltration</x:v>
      </x:c>
      <x:c r="D165" s="5" t="n">
        <x:v>75</x:v>
      </x:c>
      <x:c r="E165" s="5" t="n">
        <x:v>75</x:v>
      </x:c>
      <x:c r="F165" s="5" t="str">
        <x:v>heading</x:v>
      </x:c>
      <x:c r="G165" s="5" t="n">
        <x:v>1</x:v>
      </x:c>
      <x:c r="H165" s="5" t="n">
        <x:v>1</x:v>
      </x:c>
      <x:c r="I165" s="5" t="str">
        <x:v>### Vector 2: Innovation Cluster &amp; Science Park Infiltration</x:v>
      </x:c>
      <x:c r="J165" s="5" t="str">
        <x:v>SOURCE QUOTE; unvalidated / superseded assessments</x:v>
      </x:c>
      <x:c r="L165" s="31" t="str">
        <x:v>D02, Markdown line 75; http://nas-1.tail55d152.ts.net:4100/static/2S_NORDIC_MARKET_PENETRATION_AND_ECOSYSTEM_ACCELERATOR.html</x:v>
      </x:c>
    </x:row>
    <x:row r="166" ht="42" customHeight="1">
      <x:c r="A166" s="5" t="str">
        <x:v>D02</x:v>
      </x:c>
      <x:c r="B166" s="5" t="str">
        <x:v>D02-L0077-1</x:v>
      </x:c>
      <x:c r="C166" s="5" t="str">
        <x:v>Strategic Thesis</x:v>
      </x:c>
      <x:c r="D166" s="5" t="n">
        <x:v>77</x:v>
      </x:c>
      <x:c r="E166" s="5" t="n">
        <x:v>77</x:v>
      </x:c>
      <x:c r="F166" s="5" t="str">
        <x:v>heading</x:v>
      </x:c>
      <x:c r="G166" s="5" t="n">
        <x:v>1</x:v>
      </x:c>
      <x:c r="H166" s="5" t="n">
        <x:v>1</x:v>
      </x:c>
      <x:c r="I166" s="5" t="str">
        <x:v>#### Strategic Thesis</x:v>
      </x:c>
      <x:c r="J166" s="5" t="str">
        <x:v>SOURCE QUOTE; unvalidated / superseded assessments</x:v>
      </x:c>
      <x:c r="L166" s="31" t="str">
        <x:v>D02, Markdown line 77; http://nas-1.tail55d152.ts.net:4100/static/2S_NORDIC_MARKET_PENETRATION_AND_ECOSYSTEM_ACCELERATOR.html</x:v>
      </x:c>
    </x:row>
    <x:row r="167" ht="70" customHeight="1">
      <x:c r="A167" s="5" t="str">
        <x:v>D02</x:v>
      </x:c>
      <x:c r="B167" s="5" t="str">
        <x:v>D02-L0078-1</x:v>
      </x:c>
      <x:c r="C167" s="5" t="str">
        <x:v>Strategic Thesis</x:v>
      </x:c>
      <x:c r="D167" s="5" t="n">
        <x:v>78</x:v>
      </x:c>
      <x:c r="E167" s="5" t="n">
        <x:v>78</x:v>
      </x:c>
      <x:c r="F167" s="5" t="str">
        <x:v>text</x:v>
      </x:c>
      <x:c r="G167" s="5" t="n">
        <x:v>1</x:v>
      </x:c>
      <x:c r="H167" s="5" t="n">
        <x:v>1</x:v>
      </x:c>
      <x:c r="I167" s="5" t="str">
        <x:v>The Nordic Life Science ecosystem is geographically concentrated around five powerhouse innovation campuses. Startups, scale-ups, and regional R&amp;D subsidiaries of global multinationals operate within these collaborative environments. Becoming an endorsed ecosystem partner unlocks direct, high-trust access to over 600 active Life Science enterprises.</x:v>
      </x:c>
      <x:c r="J167" s="5" t="str">
        <x:v>SOURCE QUOTE; unvalidated / superseded assessments</x:v>
      </x:c>
      <x:c r="L167" s="31" t="str">
        <x:v>D02, Markdown line 78; http://nas-1.tail55d152.ts.net:4100/static/2S_NORDIC_MARKET_PENETRATION_AND_ECOSYSTEM_ACCELERATOR.html</x:v>
      </x:c>
    </x:row>
    <x:row r="168" ht="42" customHeight="1">
      <x:c r="A168" s="5" t="str">
        <x:v>D02</x:v>
      </x:c>
      <x:c r="B168" s="5" t="str">
        <x:v>D02-L0080-1</x:v>
      </x:c>
      <x:c r="C168" s="5" t="str">
        <x:v>Key Nordic Clusters &amp; Tactical Infiltration Plan</x:v>
      </x:c>
      <x:c r="D168" s="5" t="n">
        <x:v>80</x:v>
      </x:c>
      <x:c r="E168" s="5" t="n">
        <x:v>80</x:v>
      </x:c>
      <x:c r="F168" s="5" t="str">
        <x:v>heading</x:v>
      </x:c>
      <x:c r="G168" s="5" t="n">
        <x:v>1</x:v>
      </x:c>
      <x:c r="H168" s="5" t="n">
        <x:v>1</x:v>
      </x:c>
      <x:c r="I168" s="5" t="str">
        <x:v>#### Key Nordic Clusters &amp; Tactical Infiltration Plan</x:v>
      </x:c>
      <x:c r="J168" s="5" t="str">
        <x:v>SOURCE QUOTE; unvalidated / superseded assessments</x:v>
      </x:c>
      <x:c r="L168" s="31" t="str">
        <x:v>D02, Markdown line 80; http://nas-1.tail55d152.ts.net:4100/static/2S_NORDIC_MARKET_PENETRATION_AND_ECOSYSTEM_ACCELERATOR.html</x:v>
      </x:c>
    </x:row>
    <x:row r="169" ht="56" customHeight="1">
      <x:c r="A169" s="5" t="str">
        <x:v>D02</x:v>
      </x:c>
      <x:c r="B169" s="5" t="str">
        <x:v>D02-L0093-1</x:v>
      </x:c>
      <x:c r="C169" s="5" t="str">
        <x:v>Vector 3: Public Hospital Procurement &amp; Value-Based Healthcare (VBHC) Enablement</x:v>
      </x:c>
      <x:c r="D169" s="5" t="n">
        <x:v>93</x:v>
      </x:c>
      <x:c r="E169" s="5" t="n">
        <x:v>93</x:v>
      </x:c>
      <x:c r="F169" s="5" t="str">
        <x:v>heading</x:v>
      </x:c>
      <x:c r="G169" s="5" t="n">
        <x:v>1</x:v>
      </x:c>
      <x:c r="H169" s="5" t="n">
        <x:v>1</x:v>
      </x:c>
      <x:c r="I169" s="5" t="str">
        <x:v>### Vector 3: Public Hospital Procurement &amp; Value-Based Healthcare (VBHC) Enablement</x:v>
      </x:c>
      <x:c r="J169" s="5" t="str">
        <x:v>SOURCE QUOTE; unvalidated / superseded assessments</x:v>
      </x:c>
      <x:c r="L169" s="31" t="str">
        <x:v>D02, Markdown line 93; http://nas-1.tail55d152.ts.net:4100/static/2S_NORDIC_MARKET_PENETRATION_AND_ECOSYSTEM_ACCELERATOR.html</x:v>
      </x:c>
    </x:row>
    <x:row r="170" ht="42" customHeight="1">
      <x:c r="A170" s="5" t="str">
        <x:v>D02</x:v>
      </x:c>
      <x:c r="B170" s="5" t="str">
        <x:v>D02-L0095-1</x:v>
      </x:c>
      <x:c r="C170" s="5" t="str">
        <x:v>The Nordic Procurement Challenge</x:v>
      </x:c>
      <x:c r="D170" s="5" t="n">
        <x:v>95</x:v>
      </x:c>
      <x:c r="E170" s="5" t="n">
        <x:v>95</x:v>
      </x:c>
      <x:c r="F170" s="5" t="str">
        <x:v>heading</x:v>
      </x:c>
      <x:c r="G170" s="5" t="n">
        <x:v>1</x:v>
      </x:c>
      <x:c r="H170" s="5" t="n">
        <x:v>1</x:v>
      </x:c>
      <x:c r="I170" s="5" t="str">
        <x:v>#### The Nordic Procurement Challenge</x:v>
      </x:c>
      <x:c r="J170" s="5" t="str">
        <x:v>SOURCE QUOTE; unvalidated / superseded assessments</x:v>
      </x:c>
      <x:c r="L170" s="31" t="str">
        <x:v>D02, Markdown line 95; http://nas-1.tail55d152.ts.net:4100/static/2S_NORDIC_MARKET_PENETRATION_AND_ECOSYSTEM_ACCELERATOR.html</x:v>
      </x:c>
    </x:row>
    <x:row r="171" ht="56" customHeight="1">
      <x:c r="A171" s="5" t="str">
        <x:v>D02</x:v>
      </x:c>
      <x:c r="B171" s="5" t="str">
        <x:v>D02-L0096-1</x:v>
      </x:c>
      <x:c r="C171" s="5" t="str">
        <x:v>The Nordic Procurement Challenge</x:v>
      </x:c>
      <x:c r="D171" s="5" t="n">
        <x:v>96</x:v>
      </x:c>
      <x:c r="E171" s="5" t="n">
        <x:v>96</x:v>
      </x:c>
      <x:c r="F171" s="5" t="str">
        <x:v>text</x:v>
      </x:c>
      <x:c r="G171" s="5" t="n">
        <x:v>1</x:v>
      </x:c>
      <x:c r="H171" s="5" t="n">
        <x:v>1</x:v>
      </x:c>
      <x:c r="I171" s="5" t="str">
        <x:v>Nordic public healthcare systems operate under decentralized regional councils (e.g., **Region Stockholm**, **Region Skåne**, **Västra Götalandsregionen** in Sweden; **Danske Regioner** in Denmark; **Regional Health Authorities** in Norway).</x:v>
      </x:c>
      <x:c r="J171" s="5" t="str">
        <x:v>SOURCE QUOTE; unvalidated / superseded assessments</x:v>
      </x:c>
      <x:c r="L171" s="31" t="str">
        <x:v>D02, Markdown line 96; http://nas-1.tail55d152.ts.net:4100/static/2S_NORDIC_MARKET_PENETRATION_AND_ECOSYSTEM_ACCELERATOR.html</x:v>
      </x:c>
    </x:row>
    <x:row r="172" ht="112" customHeight="1">
      <x:c r="A172" s="5" t="str">
        <x:v>D02</x:v>
      </x:c>
      <x:c r="B172" s="5" t="str">
        <x:v>D02-L0098-1</x:v>
      </x:c>
      <x:c r="C172" s="5" t="str">
        <x:v>The Nordic Procurement Challenge</x:v>
      </x:c>
      <x:c r="D172" s="5" t="n">
        <x:v>98</x:v>
      </x:c>
      <x:c r="E172" s="5" t="n">
        <x:v>101</x:v>
      </x:c>
      <x:c r="F172" s="5" t="str">
        <x:v>text</x:v>
      </x:c>
      <x:c r="G172" s="5" t="n">
        <x:v>1</x:v>
      </x:c>
      <x:c r="H172" s="5" t="n">
        <x:v>1</x:v>
      </x:c>
      <x:c r="I172" s="5" t="str">
        <x:v>Public tenders in these jurisdictions are aggressively transitioning from lowest purchase price (LCC) to **Value-Based Healthcare (VBHC)** and **Total Cost of Care (TCC)** models. MedTech manufacturers frequently lose tenders because their technical bids lack:
1. Validated economic models demonstrating measurable reductions in length of stay (LOS).
2. Quantifiable reduction in nursing touchpoints and adverse event incidence.
3. Transparent total cost of ownership (TCO) under DaaS subscription structures.</x:v>
      </x:c>
      <x:c r="J172" s="5" t="str">
        <x:v>SOURCE QUOTE; unvalidated / superseded assessments</x:v>
      </x:c>
      <x:c r="L172" s="31" t="str">
        <x:v>D02, Markdown line 98; http://nas-1.tail55d152.ts.net:4100/static/2S_NORDIC_MARKET_PENETRATION_AND_ECOSYSTEM_ACCELERATOR.html</x:v>
      </x:c>
    </x:row>
    <x:row r="173" ht="42" customHeight="1">
      <x:c r="A173" s="5" t="str">
        <x:v>D02</x:v>
      </x:c>
      <x:c r="B173" s="5" t="str">
        <x:v>D02-L0103-1</x:v>
      </x:c>
      <x:c r="C173" s="5" t="str">
        <x:v>2S Consulting's Tender Enablement Offering</x:v>
      </x:c>
      <x:c r="D173" s="5" t="n">
        <x:v>103</x:v>
      </x:c>
      <x:c r="E173" s="5" t="n">
        <x:v>103</x:v>
      </x:c>
      <x:c r="F173" s="5" t="str">
        <x:v>heading</x:v>
      </x:c>
      <x:c r="G173" s="5" t="n">
        <x:v>1</x:v>
      </x:c>
      <x:c r="H173" s="5" t="n">
        <x:v>1</x:v>
      </x:c>
      <x:c r="I173" s="5" t="str">
        <x:v>#### 2S Consulting's Tender Enablement Offering</x:v>
      </x:c>
      <x:c r="J173" s="5" t="str">
        <x:v>SOURCE QUOTE; unvalidated / superseded assessments</x:v>
      </x:c>
      <x:c r="L173" s="31" t="str">
        <x:v>D02, Markdown line 103; http://nas-1.tail55d152.ts.net:4100/static/2S_NORDIC_MARKET_PENETRATION_AND_ECOSYSTEM_ACCELERATOR.html</x:v>
      </x:c>
    </x:row>
    <x:row r="174" ht="140" customHeight="1">
      <x:c r="A174" s="5" t="str">
        <x:v>D02</x:v>
      </x:c>
      <x:c r="B174" s="5" t="str">
        <x:v>D02-L0104-1</x:v>
      </x:c>
      <x:c r="C174" s="5" t="str">
        <x:v>2S Consulting's Tender Enablement Offering</x:v>
      </x:c>
      <x:c r="D174" s="5" t="n">
        <x:v>104</x:v>
      </x:c>
      <x:c r="E174" s="5" t="n">
        <x:v>107</x:v>
      </x:c>
      <x:c r="F174" s="5" t="str">
        <x:v>text</x:v>
      </x:c>
      <x:c r="G174" s="5" t="n">
        <x:v>1</x:v>
      </x:c>
      <x:c r="H174" s="5" t="n">
        <x:v>1</x:v>
      </x:c>
      <x:c r="I174" s="5" t="str">
        <x:v>2S Consulting partners directly with mid-market device manufacturers (Tier 2 and Tier 3 targets) to co-author their public procurement response packages:
- **Interactive CFO Value Calculator**: Developing dynamic Excel/Web economic models demonstrating net financial return to hospital procurement boards.
- **HEOR Dossier Generation**: Packaging retrospective clinical trial data into formal Nordic Health Technology Assessment (HTA) submissions (TLV in Sweden, Behandlingsrådet in Denmark).
- **Outcome Guarantee Structuring**: Formulating performance-linked risk-sharing contracts between device vendors and regional hospital authorities.</x:v>
      </x:c>
      <x:c r="J174" s="5" t="str">
        <x:v>SOURCE QUOTE; unvalidated / superseded assessments</x:v>
      </x:c>
      <x:c r="L174" s="31" t="str">
        <x:v>D02, Markdown line 104; http://nas-1.tail55d152.ts.net:4100/static/2S_NORDIC_MARKET_PENETRATION_AND_ECOSYSTEM_ACCELERATOR.html</x:v>
      </x:c>
    </x:row>
    <x:row r="175" ht="42" customHeight="1">
      <x:c r="A175" s="5" t="str">
        <x:v>D02</x:v>
      </x:c>
      <x:c r="B175" s="5" t="str">
        <x:v>D02-L0111-1</x:v>
      </x:c>
      <x:c r="C175" s="5" t="str">
        <x:v>Vector 4: Notified Body Pre-Assessment Fast-Track ("90-Day Audit-Ready")</x:v>
      </x:c>
      <x:c r="D175" s="5" t="n">
        <x:v>111</x:v>
      </x:c>
      <x:c r="E175" s="5" t="n">
        <x:v>111</x:v>
      </x:c>
      <x:c r="F175" s="5" t="str">
        <x:v>heading</x:v>
      </x:c>
      <x:c r="G175" s="5" t="n">
        <x:v>1</x:v>
      </x:c>
      <x:c r="H175" s="5" t="n">
        <x:v>1</x:v>
      </x:c>
      <x:c r="I175" s="5" t="str">
        <x:v>### Vector 4: Notified Body Pre-Assessment Fast-Track ("90-Day Audit-Ready")</x:v>
      </x:c>
      <x:c r="J175" s="5" t="str">
        <x:v>SOURCE QUOTE; unvalidated / superseded assessments</x:v>
      </x:c>
      <x:c r="L175" s="31" t="str">
        <x:v>D02, Markdown line 111; http://nas-1.tail55d152.ts.net:4100/static/2S_NORDIC_MARKET_PENETRATION_AND_ECOSYSTEM_ACCELERATOR.html</x:v>
      </x:c>
    </x:row>
    <x:row r="176" ht="42" customHeight="1">
      <x:c r="A176" s="5" t="str">
        <x:v>D02</x:v>
      </x:c>
      <x:c r="B176" s="5" t="str">
        <x:v>D02-L0113-1</x:v>
      </x:c>
      <x:c r="C176" s="5" t="str">
        <x:v>The European Certification Bottleneck</x:v>
      </x:c>
      <x:c r="D176" s="5" t="n">
        <x:v>113</x:v>
      </x:c>
      <x:c r="E176" s="5" t="n">
        <x:v>113</x:v>
      </x:c>
      <x:c r="F176" s="5" t="str">
        <x:v>heading</x:v>
      </x:c>
      <x:c r="G176" s="5" t="n">
        <x:v>1</x:v>
      </x:c>
      <x:c r="H176" s="5" t="n">
        <x:v>1</x:v>
      </x:c>
      <x:c r="I176" s="5" t="str">
        <x:v>#### The European Certification Bottleneck</x:v>
      </x:c>
      <x:c r="J176" s="5" t="str">
        <x:v>SOURCE QUOTE; unvalidated / superseded assessments</x:v>
      </x:c>
      <x:c r="L176" s="31" t="str">
        <x:v>D02, Markdown line 113; http://nas-1.tail55d152.ts.net:4100/static/2S_NORDIC_MARKET_PENETRATION_AND_ECOSYSTEM_ACCELERATOR.html</x:v>
      </x:c>
    </x:row>
    <x:row r="177" ht="98" customHeight="1">
      <x:c r="A177" s="5" t="str">
        <x:v>D02</x:v>
      </x:c>
      <x:c r="B177" s="5" t="str">
        <x:v>D02-L0114-1</x:v>
      </x:c>
      <x:c r="C177" s="5" t="str">
        <x:v>The European Certification Bottleneck</x:v>
      </x:c>
      <x:c r="D177" s="5" t="n">
        <x:v>114</x:v>
      </x:c>
      <x:c r="E177" s="5" t="n">
        <x:v>115</x:v>
      </x:c>
      <x:c r="F177" s="5" t="str">
        <x:v>text</x:v>
      </x:c>
      <x:c r="G177" s="5" t="n">
        <x:v>1</x:v>
      </x:c>
      <x:c r="H177" s="5" t="n">
        <x:v>1</x:v>
      </x:c>
      <x:c r="I177" s="5" t="str">
        <x:v>The implementation of EU MDR (2017/745) and IVDR (2017/746) has overwhelmed European Notified Bodies (**TÜV SÜD**, **DNV GL Presafe**, **BSI**, **Intertek**). Device developers wait 14 to 22 months for technical documentation reviews.
A single major non-conformity or deficiency notice delays product launch by an additional 6 to 9 months, costing manufacturers an average of €45,000 to €120,000 per month in lost gross margins and idle burn rate.</x:v>
      </x:c>
      <x:c r="J177" s="5" t="str">
        <x:v>SOURCE QUOTE; unvalidated / superseded assessments</x:v>
      </x:c>
      <x:c r="L177" s="31" t="str">
        <x:v>D02, Markdown line 114; http://nas-1.tail55d152.ts.net:4100/static/2S_NORDIC_MARKET_PENETRATION_AND_ECOSYSTEM_ACCELERATOR.html</x:v>
      </x:c>
    </x:row>
    <x:row r="178" ht="42" customHeight="1">
      <x:c r="A178" s="5" t="str">
        <x:v>D02</x:v>
      </x:c>
      <x:c r="B178" s="5" t="str">
        <x:v>D02-L0117-1</x:v>
      </x:c>
      <x:c r="C178" s="5" t="str">
        <x:v>The 2S "90-Day Audit-Ready" Rescue Product</x:v>
      </x:c>
      <x:c r="D178" s="5" t="n">
        <x:v>117</x:v>
      </x:c>
      <x:c r="E178" s="5" t="n">
        <x:v>117</x:v>
      </x:c>
      <x:c r="F178" s="5" t="str">
        <x:v>heading</x:v>
      </x:c>
      <x:c r="G178" s="5" t="n">
        <x:v>1</x:v>
      </x:c>
      <x:c r="H178" s="5" t="n">
        <x:v>1</x:v>
      </x:c>
      <x:c r="I178" s="5" t="str">
        <x:v>#### The 2S "90-Day Audit-Ready" Rescue Product</x:v>
      </x:c>
      <x:c r="J178" s="5" t="str">
        <x:v>SOURCE QUOTE; unvalidated / superseded assessments</x:v>
      </x:c>
      <x:c r="L178" s="31" t="str">
        <x:v>D02, Markdown line 117; http://nas-1.tail55d152.ts.net:4100/static/2S_NORDIC_MARKET_PENETRATION_AND_ECOSYSTEM_ACCELERATOR.html</x:v>
      </x:c>
    </x:row>
    <x:row r="179" ht="182" customHeight="1">
      <x:c r="A179" s="5" t="str">
        <x:v>D02</x:v>
      </x:c>
      <x:c r="B179" s="5" t="str">
        <x:v>D02-L0118-1</x:v>
      </x:c>
      <x:c r="C179" s="5" t="str">
        <x:v>The 2S "90-Day Audit-Ready" Rescue Product</x:v>
      </x:c>
      <x:c r="D179" s="5" t="n">
        <x:v>118</x:v>
      </x:c>
      <x:c r="E179" s="5" t="n">
        <x:v>122</x:v>
      </x:c>
      <x:c r="F179" s="5" t="str">
        <x:v>text</x:v>
      </x:c>
      <x:c r="G179" s="5" t="n">
        <x:v>1</x:v>
      </x:c>
      <x:c r="H179" s="5" t="n">
        <x:v>1</x:v>
      </x:c>
      <x:c r="I179" s="5" t="str">
        <x:v>2S Consulting deploys a battle-tested, rapid-remediation sprint specifically designed to eliminate submission deficiencies:
1. **Days 1–15: Comprehensive Gap Audit**: Deep-dive inspection of General Safety and Performance Requirements (GSPR), Clinical Evaluation Report (CER), Risk Management File (ISO 14971), and Post-Market Clinical Follow-up (PMCF).
2. **Days 16–60: Document Remediation &amp; Clinical Synthesis**: Rewriting deficient CER sections, recalculating statistical power for clinical endpoints, and updating cybersecurity documentation per MDCG 2019-16.
3. **Days 61–75: Mock Notified Body Audit**: Conducting an adversarial simulation led by seasoned regulatory auditors, pressure-testing internal QA/RA personnel.
4. **Days 76–90: Final Dossier Sign-Off**: Delivering an audit-sealed technical file ready for first-pass approval.</x:v>
      </x:c>
      <x:c r="J179" s="5" t="str">
        <x:v>SOURCE QUOTE; unvalidated / superseded assessments</x:v>
      </x:c>
      <x:c r="L179" s="31" t="str">
        <x:v>D02, Markdown line 118; http://nas-1.tail55d152.ts.net:4100/static/2S_NORDIC_MARKET_PENETRATION_AND_ECOSYSTEM_ACCELERATOR.html</x:v>
      </x:c>
    </x:row>
    <x:row r="180" ht="42" customHeight="1">
      <x:c r="A180" s="5" t="str">
        <x:v>D02</x:v>
      </x:c>
      <x:c r="B180" s="5" t="str">
        <x:v>D02-L0126-1</x:v>
      </x:c>
      <x:c r="C180" s="5" t="str">
        <x:v>Vector 5: Venture Capital &amp; Private Equity Portfolio Acceleration</x:v>
      </x:c>
      <x:c r="D180" s="5" t="n">
        <x:v>126</x:v>
      </x:c>
      <x:c r="E180" s="5" t="n">
        <x:v>126</x:v>
      </x:c>
      <x:c r="F180" s="5" t="str">
        <x:v>heading</x:v>
      </x:c>
      <x:c r="G180" s="5" t="n">
        <x:v>1</x:v>
      </x:c>
      <x:c r="H180" s="5" t="n">
        <x:v>1</x:v>
      </x:c>
      <x:c r="I180" s="5" t="str">
        <x:v>### Vector 5: Venture Capital &amp; Private Equity Portfolio Acceleration</x:v>
      </x:c>
      <x:c r="J180" s="5" t="str">
        <x:v>SOURCE QUOTE; unvalidated / superseded assessments</x:v>
      </x:c>
      <x:c r="L180" s="31" t="str">
        <x:v>D02, Markdown line 126; http://nas-1.tail55d152.ts.net:4100/static/2S_NORDIC_MARKET_PENETRATION_AND_ECOSYSTEM_ACCELERATOR.html</x:v>
      </x:c>
    </x:row>
    <x:row r="181" ht="42" customHeight="1">
      <x:c r="A181" s="5" t="str">
        <x:v>D02</x:v>
      </x:c>
      <x:c r="B181" s="5" t="str">
        <x:v>D02-L0128-1</x:v>
      </x:c>
      <x:c r="C181" s="5" t="str">
        <x:v>Strategic Thesis</x:v>
      </x:c>
      <x:c r="D181" s="5" t="n">
        <x:v>128</x:v>
      </x:c>
      <x:c r="E181" s="5" t="n">
        <x:v>128</x:v>
      </x:c>
      <x:c r="F181" s="5" t="str">
        <x:v>heading</x:v>
      </x:c>
      <x:c r="G181" s="5" t="n">
        <x:v>1</x:v>
      </x:c>
      <x:c r="H181" s="5" t="n">
        <x:v>1</x:v>
      </x:c>
      <x:c r="I181" s="5" t="str">
        <x:v>#### Strategic Thesis</x:v>
      </x:c>
      <x:c r="J181" s="5" t="str">
        <x:v>SOURCE QUOTE; unvalidated / superseded assessments</x:v>
      </x:c>
      <x:c r="L181" s="31" t="str">
        <x:v>D02, Markdown line 128; http://nas-1.tail55d152.ts.net:4100/static/2S_NORDIC_MARKET_PENETRATION_AND_ECOSYSTEM_ACCELERATOR.html</x:v>
      </x:c>
    </x:row>
    <x:row r="182" ht="70" customHeight="1">
      <x:c r="A182" s="5" t="str">
        <x:v>D02</x:v>
      </x:c>
      <x:c r="B182" s="5" t="str">
        <x:v>D02-L0129-1</x:v>
      </x:c>
      <x:c r="C182" s="5" t="str">
        <x:v>Strategic Thesis</x:v>
      </x:c>
      <x:c r="D182" s="5" t="n">
        <x:v>129</x:v>
      </x:c>
      <x:c r="E182" s="5" t="n">
        <x:v>129</x:v>
      </x:c>
      <x:c r="F182" s="5" t="str">
        <x:v>text</x:v>
      </x:c>
      <x:c r="G182" s="5" t="n">
        <x:v>1</x:v>
      </x:c>
      <x:c r="H182" s="5" t="n">
        <x:v>1</x:v>
      </x:c>
      <x:c r="I182" s="5" t="str">
        <x:v>Nordic Life Science venture capital firms manage hundreds of millions in early- and growth-stage MedTech investments. VCs face a recurring pain point: their portfolio companies possess brilliant scientific founders but lack regulatory and commercialization discipline, frequently burning through capital while stalled in Notified Body loops.</x:v>
      </x:c>
      <x:c r="J182" s="5" t="str">
        <x:v>SOURCE QUOTE; unvalidated / superseded assessments</x:v>
      </x:c>
      <x:c r="L182" s="31" t="str">
        <x:v>D02, Markdown line 129; http://nas-1.tail55d152.ts.net:4100/static/2S_NORDIC_MARKET_PENETRATION_AND_ECOSYSTEM_ACCELERATOR.html</x:v>
      </x:c>
    </x:row>
    <x:row r="183" ht="42" customHeight="1">
      <x:c r="A183" s="5" t="str">
        <x:v>D02</x:v>
      </x:c>
      <x:c r="B183" s="5" t="str">
        <x:v>D02-L0131-1</x:v>
      </x:c>
      <x:c r="C183" s="5" t="str">
        <x:v>Target VC &amp; Growth Funds in the Nordics</x:v>
      </x:c>
      <x:c r="D183" s="5" t="n">
        <x:v>131</x:v>
      </x:c>
      <x:c r="E183" s="5" t="n">
        <x:v>131</x:v>
      </x:c>
      <x:c r="F183" s="5" t="str">
        <x:v>heading</x:v>
      </x:c>
      <x:c r="G183" s="5" t="n">
        <x:v>1</x:v>
      </x:c>
      <x:c r="H183" s="5" t="n">
        <x:v>1</x:v>
      </x:c>
      <x:c r="I183" s="5" t="str">
        <x:v>#### Target VC &amp; Growth Funds in the Nordics</x:v>
      </x:c>
      <x:c r="J183" s="5" t="str">
        <x:v>SOURCE QUOTE; unvalidated / superseded assessments</x:v>
      </x:c>
      <x:c r="L183" s="31" t="str">
        <x:v>D02, Markdown line 131; http://nas-1.tail55d152.ts.net:4100/static/2S_NORDIC_MARKET_PENETRATION_AND_ECOSYSTEM_ACCELERATOR.html</x:v>
      </x:c>
    </x:row>
    <x:row r="184" ht="42" customHeight="1">
      <x:c r="A184" s="5" t="str">
        <x:v>D02</x:v>
      </x:c>
      <x:c r="B184" s="5" t="str">
        <x:v>D02-L0141-1</x:v>
      </x:c>
      <x:c r="C184" s="5" t="str">
        <x:v>Commercial Relationship Structure</x:v>
      </x:c>
      <x:c r="D184" s="5" t="n">
        <x:v>141</x:v>
      </x:c>
      <x:c r="E184" s="5" t="n">
        <x:v>141</x:v>
      </x:c>
      <x:c r="F184" s="5" t="str">
        <x:v>heading</x:v>
      </x:c>
      <x:c r="G184" s="5" t="n">
        <x:v>1</x:v>
      </x:c>
      <x:c r="H184" s="5" t="n">
        <x:v>1</x:v>
      </x:c>
      <x:c r="I184" s="5" t="str">
        <x:v>#### Commercial Relationship Structure</x:v>
      </x:c>
      <x:c r="J184" s="5" t="str">
        <x:v>SOURCE QUOTE; unvalidated / superseded assessments</x:v>
      </x:c>
      <x:c r="L184" s="31" t="str">
        <x:v>D02, Markdown line 141; http://nas-1.tail55d152.ts.net:4100/static/2S_NORDIC_MARKET_PENETRATION_AND_ECOSYSTEM_ACCELERATOR.html</x:v>
      </x:c>
    </x:row>
    <x:row r="185" ht="98" customHeight="1">
      <x:c r="A185" s="5" t="str">
        <x:v>D02</x:v>
      </x:c>
      <x:c r="B185" s="5" t="str">
        <x:v>D02-L0142-1</x:v>
      </x:c>
      <x:c r="C185" s="5" t="str">
        <x:v>Commercial Relationship Structure</x:v>
      </x:c>
      <x:c r="D185" s="5" t="n">
        <x:v>142</x:v>
      </x:c>
      <x:c r="E185" s="5" t="n">
        <x:v>143</x:v>
      </x:c>
      <x:c r="F185" s="5" t="str">
        <x:v>text</x:v>
      </x:c>
      <x:c r="G185" s="5" t="n">
        <x:v>1</x:v>
      </x:c>
      <x:c r="H185" s="5" t="n">
        <x:v>1</x:v>
      </x:c>
      <x:c r="I185" s="5" t="str">
        <x:v>- **Retained Fund Diligence**: VCs retain 2S Consulting on a quarterly retainer (€12,000 – €25,000/quarter) to review technical and regulatory files of prospective investments during due diligence.
- **Preferred Vendor for Portfolio Companies**: Portfolio CEOs receive a 15% preferred rate on 2S's 90-Day Audit-Ready package, directly funded through VC technical assistance grants.</x:v>
      </x:c>
      <x:c r="J185" s="5" t="str">
        <x:v>SOURCE QUOTE; unvalidated / superseded assessments</x:v>
      </x:c>
      <x:c r="L185" s="31" t="str">
        <x:v>D02, Markdown line 142; http://nas-1.tail55d152.ts.net:4100/static/2S_NORDIC_MARKET_PENETRATION_AND_ECOSYSTEM_ACCELERATOR.html</x:v>
      </x:c>
    </x:row>
    <x:row r="186" ht="42" customHeight="1">
      <x:c r="A186" s="5" t="str">
        <x:v>D02</x:v>
      </x:c>
      <x:c r="B186" s="5" t="str">
        <x:v>D02-L0147-1</x:v>
      </x:c>
      <x:c r="C186" s="5" t="str">
        <x:v>3. Nordic Life Science Co-Opetition Matrix</x:v>
      </x:c>
      <x:c r="D186" s="5" t="n">
        <x:v>147</x:v>
      </x:c>
      <x:c r="E186" s="5" t="n">
        <x:v>147</x:v>
      </x:c>
      <x:c r="F186" s="5" t="str">
        <x:v>heading</x:v>
      </x:c>
      <x:c r="G186" s="5" t="n">
        <x:v>1</x:v>
      </x:c>
      <x:c r="H186" s="5" t="n">
        <x:v>1</x:v>
      </x:c>
      <x:c r="I186" s="5" t="str">
        <x:v>## 3. Nordic Life Science Co-Opetition Matrix</x:v>
      </x:c>
      <x:c r="J186" s="5" t="str">
        <x:v>SOURCE QUOTE; unvalidated / superseded assessments</x:v>
      </x:c>
      <x:c r="L186" s="31" t="str">
        <x:v>D02, Markdown line 147; http://nas-1.tail55d152.ts.net:4100/static/2S_NORDIC_MARKET_PENETRATION_AND_ECOSYSTEM_ACCELERATOR.html</x:v>
      </x:c>
    </x:row>
    <x:row r="187" ht="42" customHeight="1">
      <x:c r="A187" s="5" t="str">
        <x:v>D02</x:v>
      </x:c>
      <x:c r="B187" s="5" t="str">
        <x:v>D02-L0149-1</x:v>
      </x:c>
      <x:c r="C187" s="5" t="str">
        <x:v>3. Nordic Life Science Co-Opetition Matrix</x:v>
      </x:c>
      <x:c r="D187" s="5" t="n">
        <x:v>149</x:v>
      </x:c>
      <x:c r="E187" s="5" t="n">
        <x:v>149</x:v>
      </x:c>
      <x:c r="F187" s="5" t="str">
        <x:v>text</x:v>
      </x:c>
      <x:c r="G187" s="5" t="n">
        <x:v>1</x:v>
      </x:c>
      <x:c r="H187" s="5" t="n">
        <x:v>1</x:v>
      </x:c>
      <x:c r="I187" s="5" t="str">
        <x:v>Detailed positioning of how 2S Consulting partners with vs. counter-positions against the 12 primary Nordic peer consultancies:</x:v>
      </x:c>
      <x:c r="J187" s="5" t="str">
        <x:v>SOURCE QUOTE; unvalidated / superseded assessments</x:v>
      </x:c>
      <x:c r="L187" s="31" t="str">
        <x:v>D02, Markdown line 149; http://nas-1.tail55d152.ts.net:4100/static/2S_NORDIC_MARKET_PENETRATION_AND_ECOSYSTEM_ACCELERATOR.html</x:v>
      </x:c>
    </x:row>
    <x:row r="188" ht="42" customHeight="1">
      <x:c r="A188" s="5" t="str">
        <x:v>D02</x:v>
      </x:c>
      <x:c r="B188" s="5" t="str">
        <x:v>D02-L0168-1</x:v>
      </x:c>
      <x:c r="C188" s="5" t="str">
        <x:v>4. Multi-Touch Account-Based Marketing (ABM) Playbook</x:v>
      </x:c>
      <x:c r="D188" s="5" t="n">
        <x:v>168</x:v>
      </x:c>
      <x:c r="E188" s="5" t="n">
        <x:v>168</x:v>
      </x:c>
      <x:c r="F188" s="5" t="str">
        <x:v>heading</x:v>
      </x:c>
      <x:c r="G188" s="5" t="n">
        <x:v>1</x:v>
      </x:c>
      <x:c r="H188" s="5" t="n">
        <x:v>1</x:v>
      </x:c>
      <x:c r="I188" s="5" t="str">
        <x:v>## 4. Multi-Touch Account-Based Marketing (ABM) Playbook</x:v>
      </x:c>
      <x:c r="J188" s="5" t="str">
        <x:v>SOURCE QUOTE; unvalidated / superseded assessments</x:v>
      </x:c>
      <x:c r="L188" s="31" t="str">
        <x:v>D02, Markdown line 168; http://nas-1.tail55d152.ts.net:4100/static/2S_NORDIC_MARKET_PENETRATION_AND_ECOSYSTEM_ACCELERATOR.html</x:v>
      </x:c>
    </x:row>
    <x:row r="189" ht="42" customHeight="1">
      <x:c r="A189" s="5" t="str">
        <x:v>D02</x:v>
      </x:c>
      <x:c r="B189" s="5" t="str">
        <x:v>D02-L0170-1</x:v>
      </x:c>
      <x:c r="C189" s="5" t="str">
        <x:v>4. Multi-Touch Account-Based Marketing (ABM) Playbook</x:v>
      </x:c>
      <x:c r="D189" s="5" t="n">
        <x:v>170</x:v>
      </x:c>
      <x:c r="E189" s="5" t="n">
        <x:v>170</x:v>
      </x:c>
      <x:c r="F189" s="5" t="str">
        <x:v>text</x:v>
      </x:c>
      <x:c r="G189" s="5" t="n">
        <x:v>1</x:v>
      </x:c>
      <x:c r="H189" s="5" t="n">
        <x:v>1</x:v>
      </x:c>
      <x:c r="I189" s="5" t="str">
        <x:v>To support both direct enterprise outreach and ecosystem partner recruitment, 2S Consulting implements a **Trigger-Based Outreach Cadence**:</x:v>
      </x:c>
      <x:c r="J189" s="5" t="str">
        <x:v>SOURCE QUOTE; unvalidated / superseded assessments</x:v>
      </x:c>
      <x:c r="L189" s="31" t="str">
        <x:v>D02, Markdown line 170; http://nas-1.tail55d152.ts.net:4100/static/2S_NORDIC_MARKET_PENETRATION_AND_ECOSYSTEM_ACCELERATOR.html</x:v>
      </x:c>
    </x:row>
    <x:row r="190" ht="364" customHeight="1">
      <x:c r="A190" s="5" t="str">
        <x:v>D02</x:v>
      </x:c>
      <x:c r="B190" s="5" t="str">
        <x:v>D02-L0172-1</x:v>
      </x:c>
      <x:c r="C190" s="5" t="str">
        <x:v>4. Multi-Touch Account-Based Marketing (ABM) Playbook</x:v>
      </x:c>
      <x:c r="D190" s="5" t="n">
        <x:v>172</x:v>
      </x:c>
      <x:c r="E190" s="5" t="n">
        <x:v>205</x:v>
      </x:c>
      <x:c r="F190" s="5" t="str">
        <x:v>diagram / code</x:v>
      </x:c>
      <x:c r="G190" s="5" t="n">
        <x:v>1</x:v>
      </x:c>
      <x:c r="H190" s="5" t="n">
        <x:v>2</x:v>
      </x:c>
      <x:c r="I190" s="5" t="str">
        <x:v>```
+--------------------------------------------------------------------------------------------------+
|                               MULTI-TOUCH TRIGGER-BASED ABM WORKFLOW                             |
+--------------------------------------------------------------------------------------------------+
  [Market Signal Detected]
  - Competitor MDR Audit Deficiency / Product Recall
  - Job Posting: "Director Regulatory Affairs" or "MDR Manager"
  - Clinical Trial Phase II Completion Announcement
  - Regional Hospital Tender RFP Published (Region Stockholm / Skåne)
           |
           v
  [Day 1: Asymmetric Intelligence Drop]
  - Hyper-personalized email from Hichem/Safa Sellami with custom 3-page Diagnostic Brief.
  - Zero sales pitch; purely technical gap analysis of their published disclosures.
           |
           v
  [Day 4: Peer Benchmark LinkedIn Touch]
  - Connection request + message sharing Nordic MedTech Peer Benchmark Report.
  - Social proof referencing relevant work across Merck, Sanofi, or Nordic facilities.
           |
</x:v>
      </x:c>
      <x:c r="J190" s="5" t="str">
        <x:v>SOURCE QUOTE; unvalidated / superseded assessments</x:v>
      </x:c>
      <x:c r="L190" s="31" t="str">
        <x:v>D02, Markdown line 172; http://nas-1.tail55d152.ts.net:4100/static/2S_NORDIC_MARKET_PENETRATION_AND_ECOSYSTEM_ACCELERATOR.html</x:v>
      </x:c>
    </x:row>
    <x:row r="191" ht="224" customHeight="1">
      <x:c r="A191" s="5" t="str">
        <x:v>D02</x:v>
      </x:c>
      <x:c r="B191" s="5" t="str">
        <x:v>D02-L0172-2</x:v>
      </x:c>
      <x:c r="C191" s="5" t="str">
        <x:v>4. Multi-Touch Account-Based Marketing (ABM) Playbook</x:v>
      </x:c>
      <x:c r="D191" s="5" t="n">
        <x:v>172</x:v>
      </x:c>
      <x:c r="E191" s="5" t="n">
        <x:v>205</x:v>
      </x:c>
      <x:c r="F191" s="5" t="str">
        <x:v>diagram / code</x:v>
      </x:c>
      <x:c r="G191" s="5" t="n">
        <x:v>2</x:v>
      </x:c>
      <x:c r="H191" s="5" t="n">
        <x:v>2</x:v>
      </x:c>
      <x:c r="I191" s="5" t="str">
        <x:v>           v
  [Day 8: Executive Video / Calculator Teaser]
  - 90-second Loom/interactive link showing live demonstration of their device inside
    the 2S Hospital CFO DaaS Calculator or HCare360 NLP trial matcher.
           |
           v
  [Day 14: Multi-Channel Executive Telephone Briefing]
  - Direct call to VP of R&amp;D / Head of RA with a 15-minute scheduled agenda:
    "Reviewing 3 hidden vulnerabilities in your impending Notified Body technical file."
           |
           v
  [Conversion: 90-Day Audit-Ready or Pilot Diagnostic Retainer]
  - Fixed-price diagnostic (€15,000 – €35,000) leading into full implementation retainer.
```</x:v>
      </x:c>
      <x:c r="J191" s="5" t="str">
        <x:v>SOURCE QUOTE; unvalidated / superseded assessments</x:v>
      </x:c>
      <x:c r="L191" s="31" t="str">
        <x:v>D02, Markdown line 172; http://nas-1.tail55d152.ts.net:4100/static/2S_NORDIC_MARKET_PENETRATION_AND_ECOSYSTEM_ACCELERATOR.html</x:v>
      </x:c>
    </x:row>
    <x:row r="192" ht="42" customHeight="1">
      <x:c r="A192" s="5" t="str">
        <x:v>D02</x:v>
      </x:c>
      <x:c r="B192" s="5" t="str">
        <x:v>D02-L0209-1</x:v>
      </x:c>
      <x:c r="C192" s="5" t="str">
        <x:v>5. 90-Day Execution Gantt Chart &amp; KPI Scorecard</x:v>
      </x:c>
      <x:c r="D192" s="5" t="n">
        <x:v>209</x:v>
      </x:c>
      <x:c r="E192" s="5" t="n">
        <x:v>209</x:v>
      </x:c>
      <x:c r="F192" s="5" t="str">
        <x:v>heading</x:v>
      </x:c>
      <x:c r="G192" s="5" t="n">
        <x:v>1</x:v>
      </x:c>
      <x:c r="H192" s="5" t="n">
        <x:v>1</x:v>
      </x:c>
      <x:c r="I192" s="5" t="str">
        <x:v>## 5. 90-Day Execution Gantt Chart &amp; KPI Scorecard</x:v>
      </x:c>
      <x:c r="J192" s="5" t="str">
        <x:v>SOURCE QUOTE; unvalidated / superseded assessments</x:v>
      </x:c>
      <x:c r="L192" s="31" t="str">
        <x:v>D02, Markdown line 209; http://nas-1.tail55d152.ts.net:4100/static/2S_NORDIC_MARKET_PENETRATION_AND_ECOSYSTEM_ACCELERATOR.html</x:v>
      </x:c>
    </x:row>
    <x:row r="193" ht="42" customHeight="1">
      <x:c r="A193" s="5" t="str">
        <x:v>D02</x:v>
      </x:c>
      <x:c r="B193" s="5" t="str">
        <x:v>D02-L0211-1</x:v>
      </x:c>
      <x:c r="C193" s="5" t="str">
        <x:v>Execution Milestones</x:v>
      </x:c>
      <x:c r="D193" s="5" t="n">
        <x:v>211</x:v>
      </x:c>
      <x:c r="E193" s="5" t="n">
        <x:v>211</x:v>
      </x:c>
      <x:c r="F193" s="5" t="str">
        <x:v>heading</x:v>
      </x:c>
      <x:c r="G193" s="5" t="n">
        <x:v>1</x:v>
      </x:c>
      <x:c r="H193" s="5" t="n">
        <x:v>1</x:v>
      </x:c>
      <x:c r="I193" s="5" t="str">
        <x:v>### Execution Milestones</x:v>
      </x:c>
      <x:c r="J193" s="5" t="str">
        <x:v>SOURCE QUOTE; unvalidated / superseded assessments</x:v>
      </x:c>
      <x:c r="L193" s="31" t="str">
        <x:v>D02, Markdown line 211; http://nas-1.tail55d152.ts.net:4100/static/2S_NORDIC_MARKET_PENETRATION_AND_ECOSYSTEM_ACCELERATOR.html</x:v>
      </x:c>
    </x:row>
    <x:row r="194" ht="350" customHeight="1">
      <x:c r="A194" s="5" t="str">
        <x:v>D02</x:v>
      </x:c>
      <x:c r="B194" s="5" t="str">
        <x:v>D02-L0213-1</x:v>
      </x:c>
      <x:c r="C194" s="5" t="str">
        <x:v>Execution Milestones</x:v>
      </x:c>
      <x:c r="D194" s="5" t="n">
        <x:v>213</x:v>
      </x:c>
      <x:c r="E194" s="5" t="n">
        <x:v>231</x:v>
      </x:c>
      <x:c r="F194" s="5" t="str">
        <x:v>diagram / code</x:v>
      </x:c>
      <x:c r="G194" s="5" t="n">
        <x:v>1</x:v>
      </x:c>
      <x:c r="H194" s="5" t="n">
        <x:v>2</x:v>
      </x:c>
      <x:c r="I194" s="5" t="str">
        <x:v>```
WEEKS 1 - 4: ALLIANCE FOUNDATION &amp; ECOSYSTEM SEEDING
  [x] Complete target mapping of 12 peer consultancies (Semcon, Knightec, Prevas, Plantvision).
  [x] Finalize co-opetition partner deck and white-label subcontract agreement template.
  [x] Submit partner applications to Medicon Village, GoCo Innovation City, and Norway Health Tech.
  [x] Publish the Nordic MedTech Peer Benchmark Report across digital and executive channels.
WEEKS 5 - 8: MASTERCLASS DELIVERY &amp; VC PARTNER ACTIVATION
  [ ] Host 2 high-impact virtual masterclasses: "Navigating EU AI Act for Class IIb/III MedTech Devices".
  [ ] Engage 5 Nordic HealthTech VC funds (HealthCap, Industrifonden, Sunstone) for portfolio audits.
  [ ] Initiate 15 direct enterprise ABM cadences to Tier 1 accounts (Getinge, Elekta, Vitrolife, Sectra).
  [ ] Conduct 6 formal exploratory discussions with alliance leads at Knightec and Semcon.
WEEKS 9 - 12: PILOT CLOSURE &amp; TENDER EMBEDDING
  [ ] Sign 2 formal subcontracting / alliance agreements with engineering consultancies.
  [ ] Secure 3 "90-Day Audit-Ready" regulatory remediation retainers (€35,000+ each).
  [ ] Embed 2S Hospital DaaS Calculator into at least 1 live Nordic regional </x:v>
      </x:c>
      <x:c r="J194" s="5" t="str">
        <x:v>SOURCE QUOTE; unvalidated / superseded assessments</x:v>
      </x:c>
      <x:c r="L194" s="31" t="str">
        <x:v>D02, Markdown line 213; http://nas-1.tail55d152.ts.net:4100/static/2S_NORDIC_MARKET_PENETRATION_AND_ECOSYSTEM_ACCELERATOR.html</x:v>
      </x:c>
    </x:row>
    <x:row r="195" ht="56" customHeight="1">
      <x:c r="A195" s="5" t="str">
        <x:v>D02</x:v>
      </x:c>
      <x:c r="B195" s="5" t="str">
        <x:v>D02-L0213-2</x:v>
      </x:c>
      <x:c r="C195" s="5" t="str">
        <x:v>Execution Milestones</x:v>
      </x:c>
      <x:c r="D195" s="5" t="n">
        <x:v>213</x:v>
      </x:c>
      <x:c r="E195" s="5" t="n">
        <x:v>231</x:v>
      </x:c>
      <x:c r="F195" s="5" t="str">
        <x:v>diagram / code</x:v>
      </x:c>
      <x:c r="G195" s="5" t="n">
        <x:v>2</x:v>
      </x:c>
      <x:c r="H195" s="5" t="n">
        <x:v>2</x:v>
      </x:c>
      <x:c r="I195" s="5" t="str">
        <x:v>hospital procurement bid.
  [ ] Review quarterly metrics: Target pipeline €450,000+; Closed revenue €120,000+.
```</x:v>
      </x:c>
      <x:c r="J195" s="5" t="str">
        <x:v>SOURCE QUOTE; unvalidated / superseded assessments</x:v>
      </x:c>
      <x:c r="L195" s="31" t="str">
        <x:v>D02, Markdown line 213; http://nas-1.tail55d152.ts.net:4100/static/2S_NORDIC_MARKET_PENETRATION_AND_ECOSYSTEM_ACCELERATOR.html</x:v>
      </x:c>
    </x:row>
    <x:row r="196" ht="42" customHeight="1">
      <x:c r="A196" s="5" t="str">
        <x:v>D02</x:v>
      </x:c>
      <x:c r="B196" s="5" t="str">
        <x:v>D02-L0233-1</x:v>
      </x:c>
      <x:c r="C196" s="5" t="str">
        <x:v>Quantitative Scorecard</x:v>
      </x:c>
      <x:c r="D196" s="5" t="n">
        <x:v>233</x:v>
      </x:c>
      <x:c r="E196" s="5" t="n">
        <x:v>233</x:v>
      </x:c>
      <x:c r="F196" s="5" t="str">
        <x:v>heading</x:v>
      </x:c>
      <x:c r="G196" s="5" t="n">
        <x:v>1</x:v>
      </x:c>
      <x:c r="H196" s="5" t="n">
        <x:v>1</x:v>
      </x:c>
      <x:c r="I196" s="5" t="str">
        <x:v>### Quantitative Scorecard</x:v>
      </x:c>
      <x:c r="J196" s="5" t="str">
        <x:v>SOURCE QUOTE; unvalidated / superseded assessments</x:v>
      </x:c>
      <x:c r="L196" s="31" t="str">
        <x:v>D02, Markdown line 233; http://nas-1.tail55d152.ts.net:4100/static/2S_NORDIC_MARKET_PENETRATION_AND_ECOSYSTEM_ACCELERATOR.html</x:v>
      </x:c>
    </x:row>
    <x:row r="197" ht="42" customHeight="1">
      <x:c r="A197" s="5" t="str">
        <x:v>D02</x:v>
      </x:c>
      <x:c r="B197" s="5" t="str">
        <x:v>D02-L0247-1</x:v>
      </x:c>
      <x:c r="C197" s="5" t="str">
        <x:v>6. Conclusion &amp; Executive Imperative</x:v>
      </x:c>
      <x:c r="D197" s="5" t="n">
        <x:v>247</x:v>
      </x:c>
      <x:c r="E197" s="5" t="n">
        <x:v>247</x:v>
      </x:c>
      <x:c r="F197" s="5" t="str">
        <x:v>heading</x:v>
      </x:c>
      <x:c r="G197" s="5" t="n">
        <x:v>1</x:v>
      </x:c>
      <x:c r="H197" s="5" t="n">
        <x:v>1</x:v>
      </x:c>
      <x:c r="I197" s="5" t="str">
        <x:v>## 6. Conclusion &amp; Executive Imperative</x:v>
      </x:c>
      <x:c r="J197" s="5" t="str">
        <x:v>SOURCE QUOTE; unvalidated / superseded assessments</x:v>
      </x:c>
      <x:c r="L197" s="31" t="str">
        <x:v>D02, Markdown line 247; http://nas-1.tail55d152.ts.net:4100/static/2S_NORDIC_MARKET_PENETRATION_AND_ECOSYSTEM_ACCELERATOR.html</x:v>
      </x:c>
    </x:row>
    <x:row r="198" ht="98" customHeight="1">
      <x:c r="A198" s="5" t="str">
        <x:v>D02</x:v>
      </x:c>
      <x:c r="B198" s="5" t="str">
        <x:v>D02-L0249-1</x:v>
      </x:c>
      <x:c r="C198" s="5" t="str">
        <x:v>6. Conclusion &amp; Executive Imperative</x:v>
      </x:c>
      <x:c r="D198" s="5" t="n">
        <x:v>249</x:v>
      </x:c>
      <x:c r="E198" s="5" t="n">
        <x:v>249</x:v>
      </x:c>
      <x:c r="F198" s="5" t="str">
        <x:v>text</x:v>
      </x:c>
      <x:c r="G198" s="5" t="n">
        <x:v>1</x:v>
      </x:c>
      <x:c r="H198" s="5" t="n">
        <x:v>1</x:v>
      </x:c>
      <x:c r="I198" s="5" t="str">
        <x:v>By synchronizing **direct enterprise ABM** with **co-opetition partnerships**, **cluster infiltration**, **VBHC procurement enablement**, and **VC portfolio de-risking**, **Bountytek AB** (Sweden), representing **2S Consulting** ([https://www.2sconsulting.com/](https://www.2sconsulting.com/)) and **Numantra Technologies** ([https://www.numantratech.ai/](https://www.numantratech.ai/)), establishes a resilient, self-reinforcing market moat. </x:v>
      </x:c>
      <x:c r="J198" s="5" t="str">
        <x:v>SOURCE QUOTE; unvalidated / superseded assessments</x:v>
      </x:c>
      <x:c r="L198" s="31" t="str">
        <x:v>D02, Markdown line 249; http://nas-1.tail55d152.ts.net:4100/static/2S_NORDIC_MARKET_PENETRATION_AND_ECOSYSTEM_ACCELERATOR.html</x:v>
      </x:c>
    </x:row>
    <x:row r="199" ht="70" customHeight="1">
      <x:c r="A199" s="5" t="str">
        <x:v>D02</x:v>
      </x:c>
      <x:c r="B199" s="5" t="str">
        <x:v>D02-L0251-1</x:v>
      </x:c>
      <x:c r="C199" s="5" t="str">
        <x:v>6. Conclusion &amp; Executive Imperative</x:v>
      </x:c>
      <x:c r="D199" s="5" t="n">
        <x:v>251</x:v>
      </x:c>
      <x:c r="E199" s="5" t="n">
        <x:v>251</x:v>
      </x:c>
      <x:c r="F199" s="5" t="str">
        <x:v>text</x:v>
      </x:c>
      <x:c r="G199" s="5" t="n">
        <x:v>1</x:v>
      </x:c>
      <x:c r="H199" s="5" t="n">
        <x:v>1</x:v>
      </x:c>
      <x:c r="I199" s="5" t="str">
        <x:v>Rather than knocking on cold corporate doors as an unknown foreign boutique, Bountytek AB enters the Nordic ecosystem as the **essential domestic technical, commercial, and clinical catalyst** that major engineering firms, hospital procurement boards, and venture investors rely upon to protect margins and accelerate patient impact.</x:v>
      </x:c>
      <x:c r="J199" s="5" t="str">
        <x:v>SOURCE QUOTE; unvalidated / superseded assessments</x:v>
      </x:c>
      <x:c r="L199" s="31" t="str">
        <x:v>D02, Markdown line 251; http://nas-1.tail55d152.ts.net:4100/static/2S_NORDIC_MARKET_PENETRATION_AND_ECOSYSTEM_ACCELERATOR.html</x:v>
      </x:c>
    </x:row>
    <x:row r="200" ht="42" customHeight="1">
      <x:c r="A200" s="5" t="str">
        <x:v>D02</x:v>
      </x:c>
      <x:c r="B200" s="5" t="str">
        <x:v>D02-L0255-1</x:v>
      </x:c>
      <x:c r="C200" s="5" t="str">
        <x:v>7. Analysis of Competing Hypotheses (ACH) — Penetration Channel Velocity</x:v>
      </x:c>
      <x:c r="D200" s="5" t="n">
        <x:v>255</x:v>
      </x:c>
      <x:c r="E200" s="5" t="n">
        <x:v>255</x:v>
      </x:c>
      <x:c r="F200" s="5" t="str">
        <x:v>heading</x:v>
      </x:c>
      <x:c r="G200" s="5" t="n">
        <x:v>1</x:v>
      </x:c>
      <x:c r="H200" s="5" t="n">
        <x:v>1</x:v>
      </x:c>
      <x:c r="I200" s="5" t="str">
        <x:v>## 7. Analysis of Competing Hypotheses (ACH) — Penetration Channel Velocity</x:v>
      </x:c>
      <x:c r="J200" s="5" t="str">
        <x:v>SOURCE QUOTE; unvalidated / superseded assessments</x:v>
      </x:c>
      <x:c r="L200" s="31" t="str">
        <x:v>D02, Markdown line 255; http://nas-1.tail55d152.ts.net:4100/static/2S_NORDIC_MARKET_PENETRATION_AND_ECOSYSTEM_ACCELERATOR.html</x:v>
      </x:c>
    </x:row>
    <x:row r="201" ht="56" customHeight="1">
      <x:c r="A201" s="5" t="str">
        <x:v>D02</x:v>
      </x:c>
      <x:c r="B201" s="5" t="str">
        <x:v>D02-L0257-1</x:v>
      </x:c>
      <x:c r="C201" s="5" t="str">
        <x:v>7. Analysis of Competing Hypotheses (ACH) — Penetration Channel Velocity</x:v>
      </x:c>
      <x:c r="D201" s="5" t="n">
        <x:v>257</x:v>
      </x:c>
      <x:c r="E201" s="5" t="n">
        <x:v>257</x:v>
      </x:c>
      <x:c r="F201" s="5" t="str">
        <x:v>text</x:v>
      </x:c>
      <x:c r="G201" s="5" t="n">
        <x:v>1</x:v>
      </x:c>
      <x:c r="H201" s="5" t="n">
        <x:v>1</x:v>
      </x:c>
      <x:c r="I201" s="5" t="str">
        <x:v>To evaluate the operational probability of the five expansion vectors, we execute an **Analysis of Competing Hypotheses (ACH)** contrasting three go-to-market penetration architectures:</x:v>
      </x:c>
      <x:c r="J201" s="5" t="str">
        <x:v>SOURCE QUOTE; unvalidated / superseded assessments</x:v>
      </x:c>
      <x:c r="L201" s="31" t="str">
        <x:v>D02, Markdown line 257; http://nas-1.tail55d152.ts.net:4100/static/2S_NORDIC_MARKET_PENETRATION_AND_ECOSYSTEM_ACCELERATOR.html</x:v>
      </x:c>
    </x:row>
    <x:row r="202" ht="168" customHeight="1">
      <x:c r="A202" s="5" t="str">
        <x:v>D02</x:v>
      </x:c>
      <x:c r="B202" s="5" t="str">
        <x:v>D02-L0259-1</x:v>
      </x:c>
      <x:c r="C202" s="5" t="str">
        <x:v>7. Analysis of Competing Hypotheses (ACH) — Penetration Channel Velocity</x:v>
      </x:c>
      <x:c r="D202" s="5" t="n">
        <x:v>259</x:v>
      </x:c>
      <x:c r="E202" s="5" t="n">
        <x:v>261</x:v>
      </x:c>
      <x:c r="F202" s="5" t="str">
        <x:v>text</x:v>
      </x:c>
      <x:c r="G202" s="5" t="n">
        <x:v>1</x:v>
      </x:c>
      <x:c r="H202" s="5" t="n">
        <x:v>1</x:v>
      </x:c>
      <x:c r="I202" s="5" t="str">
        <x:v>* **$H_1$ (Unilateral Market Entry)**: Foreign consultancy operates independently without domestic Swedish presence, refusing partnerships with local Scandinavian consultancies and relying exclusively on cold offshore outbound.
* **$H_2$ (Broad Agency Reseller Network)**: Foreign consultancy signs non-exclusive commercial referral agreements with local Nordic sales recruiters and generalist IT brokers.
* **$H_3$ (Bountytek AB Domestic Agent + Ecosystem Co-Opetition + Science Park Infiltration — CONFIRMED)**: Bountytek AB serves as exclusive domestic Swedish commercial agent and prime contractor, embedding into existing hardware engineering supply chains (Semcon, Knightec) as a white-label clinical/AI specialist while establishing accredited physical desks in Medicon Village and GoCo.</x:v>
      </x:c>
      <x:c r="J202" s="5" t="str">
        <x:v>SOURCE QUOTE; unvalidated / superseded assessments</x:v>
      </x:c>
      <x:c r="L202" s="31" t="str">
        <x:v>D02, Markdown line 259; http://nas-1.tail55d152.ts.net:4100/static/2S_NORDIC_MARKET_PENETRATION_AND_ECOSYSTEM_ACCELERATOR.html</x:v>
      </x:c>
    </x:row>
    <x:row r="203" ht="42" customHeight="1">
      <x:c r="A203" s="5" t="str">
        <x:v>D02</x:v>
      </x:c>
      <x:c r="B203" s="5" t="str">
        <x:v>D02-L0263-1</x:v>
      </x:c>
      <x:c r="C203" s="5" t="str">
        <x:v>ACH Diagnostic Disconfirmation Matrix (Channel Velocity Truth Table)</x:v>
      </x:c>
      <x:c r="D203" s="5" t="n">
        <x:v>263</x:v>
      </x:c>
      <x:c r="E203" s="5" t="n">
        <x:v>263</x:v>
      </x:c>
      <x:c r="F203" s="5" t="str">
        <x:v>heading</x:v>
      </x:c>
      <x:c r="G203" s="5" t="n">
        <x:v>1</x:v>
      </x:c>
      <x:c r="H203" s="5" t="n">
        <x:v>1</x:v>
      </x:c>
      <x:c r="I203" s="5" t="str">
        <x:v>### ACH Diagnostic Disconfirmation Matrix (Channel Velocity Truth Table)</x:v>
      </x:c>
      <x:c r="J203" s="5" t="str">
        <x:v>SOURCE QUOTE; unvalidated / superseded assessments</x:v>
      </x:c>
      <x:c r="L203" s="31" t="str">
        <x:v>D02, Markdown line 263; http://nas-1.tail55d152.ts.net:4100/static/2S_NORDIC_MARKET_PENETRATION_AND_ECOSYSTEM_ACCELERATOR.html</x:v>
      </x:c>
    </x:row>
    <x:row r="204" ht="56" customHeight="1">
      <x:c r="A204" s="5" t="str">
        <x:v>D02</x:v>
      </x:c>
      <x:c r="B204" s="5" t="str">
        <x:v>D02-L0275-1</x:v>
      </x:c>
      <x:c r="C204" s="5" t="str">
        <x:v>8. NATO STANAG Admiralty Protocol Verification Matrix (Ecosystem Partners)</x:v>
      </x:c>
      <x:c r="D204" s="5" t="n">
        <x:v>275</x:v>
      </x:c>
      <x:c r="E204" s="5" t="n">
        <x:v>275</x:v>
      </x:c>
      <x:c r="F204" s="5" t="str">
        <x:v>heading</x:v>
      </x:c>
      <x:c r="G204" s="5" t="n">
        <x:v>1</x:v>
      </x:c>
      <x:c r="H204" s="5" t="n">
        <x:v>1</x:v>
      </x:c>
      <x:c r="I204" s="5" t="str">
        <x:v>## 8. NATO STANAG Admiralty Protocol Verification Matrix (Ecosystem Partners)</x:v>
      </x:c>
      <x:c r="J204" s="5" t="str">
        <x:v>SOURCE QUOTE; unvalidated / superseded assessments</x:v>
      </x:c>
      <x:c r="L204" s="31" t="str">
        <x:v>D02, Markdown line 275; http://nas-1.tail55d152.ts.net:4100/static/2S_NORDIC_MARKET_PENETRATION_AND_ECOSYSTEM_ACCELERATOR.html</x:v>
      </x:c>
    </x:row>
    <x:row r="205" ht="56" customHeight="1">
      <x:c r="A205" s="5" t="str">
        <x:v>D02</x:v>
      </x:c>
      <x:c r="B205" s="5" t="str">
        <x:v>D02-L0277-1</x:v>
      </x:c>
      <x:c r="C205" s="5" t="str">
        <x:v>8. NATO STANAG Admiralty Protocol Verification Matrix (Ecosystem Partners)</x:v>
      </x:c>
      <x:c r="D205" s="5" t="n">
        <x:v>277</x:v>
      </x:c>
      <x:c r="E205" s="5" t="n">
        <x:v>277</x:v>
      </x:c>
      <x:c r="F205" s="5" t="str">
        <x:v>text</x:v>
      </x:c>
      <x:c r="G205" s="5" t="n">
        <x:v>1</x:v>
      </x:c>
      <x:c r="H205" s="5" t="n">
        <x:v>1</x:v>
      </x:c>
      <x:c r="I205" s="5" t="str">
        <x:v>All ecosystem metrics, science park densities, VC assets, and peer footprints are verified under the **NATO STANAG 2017/2018 Admiralty Protocol** ($\ge \text{B2}$ enforced):</x:v>
      </x:c>
      <x:c r="J205" s="5" t="str">
        <x:v>SOURCE QUOTE; unvalidated / superseded assessments</x:v>
      </x:c>
      <x:c r="L205" s="31" t="str">
        <x:v>D02, Markdown line 277; http://nas-1.tail55d152.ts.net:4100/static/2S_NORDIC_MARKET_PENETRATION_AND_ECOSYSTEM_ACCELERATOR.html</x:v>
      </x:c>
    </x:row>
    <x:row r="206" ht="56" customHeight="1">
      <x:c r="A206" s="5" t="str">
        <x:v>D02</x:v>
      </x:c>
      <x:c r="B206" s="5" t="str">
        <x:v>D02-L0294-1</x:v>
      </x:c>
      <x:c r="C206" s="5" t="str">
        <x:v>8. NATO STANAG Admiralty Protocol Verification Matrix (Ecosystem Partners)</x:v>
      </x:c>
      <x:c r="D206" s="5" t="n">
        <x:v>294</x:v>
      </x:c>
      <x:c r="E206" s="5" t="n">
        <x:v>294</x:v>
      </x:c>
      <x:c r="F206" s="5" t="str">
        <x:v>text</x:v>
      </x:c>
      <x:c r="G206" s="5" t="n">
        <x:v>1</x:v>
      </x:c>
      <x:c r="H206" s="5" t="n">
        <x:v>1</x:v>
      </x:c>
      <x:c r="I206" s="5" t="str">
        <x:v>*Admissibility Summary*: 12/12 ecosystem data points meet or exceed Grade B2.</x:v>
      </x:c>
      <x:c r="J206" s="5" t="str">
        <x:v>SOURCE QUOTE; unvalidated / superseded assessments</x:v>
      </x:c>
      <x:c r="L206" s="31" t="str">
        <x:v>D02, Markdown line 294; http://nas-1.tail55d152.ts.net:4100/static/2S_NORDIC_MARKET_PENETRATION_AND_ECOSYSTEM_ACCELERATOR.html</x:v>
      </x:c>
    </x:row>
    <x:row r="207" ht="42" customHeight="1">
      <x:c r="A207" s="5" t="str">
        <x:v>D02</x:v>
      </x:c>
      <x:c r="B207" s="5" t="str">
        <x:v>D02-L0298-1</x:v>
      </x:c>
      <x:c r="C207" s="5" t="str">
        <x:v>9. Devil's Advocate &amp; Tenth Man Counter-Case (Alliance Risk Mitigation)</x:v>
      </x:c>
      <x:c r="D207" s="5" t="n">
        <x:v>298</x:v>
      </x:c>
      <x:c r="E207" s="5" t="n">
        <x:v>298</x:v>
      </x:c>
      <x:c r="F207" s="5" t="str">
        <x:v>heading</x:v>
      </x:c>
      <x:c r="G207" s="5" t="n">
        <x:v>1</x:v>
      </x:c>
      <x:c r="H207" s="5" t="n">
        <x:v>1</x:v>
      </x:c>
      <x:c r="I207" s="5" t="str">
        <x:v>## 9. Devil's Advocate &amp; Tenth Man Counter-Case (Alliance Risk Mitigation)</x:v>
      </x:c>
      <x:c r="J207" s="5" t="str">
        <x:v>SOURCE QUOTE; unvalidated / superseded assessments</x:v>
      </x:c>
      <x:c r="L207" s="31" t="str">
        <x:v>D02, Markdown line 298; http://nas-1.tail55d152.ts.net:4100/static/2S_NORDIC_MARKET_PENETRATION_AND_ECOSYSTEM_ACCELERATOR.html</x:v>
      </x:c>
    </x:row>
    <x:row r="208" ht="42" customHeight="1">
      <x:c r="A208" s="5" t="str">
        <x:v>D02</x:v>
      </x:c>
      <x:c r="B208" s="5" t="str">
        <x:v>D02-L0300-1</x:v>
      </x:c>
      <x:c r="C208" s="5" t="str">
        <x:v>9. Devil's Advocate &amp; Tenth Man Counter-Case (Alliance Risk Mitigation)</x:v>
      </x:c>
      <x:c r="D208" s="5" t="n">
        <x:v>300</x:v>
      </x:c>
      <x:c r="E208" s="5" t="n">
        <x:v>300</x:v>
      </x:c>
      <x:c r="F208" s="5" t="str">
        <x:v>text</x:v>
      </x:c>
      <x:c r="G208" s="5" t="n">
        <x:v>1</x:v>
      </x:c>
      <x:c r="H208" s="5" t="n">
        <x:v>1</x:v>
      </x:c>
      <x:c r="I208" s="5" t="str">
        <x:v>Applying `SC-AVP-005` and UOS `INV-JRN-04`, we conduct a **Tenth Man adversarial cross-examination** of the Co-Opetition and Ecosystem Acceleration model:</x:v>
      </x:c>
      <x:c r="J208" s="5" t="str">
        <x:v>SOURCE QUOTE; unvalidated / superseded assessments</x:v>
      </x:c>
      <x:c r="L208" s="31" t="str">
        <x:v>D02, Markdown line 300; http://nas-1.tail55d152.ts.net:4100/static/2S_NORDIC_MARKET_PENETRATION_AND_ECOSYSTEM_ACCELERATOR.html</x:v>
      </x:c>
    </x:row>
    <x:row r="209" ht="42" customHeight="1">
      <x:c r="A209" s="5" t="str">
        <x:v>D02</x:v>
      </x:c>
      <x:c r="B209" s="5" t="str">
        <x:v>D02-L0302-1</x:v>
      </x:c>
      <x:c r="C209" s="5" t="str">
        <x:v>9.1 The Adversarial Counter-Cases</x:v>
      </x:c>
      <x:c r="D209" s="5" t="n">
        <x:v>302</x:v>
      </x:c>
      <x:c r="E209" s="5" t="n">
        <x:v>302</x:v>
      </x:c>
      <x:c r="F209" s="5" t="str">
        <x:v>heading</x:v>
      </x:c>
      <x:c r="G209" s="5" t="n">
        <x:v>1</x:v>
      </x:c>
      <x:c r="H209" s="5" t="n">
        <x:v>1</x:v>
      </x:c>
      <x:c r="I209" s="5" t="str">
        <x:v>### 9.1 The Adversarial Counter-Cases</x:v>
      </x:c>
      <x:c r="J209" s="5" t="str">
        <x:v>SOURCE QUOTE; unvalidated / superseded assessments</x:v>
      </x:c>
      <x:c r="L209" s="31" t="str">
        <x:v>D02, Markdown line 302; http://nas-1.tail55d152.ts.net:4100/static/2S_NORDIC_MARKET_PENETRATION_AND_ECOSYSTEM_ACCELERATOR.html</x:v>
      </x:c>
    </x:row>
    <x:row r="210" ht="126" customHeight="1">
      <x:c r="A210" s="5" t="str">
        <x:v>D02</x:v>
      </x:c>
      <x:c r="B210" s="5" t="str">
        <x:v>D02-L0303-1</x:v>
      </x:c>
      <x:c r="C210" s="5" t="str">
        <x:v>9.1 The Adversarial Counter-Cases</x:v>
      </x:c>
      <x:c r="D210" s="5" t="n">
        <x:v>303</x:v>
      </x:c>
      <x:c r="E210" s="5" t="n">
        <x:v>305</x:v>
      </x:c>
      <x:c r="F210" s="5" t="str">
        <x:v>text</x:v>
      </x:c>
      <x:c r="G210" s="5" t="n">
        <x:v>1</x:v>
      </x:c>
      <x:c r="H210" s="5" t="n">
        <x:v>1</x:v>
      </x:c>
      <x:c r="I210" s="5" t="str">
        <x:v>1. **Adversarial Vector 1: Lead Consultancy Margin Squeeze**
   * *The Counter-Case*: Large engineering consultancies (Semcon, Knightec) possess massive procurement leverage. If they subcontract, they will demand exorbitant fee markups (e.g. 40%), reducing effective billing rates to an unsustainable level.
   * *Systemic TPS Countermeasure*: We contract through **Bountytek AB** on **fixed-deliverable packages** (e.g., €35,000 for a 90-Day Audit-Ready sprint). Because Numantra's HCare360 NLP platform automates 60% of literature synthesis, gross margins remain $&gt;75\%$ regardless of the lead partner's client markup.</x:v>
      </x:c>
      <x:c r="J210" s="5" t="str">
        <x:v>SOURCE QUOTE; unvalidated / superseded assessments</x:v>
      </x:c>
      <x:c r="L210" s="31" t="str">
        <x:v>D02, Markdown line 303; http://nas-1.tail55d152.ts.net:4100/static/2S_NORDIC_MARKET_PENETRATION_AND_ECOSYSTEM_ACCELERATOR.html</x:v>
      </x:c>
    </x:row>
    <x:row r="211" ht="140" customHeight="1">
      <x:c r="A211" s="5" t="str">
        <x:v>D02</x:v>
      </x:c>
      <x:c r="B211" s="5" t="str">
        <x:v>D02-L0307-1</x:v>
      </x:c>
      <x:c r="C211" s="5" t="str">
        <x:v>9.1 The Adversarial Counter-Cases</x:v>
      </x:c>
      <x:c r="D211" s="5" t="n">
        <x:v>307</x:v>
      </x:c>
      <x:c r="E211" s="5" t="n">
        <x:v>309</x:v>
      </x:c>
      <x:c r="F211" s="5" t="str">
        <x:v>text</x:v>
      </x:c>
      <x:c r="G211" s="5" t="n">
        <x:v>1</x:v>
      </x:c>
      <x:c r="H211" s="5" t="n">
        <x:v>1</x:v>
      </x:c>
      <x:c r="I211" s="5" t="str">
        <x:v>2. **Adversarial Vector 2: Innovation Cluster "Echo Chamber" Dilemma**
   * *The Counter-Case*: Science parks and incubators are crowded with pre-revenue startups with near-zero budgets (&lt;€10k), while large enterprise accounts (AstraZeneca, Getinge) operate in insulated corporate campuses that ignore science park events.
   * *Systemic TPS Countermeasure*: Science park masterclasses are strictly utilized as **lead generation for venture-backed Series A/B firms funded by HealthCap and Industrifonden**. Startups pay via VC technical assistance budgets, while large corporate sponsors (e.g., AstraZeneca at GoCo) attend masterclasses to discover innovative vendor capabilities.</x:v>
      </x:c>
      <x:c r="J211" s="5" t="str">
        <x:v>SOURCE QUOTE; unvalidated / superseded assessments</x:v>
      </x:c>
      <x:c r="L211" s="31" t="str">
        <x:v>D02, Markdown line 307; http://nas-1.tail55d152.ts.net:4100/static/2S_NORDIC_MARKET_PENETRATION_AND_ECOSYSTEM_ACCELERATOR.html</x:v>
      </x:c>
    </x:row>
    <x:row r="212" ht="112" customHeight="1">
      <x:c r="A212" s="5" t="str">
        <x:v>D02</x:v>
      </x:c>
      <x:c r="B212" s="5" t="str">
        <x:v>D02-L0311-1</x:v>
      </x:c>
      <x:c r="C212" s="5" t="str">
        <x:v>9.1 The Adversarial Counter-Cases</x:v>
      </x:c>
      <x:c r="D212" s="5" t="n">
        <x:v>311</x:v>
      </x:c>
      <x:c r="E212" s="5" t="n">
        <x:v>313</x:v>
      </x:c>
      <x:c r="F212" s="5" t="str">
        <x:v>text</x:v>
      </x:c>
      <x:c r="G212" s="5" t="n">
        <x:v>1</x:v>
      </x:c>
      <x:c r="H212" s="5" t="n">
        <x:v>1</x:v>
      </x:c>
      <x:c r="I212" s="5" t="str">
        <x:v>3. **Adversarial Vector 3: Foreign Vendor Procurement Friction**
   * *The Counter-Case*: Nordic hospital regions (Region Stockholm, Västra Götaland, Region Skåne) drag out foreign vendor onboarding for 6–12 months, stalling commercial deals.
   * *Systemic TPS Countermeasure*: **Bountytek AB is a domestic Swedish company** with active Bolagsverket registration, F-skatt, and Swedish bank accounts, allowing instant direct contracting under local procurement laws.</x:v>
      </x:c>
      <x:c r="J212" s="5" t="str">
        <x:v>SOURCE QUOTE; unvalidated / superseded assessments</x:v>
      </x:c>
      <x:c r="L212" s="31" t="str">
        <x:v>D02, Markdown line 311; http://nas-1.tail55d152.ts.net:4100/static/2S_NORDIC_MARKET_PENETRATION_AND_ECOSYSTEM_ACCELERATOR.html</x:v>
      </x:c>
    </x:row>
    <x:row r="213" ht="42" customHeight="1">
      <x:c r="A213" s="5" t="str">
        <x:v>D02</x:v>
      </x:c>
      <x:c r="B213" s="5" t="str">
        <x:v>D02-L0315-1</x:v>
      </x:c>
      <x:c r="C213" s="5" t="str">
        <x:v>9.2 Pre-Mortem Falsification Horizon</x:v>
      </x:c>
      <x:c r="D213" s="5" t="n">
        <x:v>315</x:v>
      </x:c>
      <x:c r="E213" s="5" t="n">
        <x:v>315</x:v>
      </x:c>
      <x:c r="F213" s="5" t="str">
        <x:v>heading</x:v>
      </x:c>
      <x:c r="G213" s="5" t="n">
        <x:v>1</x:v>
      </x:c>
      <x:c r="H213" s="5" t="n">
        <x:v>1</x:v>
      </x:c>
      <x:c r="I213" s="5" t="str">
        <x:v>### 9.2 Pre-Mortem Falsification Horizon</x:v>
      </x:c>
      <x:c r="J213" s="5" t="str">
        <x:v>SOURCE QUOTE; unvalidated / superseded assessments</x:v>
      </x:c>
      <x:c r="L213" s="31" t="str">
        <x:v>D02, Markdown line 315; http://nas-1.tail55d152.ts.net:4100/static/2S_NORDIC_MARKET_PENETRATION_AND_ECOSYSTEM_ACCELERATOR.html</x:v>
      </x:c>
    </x:row>
    <x:row r="214" ht="126" customHeight="1">
      <x:c r="A214" s="5" t="str">
        <x:v>D02</x:v>
      </x:c>
      <x:c r="B214" s="5" t="str">
        <x:v>D02-L0316-1</x:v>
      </x:c>
      <x:c r="C214" s="5" t="str">
        <x:v>9.2 Pre-Mortem Falsification Horizon</x:v>
      </x:c>
      <x:c r="D214" s="5" t="n">
        <x:v>316</x:v>
      </x:c>
      <x:c r="E214" s="5" t="n">
        <x:v>317</x:v>
      </x:c>
      <x:c r="F214" s="5" t="str">
        <x:v>text</x:v>
      </x:c>
      <x:c r="G214" s="5" t="n">
        <x:v>1</x:v>
      </x:c>
      <x:c r="H214" s="5" t="n">
        <x:v>1</x:v>
      </x:c>
      <x:c r="I214" s="5" t="str">
        <x:v>* **Killing Cause Assumption**: *The alliance model failed because Semcon partner managers viewed 2S as a competitive threat and refused to introduce 2S to their anchor accounts.*
* **Preventative Operational Rule**: Partner agreements MUST establish an explicit **Non-Compete &amp; Account Protection Covenant**: Bountytek AB and 2S contractually guarantee they will never solicit mechanical hardware or industrial design business from the lead partner's accounts, cementing them strictly as complementary software, algorithmic, and clinical allies.</x:v>
      </x:c>
      <x:c r="J214" s="5" t="str">
        <x:v>SOURCE QUOTE; unvalidated / superseded assessments</x:v>
      </x:c>
      <x:c r="L214" s="31" t="str">
        <x:v>D02, Markdown line 316; http://nas-1.tail55d152.ts.net:4100/static/2S_NORDIC_MARKET_PENETRATION_AND_ECOSYSTEM_ACCELERATOR.html</x:v>
      </x:c>
    </x:row>
    <x:row r="215" ht="42" customHeight="1">
      <x:c r="A215" s="5" t="str">
        <x:v>D02</x:v>
      </x:c>
      <x:c r="B215" s="5" t="str">
        <x:v>D02-L0320-1</x:v>
      </x:c>
      <x:c r="C215" s="5" t="str">
        <x:v>9.2 Pre-Mortem Falsification Horizon</x:v>
      </x:c>
      <x:c r="D215" s="5" t="n">
        <x:v>320</x:v>
      </x:c>
      <x:c r="E215" s="5" t="n">
        <x:v>320</x:v>
      </x:c>
      <x:c r="F215" s="5" t="str">
        <x:v>text</x:v>
      </x:c>
      <x:c r="G215" s="5" t="n">
        <x:v>1</x:v>
      </x:c>
      <x:c r="H215" s="5" t="n">
        <x:v>1</x:v>
      </x:c>
      <x:c r="I215" s="5" t="str">
        <x:v>*Governed by L0-codex-gpt-6-astra Sovereign Architecture • C3I &amp; UOS Mesh Operational Document*</x:v>
      </x:c>
      <x:c r="J215" s="5" t="str">
        <x:v>SOURCE QUOTE; unvalidated / superseded assessments</x:v>
      </x:c>
      <x:c r="L215" s="31" t="str">
        <x:v>D02, Markdown line 320; http://nas-1.tail55d152.ts.net:4100/static/2S_NORDIC_MARKET_PENETRATION_AND_ECOSYSTEM_ACCELERATOR.html</x:v>
      </x:c>
    </x:row>
    <x:row r="216" ht="84" customHeight="1">
      <x:c r="A216" s="5" t="str">
        <x:v>D03</x:v>
      </x:c>
      <x:c r="B216" s="5" t="str">
        <x:v>D03-L0001-1</x:v>
      </x:c>
      <x:c r="C216" s="5" t="str">
        <x:v>Document preamble</x:v>
      </x:c>
      <x:c r="D216" s="5" t="n">
        <x:v>1</x:v>
      </x:c>
      <x:c r="E216" s="5" t="n">
        <x:v>1</x:v>
      </x:c>
      <x:c r="F216" s="5" t="str">
        <x:v>text</x:v>
      </x:c>
      <x:c r="G216" s="5" t="n">
        <x:v>1</x:v>
      </x:c>
      <x:c r="H216" s="5" t="n">
        <x:v>1</x:v>
      </x:c>
      <x:c r="I216"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216" s="5" t="str">
        <x:v>SOURCE QUOTE; unvalidated / superseded assessments</x:v>
      </x:c>
      <x:c r="L216" s="31" t="str">
        <x:v>D03, Markdown line 1; http://nas-1.tail55d152.ts.net:4100/static/2S_NORDIC_OUTREACH_PRESENTATION.html</x:v>
      </x:c>
    </x:row>
    <x:row r="217" ht="56" customHeight="1">
      <x:c r="A217" s="5" t="str">
        <x:v>D03</x:v>
      </x:c>
      <x:c r="B217" s="5" t="str">
        <x:v>D03-L0003-1</x:v>
      </x:c>
      <x:c r="C217" s="5" t="str">
        <x:v>Bountytek AB • 2S Consulting &amp; Numantra Technologies — Dual-Track Nordic Life Sciences Outreach Presentation</x:v>
      </x:c>
      <x:c r="D217" s="5" t="n">
        <x:v>3</x:v>
      </x:c>
      <x:c r="E217" s="5" t="n">
        <x:v>3</x:v>
      </x:c>
      <x:c r="F217" s="5" t="str">
        <x:v>heading</x:v>
      </x:c>
      <x:c r="G217" s="5" t="n">
        <x:v>1</x:v>
      </x:c>
      <x:c r="H217" s="5" t="n">
        <x:v>1</x:v>
      </x:c>
      <x:c r="I217" s="5" t="str">
        <x:v># Bountytek AB • 2S Consulting &amp; Numantra Technologies — Dual-Track Nordic Life Sciences Outreach Presentation</x:v>
      </x:c>
      <x:c r="J217" s="5" t="str">
        <x:v>SOURCE QUOTE; unvalidated / superseded assessments</x:v>
      </x:c>
      <x:c r="L217" s="31" t="str">
        <x:v>D03, Markdown line 3; http://nas-1.tail55d152.ts.net:4100/static/2S_NORDIC_OUTREACH_PRESENTATION.html</x:v>
      </x:c>
    </x:row>
    <x:row r="218" ht="126" customHeight="1">
      <x:c r="A218" s="5" t="str">
        <x:v>D03</x:v>
      </x:c>
      <x:c r="B218" s="5" t="str">
        <x:v>D03-L0005-1</x:v>
      </x:c>
      <x:c r="C218" s="5" t="str">
        <x:v>Bountytek AB • 2S Consulting &amp; Numantra Technologies — Dual-Track Nordic Life Sciences Outreach Presentation</x:v>
      </x:c>
      <x:c r="D218" s="5" t="n">
        <x:v>5</x:v>
      </x:c>
      <x:c r="E218" s="5" t="n">
        <x:v>8</x:v>
      </x:c>
      <x:c r="F218" s="5" t="str">
        <x:v>text</x:v>
      </x:c>
      <x:c r="G218" s="5" t="n">
        <x:v>1</x:v>
      </x:c>
      <x:c r="H218" s="5" t="n">
        <x:v>1</x:v>
      </x:c>
      <x:c r="I218" s="5" t="str">
        <x:v>**Executive Slide Deck &amp; Strategic Commercial Narrative**  
*Governed by L0-codex-gpt-6-astra Sovereign Architecture • Mesh Node: `nas-1.tail55d152.ts.net:4100`*  
*Exclusive Nordic Commercial Agent: Bountytek AB (Sweden) • Principals: [2S Consulting](https://www.2sconsulting.com/) &amp; [Numantra Technologies](https://www.numantratech.ai/)*  
*Timestamp: 2026-09-28 • Interactive Slide Deck: [2S_NORDIC_OUTREACH_PRESENTATION.html](http://nas-1.tail55d152.ts.net:4100/static/2S_NORDIC_OUTREACH_PRESENTATION.html)*</x:v>
      </x:c>
      <x:c r="J218" s="5" t="str">
        <x:v>SOURCE QUOTE; unvalidated / superseded assessments</x:v>
      </x:c>
      <x:c r="L218" s="31" t="str">
        <x:v>D03, Markdown line 5; http://nas-1.tail55d152.ts.net:4100/static/2S_NORDIC_OUTREACH_PRESENTATION.html</x:v>
      </x:c>
    </x:row>
    <x:row r="219" ht="42" customHeight="1">
      <x:c r="A219" s="5" t="str">
        <x:v>D03</x:v>
      </x:c>
      <x:c r="B219" s="5" t="str">
        <x:v>D03-L0012-1</x:v>
      </x:c>
      <x:c r="C219" s="5" t="str">
        <x:v>Slide 1: Title &amp; Executive Mandate</x:v>
      </x:c>
      <x:c r="D219" s="5" t="n">
        <x:v>12</x:v>
      </x:c>
      <x:c r="E219" s="5" t="n">
        <x:v>12</x:v>
      </x:c>
      <x:c r="F219" s="5" t="str">
        <x:v>heading</x:v>
      </x:c>
      <x:c r="G219" s="5" t="n">
        <x:v>1</x:v>
      </x:c>
      <x:c r="H219" s="5" t="n">
        <x:v>1</x:v>
      </x:c>
      <x:c r="I219" s="5" t="str">
        <x:v>## Slide 1: Title &amp; Executive Mandate</x:v>
      </x:c>
      <x:c r="J219" s="5" t="str">
        <x:v>SOURCE QUOTE; unvalidated / superseded assessments</x:v>
      </x:c>
      <x:c r="L219" s="31" t="str">
        <x:v>D03, Markdown line 12; http://nas-1.tail55d152.ts.net:4100/static/2S_NORDIC_OUTREACH_PRESENTATION.html</x:v>
      </x:c>
    </x:row>
    <x:row r="220" ht="280" customHeight="1">
      <x:c r="A220" s="5" t="str">
        <x:v>D03</x:v>
      </x:c>
      <x:c r="B220" s="5" t="str">
        <x:v>D03-L0013-1</x:v>
      </x:c>
      <x:c r="C220" s="5" t="str">
        <x:v>Slide 1: Title &amp; Executive Mandate</x:v>
      </x:c>
      <x:c r="D220" s="5" t="n">
        <x:v>13</x:v>
      </x:c>
      <x:c r="E220" s="5" t="n">
        <x:v>25</x:v>
      </x:c>
      <x:c r="F220" s="5" t="str">
        <x:v>text</x:v>
      </x:c>
      <x:c r="G220" s="5" t="n">
        <x:v>1</x:v>
      </x:c>
      <x:c r="H220" s="5" t="n">
        <x:v>1</x:v>
      </x:c>
      <x:c r="I220" s="5" t="str">
        <x:v>- **Title**: Bountytek AB • 2S Consulting &amp; Numantra Technologies
- **Subtitle**: Dual-Track Nordic Life Sciences Commercial Penetration Blueprint (MedTech, Biopharma &amp; Chemical CDMOs)
- **Commercial Agent**: **Bountytek AB** (Sweden — Domestic Swedish Prime Contractor, Bolagsverket &amp; F-skatt)
- **Represented Principals**:
  - **2S Consulting** ([https://www.2sconsulting.com/](https://www.2sconsulting.com/)) — Strategic Life Sciences &amp; Chemical Advisory
  - **Numantra Technologies** ([https://www.numantratech.ai/](https://www.numantratech.ai/)) — Deep-Tech Healthcare Cognitive Platform &amp; Sovereign Cloud
- **Core Summary**: An authoritative, data-driven go-to-market architecture rationalizing 135 Nordic medical and biopharma facilities into actionable, high-conversion commercial accounts across two complementary tracks fronted by Bountytek AB.
- **Key Metrics**:
  - 135 Facilities Rationalized (127 Unique Corporate Entities)
  - €500K+ 90-Day Target Pipeline
  - 6 High-Impact Entry Wedges (&lt;€35,000 / ~SEK 400,000 Entry Threshold)
  - 20 Enterprise Target Battlecards (8 MedTech + 12 Pharma/Chemical)
  - 5 Nordic Innovation Clusters Infiltrated</x:v>
      </x:c>
      <x:c r="J220" s="5" t="str">
        <x:v>SOURCE QUOTE; unvalidated / superseded assessments</x:v>
      </x:c>
      <x:c r="L220" s="31" t="str">
        <x:v>D03, Markdown line 13; http://nas-1.tail55d152.ts.net:4100/static/2S_NORDIC_OUTREACH_PRESENTATION.html</x:v>
      </x:c>
    </x:row>
    <x:row r="221" ht="42" customHeight="1">
      <x:c r="A221" s="5" t="str">
        <x:v>D03</x:v>
      </x:c>
      <x:c r="B221" s="5" t="str">
        <x:v>D03-L0029-1</x:v>
      </x:c>
      <x:c r="C221" s="5" t="str">
        <x:v>Slide 2: The Nordic Life Sciences Market Paradox</x:v>
      </x:c>
      <x:c r="D221" s="5" t="n">
        <x:v>29</x:v>
      </x:c>
      <x:c r="E221" s="5" t="n">
        <x:v>29</x:v>
      </x:c>
      <x:c r="F221" s="5" t="str">
        <x:v>heading</x:v>
      </x:c>
      <x:c r="G221" s="5" t="n">
        <x:v>1</x:v>
      </x:c>
      <x:c r="H221" s="5" t="n">
        <x:v>1</x:v>
      </x:c>
      <x:c r="I221" s="5" t="str">
        <x:v>## Slide 2: The Nordic Life Sciences Market Paradox</x:v>
      </x:c>
      <x:c r="J221" s="5" t="str">
        <x:v>SOURCE QUOTE; unvalidated / superseded assessments</x:v>
      </x:c>
      <x:c r="L221" s="31" t="str">
        <x:v>D03, Markdown line 29; http://nas-1.tail55d152.ts.net:4100/static/2S_NORDIC_OUTREACH_PRESENTATION.html</x:v>
      </x:c>
    </x:row>
    <x:row r="222" ht="210" customHeight="1">
      <x:c r="A222" s="5" t="str">
        <x:v>D03</x:v>
      </x:c>
      <x:c r="B222" s="5" t="str">
        <x:v>D03-L0030-1</x:v>
      </x:c>
      <x:c r="C222" s="5" t="str">
        <x:v>Slide 2: The Nordic Life Sciences Market Paradox</x:v>
      </x:c>
      <x:c r="D222" s="5" t="n">
        <x:v>30</x:v>
      </x:c>
      <x:c r="E222" s="5" t="n">
        <x:v>37</x:v>
      </x:c>
      <x:c r="F222" s="5" t="str">
        <x:v>text</x:v>
      </x:c>
      <x:c r="G222" s="5" t="n">
        <x:v>1</x:v>
      </x:c>
      <x:c r="H222" s="5" t="n">
        <x:v>1</x:v>
      </x:c>
      <x:c r="I222" s="5" t="str">
        <x:v>- **The Core Tension**: World-class Scandinavian engineering and clinical innovation colliding with severe commercial margin compression and regulatory friction.
- **Track A Friction (MedTech &amp; SaMD)**:
  1. *Hardware Margin Commoditization*: Hospital procurement caps limit capex budgets, driving hardware gross margins down from 65% to under 28%.
  2. *Notified Body Bottlenecks*: 18-24 month review queues for EU MDR 2017/745 recertification and impending EU AI Act Annex I/III conformity audits.
- **Track B Friction (Pharma &amp; Chemicals §6.1)**:
  1. *Commercial GTN Leakage*: Fragmented ERP data and uncoordinated secondary stockist (Tamro/Oriola) data cause 3-5% gross-to-net leakage in public hospital tenders.
  2. *Clinical Cash-Burn*: Nordic clinical trials burning €25,000/day while patient screening stalls in university clinics.
  3. *API Margin Erosion*: Escalating cleanroom sanitization changeover costs and Asian competition squeezing European fine chemical margins.</x:v>
      </x:c>
      <x:c r="J222" s="5" t="str">
        <x:v>SOURCE QUOTE; unvalidated / superseded assessments</x:v>
      </x:c>
      <x:c r="L222" s="31" t="str">
        <x:v>D03, Markdown line 30; http://nas-1.tail55d152.ts.net:4100/static/2S_NORDIC_OUTREACH_PRESENTATION.html</x:v>
      </x:c>
    </x:row>
    <x:row r="223" ht="42" customHeight="1">
      <x:c r="A223" s="5" t="str">
        <x:v>D03</x:v>
      </x:c>
      <x:c r="B223" s="5" t="str">
        <x:v>D03-L0041-1</x:v>
      </x:c>
      <x:c r="C223" s="5" t="str">
        <x:v>Slide 3: Dual-Track Account Prioritization Matrix</x:v>
      </x:c>
      <x:c r="D223" s="5" t="n">
        <x:v>41</x:v>
      </x:c>
      <x:c r="E223" s="5" t="n">
        <x:v>41</x:v>
      </x:c>
      <x:c r="F223" s="5" t="str">
        <x:v>heading</x:v>
      </x:c>
      <x:c r="G223" s="5" t="n">
        <x:v>1</x:v>
      </x:c>
      <x:c r="H223" s="5" t="n">
        <x:v>1</x:v>
      </x:c>
      <x:c r="I223" s="5" t="str">
        <x:v>## Slide 3: Dual-Track Account Prioritization Matrix</x:v>
      </x:c>
      <x:c r="J223" s="5" t="str">
        <x:v>SOURCE QUOTE; unvalidated / superseded assessments</x:v>
      </x:c>
      <x:c r="L223" s="31" t="str">
        <x:v>D03, Markdown line 41; http://nas-1.tail55d152.ts.net:4100/static/2S_NORDIC_OUTREACH_PRESENTATION.html</x:v>
      </x:c>
    </x:row>
    <x:row r="224" ht="238" customHeight="1">
      <x:c r="A224" s="5" t="str">
        <x:v>D03</x:v>
      </x:c>
      <x:c r="B224" s="5" t="str">
        <x:v>D03-L0042-1</x:v>
      </x:c>
      <x:c r="C224" s="5" t="str">
        <x:v>Slide 3: Dual-Track Account Prioritization Matrix</x:v>
      </x:c>
      <x:c r="D224" s="5" t="n">
        <x:v>42</x:v>
      </x:c>
      <x:c r="E224" s="5" t="n">
        <x:v>49</x:v>
      </x:c>
      <x:c r="F224" s="5" t="str">
        <x:v>text</x:v>
      </x:c>
      <x:c r="G224" s="5" t="n">
        <x:v>1</x:v>
      </x:c>
      <x:c r="H224" s="5" t="n">
        <x:v>2</x:v>
      </x:c>
      <x:c r="I224" s="5" t="str">
        <x:v>Derived from `Medical-Nordics-1.xlsx` and Nordic industry registries:
- **Track A: MedTech &amp; Connected SaMD Titans**:
  - *Tier 1 Global Anchors*: Getinge AB (€2.8B), Elekta AB (€1.6B), Vitrolife AB (€310M), Sectra AB (€235M). Focus: Enterprise DaaS transformation, AI Act Annex III technical file audits, and hospital HEOR economic calculators.
  - *Tier 2 Mid-Cap Innovators*: RaySearch Labs (€92M), Bactiguard AB (€22M), Mentice AB (€21M), AMRA Medical. Focus: Rapid 90-Day "Audit-Ready" MDR/CER remediation packages and ISO 14971 algorithmic risk governance.
- **Track B: Pharma, Biotech &amp; Chemical CDMOs (§6.1)**:
  - *Tier 1 Specialty Pharma &amp; Biologics Anchors*: Swedish Orphan Biovitrum / Sobi (€1.95B), Novo Nordisk A/S, AstraZeneca Gothenburg Hub, Camurus AB (€150M). Focus: Gross-to-net tender margin defense and clinical milestone burn telemetry.
  - *Tier 2 Chemical CDMOs &amp; API Powerhouses*: Cambrex Karlskoga (€180M), PolyPeptide Group Malmö (€280M), Recipharm (€1.1B), Biotage AB (€165M). Focus: Unimark/Matix cleanroom sanitization turnaround, batch yield diagnostics, and continuous flow engineering.
  - *Tier 3 Clinical Biotechs*: BioInvent, Alligator Bioscience, Hansa Biopharma,</x:v>
      </x:c>
      <x:c r="J224" s="5" t="str">
        <x:v>SOURCE QUOTE; unvalidated / superseded assessments</x:v>
      </x:c>
      <x:c r="L224" s="31" t="str">
        <x:v>D03, Markdown line 42; http://nas-1.tail55d152.ts.net:4100/static/2S_NORDIC_OUTREACH_PRESENTATION.html</x:v>
      </x:c>
    </x:row>
    <x:row r="225" ht="42" customHeight="1">
      <x:c r="A225" s="5" t="str">
        <x:v>D03</x:v>
      </x:c>
      <x:c r="B225" s="5" t="str">
        <x:v>D03-L0042-2</x:v>
      </x:c>
      <x:c r="C225" s="5" t="str">
        <x:v>Slide 3: Dual-Track Account Prioritization Matrix</x:v>
      </x:c>
      <x:c r="D225" s="5" t="n">
        <x:v>42</x:v>
      </x:c>
      <x:c r="E225" s="5" t="n">
        <x:v>49</x:v>
      </x:c>
      <x:c r="F225" s="5" t="str">
        <x:v>text</x:v>
      </x:c>
      <x:c r="G225" s="5" t="n">
        <x:v>2</x:v>
      </x:c>
      <x:c r="H225" s="5" t="n">
        <x:v>2</x:v>
      </x:c>
      <x:c r="I225" s="5" t="str">
        <x:v> EQL Pharma. Focus: HCare360 NLP protocol acceleration and clinical trial patient recruitment.</x:v>
      </x:c>
      <x:c r="J225" s="5" t="str">
        <x:v>SOURCE QUOTE; unvalidated / superseded assessments</x:v>
      </x:c>
      <x:c r="L225" s="31" t="str">
        <x:v>D03, Markdown line 42; http://nas-1.tail55d152.ts.net:4100/static/2S_NORDIC_OUTREACH_PRESENTATION.html</x:v>
      </x:c>
    </x:row>
    <x:row r="226" ht="56" customHeight="1">
      <x:c r="A226" s="5" t="str">
        <x:v>D03</x:v>
      </x:c>
      <x:c r="B226" s="5" t="str">
        <x:v>D03-L0053-1</x:v>
      </x:c>
      <x:c r="C226" s="5" t="str">
        <x:v>Slide 4: The 6 High-Impact Entry Wedge Portfolio (&lt;€35,000 / ~SEK 400,000)</x:v>
      </x:c>
      <x:c r="D226" s="5" t="n">
        <x:v>53</x:v>
      </x:c>
      <x:c r="E226" s="5" t="n">
        <x:v>53</x:v>
      </x:c>
      <x:c r="F226" s="5" t="str">
        <x:v>heading</x:v>
      </x:c>
      <x:c r="G226" s="5" t="n">
        <x:v>1</x:v>
      </x:c>
      <x:c r="H226" s="5" t="n">
        <x:v>1</x:v>
      </x:c>
      <x:c r="I226" s="5" t="str">
        <x:v>## Slide 4: The 6 High-Impact Entry Wedge Portfolio (&lt;€35,000 / ~SEK 400,000)</x:v>
      </x:c>
      <x:c r="J226" s="5" t="str">
        <x:v>SOURCE QUOTE; unvalidated / superseded assessments</x:v>
      </x:c>
      <x:c r="L226" s="31" t="str">
        <x:v>D03, Markdown line 53; http://nas-1.tail55d152.ts.net:4100/static/2S_NORDIC_OUTREACH_PRESENTATION.html</x:v>
      </x:c>
    </x:row>
    <x:row r="227" ht="308" customHeight="1">
      <x:c r="A227" s="5" t="str">
        <x:v>D03</x:v>
      </x:c>
      <x:c r="B227" s="5" t="str">
        <x:v>D03-L0054-1</x:v>
      </x:c>
      <x:c r="C227" s="5" t="str">
        <x:v>Slide 4: The 6 High-Impact Entry Wedge Portfolio (&lt;€35,000 / ~SEK 400,000)</x:v>
      </x:c>
      <x:c r="D227" s="5" t="n">
        <x:v>54</x:v>
      </x:c>
      <x:c r="E227" s="5" t="n">
        <x:v>66</x:v>
      </x:c>
      <x:c r="F227" s="5" t="str">
        <x:v>text</x:v>
      </x:c>
      <x:c r="G227" s="5" t="n">
        <x:v>1</x:v>
      </x:c>
      <x:c r="H227" s="5" t="n">
        <x:v>2</x:v>
      </x:c>
      <x:c r="I227" s="5" t="str">
        <x:v>Low-friction, fixed-fee diagnostic sprints invoiced directly by **Bountytek AB** (Sweden) in SEK or EUR, bypassing lengthy procurement RFPs and board approvals:
1. **Wedge 1: 48-Hour MDR / AI Act Technical Gap Scan (€28,000 / SEK 315,000)** (MedTech VP QA/RA)
   - Exhaustive gap audit of GSPR, Clinical Evaluation Reports (CER), and IEC 62304 / MDCG 2019-16 software remediation.
2. **Wedge 2: Hospital CFO DaaS Procurement Calculator (€28,000 / SEK 315,000)** (MedTech CCO / VP Sales)
   - Mathematical HEOR model proving ICU bed-day reduction and shifting capex friction into subscription opex.
3. **Wedge 3: 30-Day API Batch Yield &amp; Changeover Diagnostic (€32,000 / SEK 360,000)** (Chemical Plant Director)
   - Activity-based batch costing, solvent recovery diagnostic, and cleanroom turnaround optimization slashing downtime by 40%.
4. **Wedge 4: Specialty Pharma GTN Tender Leakage Audit (€28,000 / SEK 315,000)** (Pharma Head of Market Access)
   - Unifying primary ERP and stockist data (Tamro/Oriola) to identify gross-to-net leakage and prevent regional penalty clauses.
5. **Wedge 5: Clinical Trial Burn &amp; NLP Patient Screening Sprint (€35,000 / SEK 395,000)** (Pharma/Biotech CMO)
   - M</x:v>
      </x:c>
      <x:c r="J227" s="5" t="str">
        <x:v>SOURCE QUOTE; unvalidated / superseded assessments</x:v>
      </x:c>
      <x:c r="L227" s="31" t="str">
        <x:v>D03, Markdown line 54; http://nas-1.tail55d152.ts.net:4100/static/2S_NORDIC_OUTREACH_PRESENTATION.html</x:v>
      </x:c>
    </x:row>
    <x:row r="228" ht="98" customHeight="1">
      <x:c r="A228" s="5" t="str">
        <x:v>D03</x:v>
      </x:c>
      <x:c r="B228" s="5" t="str">
        <x:v>D03-L0054-2</x:v>
      </x:c>
      <x:c r="C228" s="5" t="str">
        <x:v>Slide 4: The 6 High-Impact Entry Wedge Portfolio (&lt;€35,000 / ~SEK 400,000)</x:v>
      </x:c>
      <x:c r="D228" s="5" t="n">
        <x:v>54</x:v>
      </x:c>
      <x:c r="E228" s="5" t="n">
        <x:v>66</x:v>
      </x:c>
      <x:c r="F228" s="5" t="str">
        <x:v>text</x:v>
      </x:c>
      <x:c r="G228" s="5" t="n">
        <x:v>2</x:v>
      </x:c>
      <x:c r="H228" s="5" t="n">
        <x:v>2</x:v>
      </x:c>
      <x:c r="I228" s="5" t="str">
        <x:v>ultilingual NLP screening of clinical inclusion/exclusion criteria to stop daily €25,000 trial recruitment delays.
6. **Wedge 6: Adversarial Notified Body Audit Simulation (€35,000 / SEK 395,000)** (Cross-Sector VP Quality)
   - Stress-testing compliance documentation against ISO 13485, cGMP Annex 1, and FDA 21 CFR Part 11 before official review.</x:v>
      </x:c>
      <x:c r="J228" s="5" t="str">
        <x:v>SOURCE QUOTE; unvalidated / superseded assessments</x:v>
      </x:c>
      <x:c r="L228" s="31" t="str">
        <x:v>D03, Markdown line 54; http://nas-1.tail55d152.ts.net:4100/static/2S_NORDIC_OUTREACH_PRESENTATION.html</x:v>
      </x:c>
    </x:row>
    <x:row r="229" ht="42" customHeight="1">
      <x:c r="A229" s="5" t="str">
        <x:v>D03</x:v>
      </x:c>
      <x:c r="B229" s="5" t="str">
        <x:v>D03-L0070-1</x:v>
      </x:c>
      <x:c r="C229" s="5" t="str">
        <x:v>Slide 5: Track A Battlecards — Global MedTech Anchors</x:v>
      </x:c>
      <x:c r="D229" s="5" t="n">
        <x:v>70</x:v>
      </x:c>
      <x:c r="E229" s="5" t="n">
        <x:v>70</x:v>
      </x:c>
      <x:c r="F229" s="5" t="str">
        <x:v>heading</x:v>
      </x:c>
      <x:c r="G229" s="5" t="n">
        <x:v>1</x:v>
      </x:c>
      <x:c r="H229" s="5" t="n">
        <x:v>1</x:v>
      </x:c>
      <x:c r="I229" s="5" t="str">
        <x:v>## Slide 5: Track A Battlecards — Global MedTech Anchors</x:v>
      </x:c>
      <x:c r="J229" s="5" t="str">
        <x:v>SOURCE QUOTE; unvalidated / superseded assessments</x:v>
      </x:c>
      <x:c r="L229" s="31" t="str">
        <x:v>D03, Markdown line 70; http://nas-1.tail55d152.ts.net:4100/static/2S_NORDIC_OUTREACH_PRESENTATION.html</x:v>
      </x:c>
    </x:row>
    <x:row r="230" ht="280" customHeight="1">
      <x:c r="A230" s="5" t="str">
        <x:v>D03</x:v>
      </x:c>
      <x:c r="B230" s="5" t="str">
        <x:v>D03-L0071-1</x:v>
      </x:c>
      <x:c r="C230" s="5" t="str">
        <x:v>Slide 5: Track A Battlecards — Global MedTech Anchors</x:v>
      </x:c>
      <x:c r="D230" s="5" t="n">
        <x:v>71</x:v>
      </x:c>
      <x:c r="E230" s="5" t="n">
        <x:v>82</x:v>
      </x:c>
      <x:c r="F230" s="5" t="str">
        <x:v>text</x:v>
      </x:c>
      <x:c r="G230" s="5" t="n">
        <x:v>1</x:v>
      </x:c>
      <x:c r="H230" s="5" t="n">
        <x:v>1</x:v>
      </x:c>
      <x:c r="I230" s="5" t="str">
        <x:v>- **Getinge AB (Gothenburg — €2.8B ARR)**:
  - *Core Offerings*: Servo-u/Servo-air ICU Ventilators, Maquet Surgical Tables, Cardiopulmonary bypass.
  - *Strategic Wedge*: Hospital CFO DaaS Calculator proving €1.2M annual ICU bed-day reduction to regional hospital procurement councils.
- **Elekta AB (Stockholm — €1.6B ARR)**:
  - *Core Offerings*: Leksell Gamma Knife, Elekta Harmony/Versa HD Linear Accelerators, MOSAIQ Oncology EMR.
  - *Strategic Wedge*: EU AI Act Annex III conformity audit and independent algorithmic validation on Numantra's Finnish ISO 27001 sovereign cloud.
- **Vitrolife AB (Gothenburg — €310M ARR)**:
  - *Core Offerings*: Time-lapse embryo monitoring (EmbryoScope+), IVF culture media, cryopreservation.
  - *Strategic Wedge*: AI diagnostic software recertification under MDR Rule 11 and algorithmic bias verification.
- **Sectra AB (Linköping — €235M ARR)**:
  - *Core Offerings*: Enterprise PACS, Digital Pathology AI suite, Sectra One cloud.
  - *Strategic Wedge*: Multi-tenant medical imaging cybersecurity audit per EN 60601-1 and NIS2 critical infrastructure resilience.</x:v>
      </x:c>
      <x:c r="J230" s="5" t="str">
        <x:v>SOURCE QUOTE; unvalidated / superseded assessments</x:v>
      </x:c>
      <x:c r="L230" s="31" t="str">
        <x:v>D03, Markdown line 71; http://nas-1.tail55d152.ts.net:4100/static/2S_NORDIC_OUTREACH_PRESENTATION.html</x:v>
      </x:c>
    </x:row>
    <x:row r="231" ht="42" customHeight="1">
      <x:c r="A231" s="5" t="str">
        <x:v>D03</x:v>
      </x:c>
      <x:c r="B231" s="5" t="str">
        <x:v>D03-L0086-1</x:v>
      </x:c>
      <x:c r="C231" s="5" t="str">
        <x:v>Slide 6: Track A Battlecards — Mid-Cap Innovators</x:v>
      </x:c>
      <x:c r="D231" s="5" t="n">
        <x:v>86</x:v>
      </x:c>
      <x:c r="E231" s="5" t="n">
        <x:v>86</x:v>
      </x:c>
      <x:c r="F231" s="5" t="str">
        <x:v>heading</x:v>
      </x:c>
      <x:c r="G231" s="5" t="n">
        <x:v>1</x:v>
      </x:c>
      <x:c r="H231" s="5" t="n">
        <x:v>1</x:v>
      </x:c>
      <x:c r="I231" s="5" t="str">
        <x:v>## Slide 6: Track A Battlecards — Mid-Cap Innovators</x:v>
      </x:c>
      <x:c r="J231" s="5" t="str">
        <x:v>SOURCE QUOTE; unvalidated / superseded assessments</x:v>
      </x:c>
      <x:c r="L231" s="31" t="str">
        <x:v>D03, Markdown line 86; http://nas-1.tail55d152.ts.net:4100/static/2S_NORDIC_OUTREACH_PRESENTATION.html</x:v>
      </x:c>
    </x:row>
    <x:row r="232" ht="280" customHeight="1">
      <x:c r="A232" s="5" t="str">
        <x:v>D03</x:v>
      </x:c>
      <x:c r="B232" s="5" t="str">
        <x:v>D03-L0087-1</x:v>
      </x:c>
      <x:c r="C232" s="5" t="str">
        <x:v>Slide 6: Track A Battlecards — Mid-Cap Innovators</x:v>
      </x:c>
      <x:c r="D232" s="5" t="n">
        <x:v>87</x:v>
      </x:c>
      <x:c r="E232" s="5" t="n">
        <x:v>98</x:v>
      </x:c>
      <x:c r="F232" s="5" t="str">
        <x:v>text</x:v>
      </x:c>
      <x:c r="G232" s="5" t="n">
        <x:v>1</x:v>
      </x:c>
      <x:c r="H232" s="5" t="n">
        <x:v>1</x:v>
      </x:c>
      <x:c r="I232" s="5" t="str">
        <x:v>- **RaySearch Laboratories (Stockholm — €92M ARR)**:
  - *Core Offerings*: RayStation Treatment Planning System, RayCare OIS, RayIntelligence.
  - *Strategic Wedge*: ISO 14971 software risk governance and automated contouring validation under EU AI Act high-risk classification.
- **Bactiguard AB (Stockholm — €22M ARR)**:
  - *Core Offerings*: BIP noble metal anti-infective coating for Foley catheters and ETTs.
  - *Strategic Wedge*: HEOR health economic dossier rewrite proving hospital-acquired infection (HAI) cost reductions to defend premium reimbursement against generic tenders.
- **Mentice AB (Gothenburg — €21M ARR)**:
  - *Core Offerings*: Endovascular interventional surgical simulators and software.
  - *Strategic Wedge*: Turnkey integration of simulation data into clinical evaluation reports (CERs) for MedTech clients.
- **AMRA Medical (Linköping — Growth Stage)**:
  - *Core Offerings*: MRI-based body composition analysis software (AMRA Researcher/Profiler).
  - *Strategic Wedge*: Global clinical trial data pipeline validation under GCP and FDA 21 CFR Part 11.</x:v>
      </x:c>
      <x:c r="J232" s="5" t="str">
        <x:v>SOURCE QUOTE; unvalidated / superseded assessments</x:v>
      </x:c>
      <x:c r="L232" s="31" t="str">
        <x:v>D03, Markdown line 87; http://nas-1.tail55d152.ts.net:4100/static/2S_NORDIC_OUTREACH_PRESENTATION.html</x:v>
      </x:c>
    </x:row>
    <x:row r="233" ht="42" customHeight="1">
      <x:c r="A233" s="5" t="str">
        <x:v>D03</x:v>
      </x:c>
      <x:c r="B233" s="5" t="str">
        <x:v>D03-L0102-1</x:v>
      </x:c>
      <x:c r="C233" s="5" t="str">
        <x:v>Slide 7: Track B Battlecards — Pharma &amp; Biologics Anchors</x:v>
      </x:c>
      <x:c r="D233" s="5" t="n">
        <x:v>102</x:v>
      </x:c>
      <x:c r="E233" s="5" t="n">
        <x:v>102</x:v>
      </x:c>
      <x:c r="F233" s="5" t="str">
        <x:v>heading</x:v>
      </x:c>
      <x:c r="G233" s="5" t="n">
        <x:v>1</x:v>
      </x:c>
      <x:c r="H233" s="5" t="n">
        <x:v>1</x:v>
      </x:c>
      <x:c r="I233" s="5" t="str">
        <x:v>## Slide 7: Track B Battlecards — Pharma &amp; Biologics Anchors</x:v>
      </x:c>
      <x:c r="J233" s="5" t="str">
        <x:v>SOURCE QUOTE; unvalidated / superseded assessments</x:v>
      </x:c>
      <x:c r="L233" s="31" t="str">
        <x:v>D03, Markdown line 102; http://nas-1.tail55d152.ts.net:4100/static/2S_NORDIC_OUTREACH_PRESENTATION.html</x:v>
      </x:c>
    </x:row>
    <x:row r="234" ht="252" customHeight="1">
      <x:c r="A234" s="5" t="str">
        <x:v>D03</x:v>
      </x:c>
      <x:c r="B234" s="5" t="str">
        <x:v>D03-L0103-1</x:v>
      </x:c>
      <x:c r="C234" s="5" t="str">
        <x:v>Slide 7: Track B Battlecards — Pharma &amp; Biologics Anchors</x:v>
      </x:c>
      <x:c r="D234" s="5" t="n">
        <x:v>103</x:v>
      </x:c>
      <x:c r="E234" s="5" t="n">
        <x:v>114</x:v>
      </x:c>
      <x:c r="F234" s="5" t="str">
        <x:v>text</x:v>
      </x:c>
      <x:c r="G234" s="5" t="n">
        <x:v>1</x:v>
      </x:c>
      <x:c r="H234" s="5" t="n">
        <x:v>1</x:v>
      </x:c>
      <x:c r="I234" s="5" t="str">
        <x:v>- **Swedish Orphan Biovitrum / Sobi (Stockholm — €1.95B ARR)**:
  - *Therapeutic Focus*: Rare diseases, hematology (Elocta, Alprolix), immunology (Kineret, Gamifant).
  - *Strategic Wedge*: Rare disease orphan drug tender margin defense across Nordic single-payer systems and Tamro/Oriola inventory optimization.
- **Novo Nordisk A/S (Copenhagen / Malmö — €32B ARR)**:
  - *Therapeutic Focus*: GLP-1 diabetes and obesity biologics (Ozempic, Wegovy).
  - *Strategic Wedge*: High-speed fill-finish cleanroom changeover optimization and cold-chain distribution telemetry modeling.
- **AstraZeneca (Gothenburg Hub — €42B Global ARR)**:
  - *Therapeutic Focus*: Cardiovascular, renal, metabolism, respiratory, and oncology.
  - *Strategic Wedge*: Early-stage NCE trial productivity monitoring and HCare360 NLP protocol screening in Scandinavian university clinics.
- **Camurus AB (Lund — €150M ARR)**:
  - *Therapeutic Focus*: Long-acting lipid-based depot injectables (Buvidal, CAM2029).
  - *Strategic Wedge*: S&amp;OP integration synchronizing European distribution data with sterile manufacturing campaigns to eliminate stockouts.</x:v>
      </x:c>
      <x:c r="J234" s="5" t="str">
        <x:v>SOURCE QUOTE; unvalidated / superseded assessments</x:v>
      </x:c>
      <x:c r="L234" s="31" t="str">
        <x:v>D03, Markdown line 103; http://nas-1.tail55d152.ts.net:4100/static/2S_NORDIC_OUTREACH_PRESENTATION.html</x:v>
      </x:c>
    </x:row>
    <x:row r="235" ht="42" customHeight="1">
      <x:c r="A235" s="5" t="str">
        <x:v>D03</x:v>
      </x:c>
      <x:c r="B235" s="5" t="str">
        <x:v>D03-L0118-1</x:v>
      </x:c>
      <x:c r="C235" s="5" t="str">
        <x:v>Slide 8: Track B Battlecards — Chemical CDMOs &amp; API Powerhouses</x:v>
      </x:c>
      <x:c r="D235" s="5" t="n">
        <x:v>118</x:v>
      </x:c>
      <x:c r="E235" s="5" t="n">
        <x:v>118</x:v>
      </x:c>
      <x:c r="F235" s="5" t="str">
        <x:v>heading</x:v>
      </x:c>
      <x:c r="G235" s="5" t="n">
        <x:v>1</x:v>
      </x:c>
      <x:c r="H235" s="5" t="n">
        <x:v>1</x:v>
      </x:c>
      <x:c r="I235" s="5" t="str">
        <x:v>## Slide 8: Track B Battlecards — Chemical CDMOs &amp; API Powerhouses</x:v>
      </x:c>
      <x:c r="J235" s="5" t="str">
        <x:v>SOURCE QUOTE; unvalidated / superseded assessments</x:v>
      </x:c>
      <x:c r="L235" s="31" t="str">
        <x:v>D03, Markdown line 118; http://nas-1.tail55d152.ts.net:4100/static/2S_NORDIC_OUTREACH_PRESENTATION.html</x:v>
      </x:c>
    </x:row>
    <x:row r="236" ht="294" customHeight="1">
      <x:c r="A236" s="5" t="str">
        <x:v>D03</x:v>
      </x:c>
      <x:c r="B236" s="5" t="str">
        <x:v>D03-L0119-1</x:v>
      </x:c>
      <x:c r="C236" s="5" t="str">
        <x:v>Slide 8: Track B Battlecards — Chemical CDMOs &amp; API Powerhouses</x:v>
      </x:c>
      <x:c r="D236" s="5" t="n">
        <x:v>119</x:v>
      </x:c>
      <x:c r="E236" s="5" t="n">
        <x:v>130</x:v>
      </x:c>
      <x:c r="F236" s="5" t="str">
        <x:v>text</x:v>
      </x:c>
      <x:c r="G236" s="5" t="n">
        <x:v>1</x:v>
      </x:c>
      <x:c r="H236" s="5" t="n">
        <x:v>1</x:v>
      </x:c>
      <x:c r="I236" s="5" t="str">
        <x:v>- **Cambrex Karlskoga (Karlskoga — €180M ARR)**:
  - *Manufacturing Focus*: High-potency APIs, energetic chemical synthesis, cGMP commercial bulk actives.
  - *Strategic Wedge*: Activity-based batch costing and cleanroom turnaround optimization slashing hazardous reaction changeovers by 40%.
- **PolyPeptide Group (Malmö — €280M ARR)**:
  - *Manufacturing Focus*: Custom therapeutic peptide synthesis (solid-phase and liquid-phase cGMP).
  - *Strategic Wedge*: Advanced solvent recovery analytics (green peptide chemistry) and automated SPPS sequence quality control.
- **Recipharm AB (Stockholm — €1.1B ARR)**:
  - *Manufacturing Focus*: Comprehensive CDMO covering solid dose, sterile injectables, inhalation, and biologics.
  - *Strategic Wedge*: Multi-site OEE benchmarking and cGMP Annex 1 sterile sanitization cycle time compression.
- **Biotage AB (Uppsala — €165M ARR)**:
  - *Manufacturing Focus*: Automated flash purification, peptide synthesis systems, analytical sample prep.
  - *Strategic Wedge*: Value-based commercial positioning shifting analytical hardware to consumable/reagent workflow contracts.</x:v>
      </x:c>
      <x:c r="J236" s="5" t="str">
        <x:v>SOURCE QUOTE; unvalidated / superseded assessments</x:v>
      </x:c>
      <x:c r="L236" s="31" t="str">
        <x:v>D03, Markdown line 119; http://nas-1.tail55d152.ts.net:4100/static/2S_NORDIC_OUTREACH_PRESENTATION.html</x:v>
      </x:c>
    </x:row>
    <x:row r="237" ht="42" customHeight="1">
      <x:c r="A237" s="5" t="str">
        <x:v>D03</x:v>
      </x:c>
      <x:c r="B237" s="5" t="str">
        <x:v>D03-L0134-1</x:v>
      </x:c>
      <x:c r="C237" s="5" t="str">
        <x:v>Slide 9: Pillar 1 — Sales Force Excellence &amp; S&amp;OP</x:v>
      </x:c>
      <x:c r="D237" s="5" t="n">
        <x:v>134</x:v>
      </x:c>
      <x:c r="E237" s="5" t="n">
        <x:v>134</x:v>
      </x:c>
      <x:c r="F237" s="5" t="str">
        <x:v>heading</x:v>
      </x:c>
      <x:c r="G237" s="5" t="n">
        <x:v>1</x:v>
      </x:c>
      <x:c r="H237" s="5" t="n">
        <x:v>1</x:v>
      </x:c>
      <x:c r="I237" s="5" t="str">
        <x:v>## Slide 9: Pillar 1 — Sales Force Excellence &amp; S&amp;OP</x:v>
      </x:c>
      <x:c r="J237" s="5" t="str">
        <x:v>SOURCE QUOTE; unvalidated / superseded assessments</x:v>
      </x:c>
      <x:c r="L237" s="31" t="str">
        <x:v>D03, Markdown line 134; http://nas-1.tail55d152.ts.net:4100/static/2S_NORDIC_OUTREACH_PRESENTATION.html</x:v>
      </x:c>
    </x:row>
    <x:row r="238" ht="168" customHeight="1">
      <x:c r="A238" s="5" t="str">
        <x:v>D03</x:v>
      </x:c>
      <x:c r="B238" s="5" t="str">
        <x:v>D03-L0135-1</x:v>
      </x:c>
      <x:c r="C238" s="5" t="str">
        <x:v>Slide 9: Pillar 1 — Sales Force Excellence &amp; S&amp;OP</x:v>
      </x:c>
      <x:c r="D238" s="5" t="n">
        <x:v>135</x:v>
      </x:c>
      <x:c r="E238" s="5" t="n">
        <x:v>140</x:v>
      </x:c>
      <x:c r="F238" s="5" t="str">
        <x:v>text</x:v>
      </x:c>
      <x:c r="G238" s="5" t="n">
        <x:v>1</x:v>
      </x:c>
      <x:c r="H238" s="5" t="n">
        <x:v>1</x:v>
      </x:c>
      <x:c r="I238" s="5" t="str">
        <x:v>- **The Operational Challenge**: Nordic commercial teams face severe data fragmentation across SAP/Oracle ERP, distributor sales (Tamro/Oriola), and CRM field logs.
- **2S Consulting Enterprise Architecture**:
  1. *Unified Executive Visibility Console*: Harmonizing primary sales with secondary stockist sell-out data into real-time regional demand feeds.
  2. *Gross-to-Net (GTN) Leakage Engine*: Tracking hospital tender discount waterfalls, retrospective rebates, and distributor administration fees.
  3. *Tender Fulfillment Early-Warning*: Automated triggers alerting supply chain 45 days before inventory drops below mandated hospital safety stock.
- **Commercial Impact**: 15% reduction in channel inventory carrying costs and complete elimination of public tender default penalties.</x:v>
      </x:c>
      <x:c r="J238" s="5" t="str">
        <x:v>SOURCE QUOTE; unvalidated / superseded assessments</x:v>
      </x:c>
      <x:c r="L238" s="31" t="str">
        <x:v>D03, Markdown line 135; http://nas-1.tail55d152.ts.net:4100/static/2S_NORDIC_OUTREACH_PRESENTATION.html</x:v>
      </x:c>
    </x:row>
    <x:row r="239" ht="42" customHeight="1">
      <x:c r="A239" s="5" t="str">
        <x:v>D03</x:v>
      </x:c>
      <x:c r="B239" s="5" t="str">
        <x:v>D03-L0144-1</x:v>
      </x:c>
      <x:c r="C239" s="5" t="str">
        <x:v>Slide 10: Pillar 2 — R&amp;D Productivity Monitoring</x:v>
      </x:c>
      <x:c r="D239" s="5" t="n">
        <x:v>144</x:v>
      </x:c>
      <x:c r="E239" s="5" t="n">
        <x:v>144</x:v>
      </x:c>
      <x:c r="F239" s="5" t="str">
        <x:v>heading</x:v>
      </x:c>
      <x:c r="G239" s="5" t="n">
        <x:v>1</x:v>
      </x:c>
      <x:c r="H239" s="5" t="n">
        <x:v>1</x:v>
      </x:c>
      <x:c r="I239" s="5" t="str">
        <x:v>## Slide 10: Pillar 2 — R&amp;D Productivity Monitoring</x:v>
      </x:c>
      <x:c r="J239" s="5" t="str">
        <x:v>SOURCE QUOTE; unvalidated / superseded assessments</x:v>
      </x:c>
      <x:c r="L239" s="31" t="str">
        <x:v>D03, Markdown line 144; http://nas-1.tail55d152.ts.net:4100/static/2S_NORDIC_OUTREACH_PRESENTATION.html</x:v>
      </x:c>
    </x:row>
    <x:row r="240" ht="168" customHeight="1">
      <x:c r="A240" s="5" t="str">
        <x:v>D03</x:v>
      </x:c>
      <x:c r="B240" s="5" t="str">
        <x:v>D03-L0145-1</x:v>
      </x:c>
      <x:c r="C240" s="5" t="str">
        <x:v>Slide 10: Pillar 2 — R&amp;D Productivity Monitoring</x:v>
      </x:c>
      <x:c r="D240" s="5" t="n">
        <x:v>145</x:v>
      </x:c>
      <x:c r="E240" s="5" t="n">
        <x:v>150</x:v>
      </x:c>
      <x:c r="F240" s="5" t="str">
        <x:v>text</x:v>
      </x:c>
      <x:c r="G240" s="5" t="n">
        <x:v>1</x:v>
      </x:c>
      <x:c r="H240" s="5" t="n">
        <x:v>1</x:v>
      </x:c>
      <x:c r="I240" s="5" t="str">
        <x:v>- **The Operational Challenge**: High capital intensity in Nordic biotech with clinical trials burning upwards of €25,000/day during delayed patient recruitment.
- **2S Consulting Enterprise Architecture**:
  1. *NCE Milestone Burn Telemetry*: Real-time tracking of planned vs actual milestone velocity across Preclinical, Phase I, Phase II, and Pivotal Phase III.
  2. *HCare360 NLP Patient Cohort Screening*: Parsing unstructured Scandinavian electronic health records (EHR) against complex protocol inclusion/exclusion criteria.
  3. *Regulatory Technical File Synchronizer*: Automated linking of laboratory analytical data into eCTD Module 3 (Quality/CMC).
- **Commercial Impact**: 2.5 months shaved off clinical recruitment timelines, saving over €1.8M in idle burn for mid-cap biotechs.</x:v>
      </x:c>
      <x:c r="J240" s="5" t="str">
        <x:v>SOURCE QUOTE; unvalidated / superseded assessments</x:v>
      </x:c>
      <x:c r="L240" s="31" t="str">
        <x:v>D03, Markdown line 145; http://nas-1.tail55d152.ts.net:4100/static/2S_NORDIC_OUTREACH_PRESENTATION.html</x:v>
      </x:c>
    </x:row>
    <x:row r="241" ht="42" customHeight="1">
      <x:c r="A241" s="5" t="str">
        <x:v>D03</x:v>
      </x:c>
      <x:c r="B241" s="5" t="str">
        <x:v>D03-L0154-1</x:v>
      </x:c>
      <x:c r="C241" s="5" t="str">
        <x:v>Slide 11: Pillar 3 — API Margin Defense &amp; Cleanroom Turnaround</x:v>
      </x:c>
      <x:c r="D241" s="5" t="n">
        <x:v>154</x:v>
      </x:c>
      <x:c r="E241" s="5" t="n">
        <x:v>154</x:v>
      </x:c>
      <x:c r="F241" s="5" t="str">
        <x:v>heading</x:v>
      </x:c>
      <x:c r="G241" s="5" t="n">
        <x:v>1</x:v>
      </x:c>
      <x:c r="H241" s="5" t="n">
        <x:v>1</x:v>
      </x:c>
      <x:c r="I241" s="5" t="str">
        <x:v>## Slide 11: Pillar 3 — API Margin Defense &amp; Cleanroom Turnaround</x:v>
      </x:c>
      <x:c r="J241" s="5" t="str">
        <x:v>SOURCE QUOTE; unvalidated / superseded assessments</x:v>
      </x:c>
      <x:c r="L241" s="31" t="str">
        <x:v>D03, Markdown line 154; http://nas-1.tail55d152.ts.net:4100/static/2S_NORDIC_OUTREACH_PRESENTATION.html</x:v>
      </x:c>
    </x:row>
    <x:row r="242" ht="168" customHeight="1">
      <x:c r="A242" s="5" t="str">
        <x:v>D03</x:v>
      </x:c>
      <x:c r="B242" s="5" t="str">
        <x:v>D03-L0155-1</x:v>
      </x:c>
      <x:c r="C242" s="5" t="str">
        <x:v>Slide 11: Pillar 3 — API Margin Defense &amp; Cleanroom Turnaround</x:v>
      </x:c>
      <x:c r="D242" s="5" t="n">
        <x:v>155</x:v>
      </x:c>
      <x:c r="E242" s="5" t="n">
        <x:v>160</x:v>
      </x:c>
      <x:c r="F242" s="5" t="str">
        <x:v>text</x:v>
      </x:c>
      <x:c r="G242" s="5" t="n">
        <x:v>1</x:v>
      </x:c>
      <x:c r="H242" s="5" t="n">
        <x:v>1</x:v>
      </x:c>
      <x:c r="I242" s="5" t="str">
        <x:v>- **The Operational Challenge**: Energy costs, raw material inflation, and aggressive Asian competition threatening Nordic active pharmaceutical ingredient (API) margins.
- **2S Consulting Enterprise Architecture**:
  1. *Activity-Based Batch Costing*: True cost attribution across raw materials (KSMs), solvent recovery, reactor residence time, and analytical release testing.
  2. *Unimark/Matix Cleanroom Turnaround*: Standardized sanitization and equipment changeover protocols slashing idle downtime by 40%.
  3. *Continuous Flow Micro-Reactor Engineering*: Transitioning slow batch chemistry into high-yield continuous synthesis for sensitive active molecules.
- **Commercial Impact**: 300 to 500 basis points expansion in gross manufacturing margins and 25% reduction in volatile solvent waste.</x:v>
      </x:c>
      <x:c r="J242" s="5" t="str">
        <x:v>SOURCE QUOTE; unvalidated / superseded assessments</x:v>
      </x:c>
      <x:c r="L242" s="31" t="str">
        <x:v>D03, Markdown line 155; http://nas-1.tail55d152.ts.net:4100/static/2S_NORDIC_OUTREACH_PRESENTATION.html</x:v>
      </x:c>
    </x:row>
    <x:row r="243" ht="42" customHeight="1">
      <x:c r="A243" s="5" t="str">
        <x:v>D03</x:v>
      </x:c>
      <x:c r="B243" s="5" t="str">
        <x:v>D03-L0164-1</x:v>
      </x:c>
      <x:c r="C243" s="5" t="str">
        <x:v>Slide 12: Multi-Touch Persona Outreach Cadences Across 6 Angles</x:v>
      </x:c>
      <x:c r="D243" s="5" t="n">
        <x:v>164</x:v>
      </x:c>
      <x:c r="E243" s="5" t="n">
        <x:v>164</x:v>
      </x:c>
      <x:c r="F243" s="5" t="str">
        <x:v>heading</x:v>
      </x:c>
      <x:c r="G243" s="5" t="n">
        <x:v>1</x:v>
      </x:c>
      <x:c r="H243" s="5" t="n">
        <x:v>1</x:v>
      </x:c>
      <x:c r="I243" s="5" t="str">
        <x:v>## Slide 12: Multi-Touch Persona Outreach Cadences Across 6 Angles</x:v>
      </x:c>
      <x:c r="J243" s="5" t="str">
        <x:v>SOURCE QUOTE; unvalidated / superseded assessments</x:v>
      </x:c>
      <x:c r="L243" s="31" t="str">
        <x:v>D03, Markdown line 164; http://nas-1.tail55d152.ts.net:4100/static/2S_NORDIC_OUTREACH_PRESENTATION.html</x:v>
      </x:c>
    </x:row>
    <x:row r="244" ht="224" customHeight="1">
      <x:c r="A244" s="5" t="str">
        <x:v>D03</x:v>
      </x:c>
      <x:c r="B244" s="5" t="str">
        <x:v>D03-L0165-1</x:v>
      </x:c>
      <x:c r="C244" s="5" t="str">
        <x:v>Slide 12: Multi-Touch Persona Outreach Cadences Across 6 Angles</x:v>
      </x:c>
      <x:c r="D244" s="5" t="n">
        <x:v>165</x:v>
      </x:c>
      <x:c r="E244" s="5" t="n">
        <x:v>171</x:v>
      </x:c>
      <x:c r="F244" s="5" t="str">
        <x:v>text</x:v>
      </x:c>
      <x:c r="G244" s="5" t="n">
        <x:v>1</x:v>
      </x:c>
      <x:c r="H244" s="5" t="n">
        <x:v>1</x:v>
      </x:c>
      <x:c r="I244" s="5" t="str">
        <x:v>Engineered sequences tailored to executive buying committee psychology, signed and fronted by **Bountytek AB** partner leadership:
- **Angle A (MDR Technical File Crisis)**: Target: VP QA/RA • Hook: Notified Body audit capacity crunch • Value: 48-hr GSPR gap diagnostic.
- **Angle B (EU AI Act Governance)**: Target: CTO / Head of AI • Hook: Class IIb/III high-risk AI penalties • Value: Sovereign algorithmic validation preview on Numantra's Finnish ISO cloud.
- **Angle C (Hospital CFO DaaS Model)**: Target: CCO / VP Sales • Hook: Hospital capex freezes • Value: 90-sec interactive ICU bed-day ROI calculator.
- **Angle D (API Margin Defense &amp; Cleanroom)**: Target: VP Manufacturing / Plant Director • Hook: Reactor idle time &amp; solvent inflation • Value: 30-day changeover diagnostic.
- **Angle E (Specialty Pharma S&amp;OP &amp; GTN)**: Target: CCO / Head of Market Access • Hook: Secondary stockist visibility &amp; tender penalties • Value: GTN waterfall leakage review.
- **Angle F (Clinical Trial Cash-Burn)**: Target: CMO / VP Clinical Dev • Hook: €25k/day trial recruitment burn • Value: HCare360 NLP Scandinavian cohort screen.</x:v>
      </x:c>
      <x:c r="J244" s="5" t="str">
        <x:v>SOURCE QUOTE; unvalidated / superseded assessments</x:v>
      </x:c>
      <x:c r="L244" s="31" t="str">
        <x:v>D03, Markdown line 165; http://nas-1.tail55d152.ts.net:4100/static/2S_NORDIC_OUTREACH_PRESENTATION.html</x:v>
      </x:c>
    </x:row>
    <x:row r="245" ht="42" customHeight="1">
      <x:c r="A245" s="5" t="str">
        <x:v>D03</x:v>
      </x:c>
      <x:c r="B245" s="5" t="str">
        <x:v>D03-L0175-1</x:v>
      </x:c>
      <x:c r="C245" s="5" t="str">
        <x:v>Slide 13: Nordic Cluster Infiltration Playbook</x:v>
      </x:c>
      <x:c r="D245" s="5" t="n">
        <x:v>175</x:v>
      </x:c>
      <x:c r="E245" s="5" t="n">
        <x:v>175</x:v>
      </x:c>
      <x:c r="F245" s="5" t="str">
        <x:v>heading</x:v>
      </x:c>
      <x:c r="G245" s="5" t="n">
        <x:v>1</x:v>
      </x:c>
      <x:c r="H245" s="5" t="n">
        <x:v>1</x:v>
      </x:c>
      <x:c r="I245" s="5" t="str">
        <x:v>## Slide 13: Nordic Cluster Infiltration Playbook</x:v>
      </x:c>
      <x:c r="J245" s="5" t="str">
        <x:v>SOURCE QUOTE; unvalidated / superseded assessments</x:v>
      </x:c>
      <x:c r="L245" s="31" t="str">
        <x:v>D03, Markdown line 175; http://nas-1.tail55d152.ts.net:4100/static/2S_NORDIC_OUTREACH_PRESENTATION.html</x:v>
      </x:c>
    </x:row>
    <x:row r="246" ht="252" customHeight="1">
      <x:c r="A246" s="5" t="str">
        <x:v>D03</x:v>
      </x:c>
      <x:c r="B246" s="5" t="str">
        <x:v>D03-L0176-1</x:v>
      </x:c>
      <x:c r="C246" s="5" t="str">
        <x:v>Slide 13: Nordic Cluster Infiltration Playbook</x:v>
      </x:c>
      <x:c r="D246" s="5" t="n">
        <x:v>176</x:v>
      </x:c>
      <x:c r="E246" s="5" t="n">
        <x:v>186</x:v>
      </x:c>
      <x:c r="F246" s="5" t="str">
        <x:v>text</x:v>
      </x:c>
      <x:c r="G246" s="5" t="n">
        <x:v>1</x:v>
      </x:c>
      <x:c r="H246" s="5" t="n">
        <x:v>1</x:v>
      </x:c>
      <x:c r="I246" s="5" t="str">
        <x:v>Bypassing cold outbound friction through physical cluster co-location and strategic alliances:
- **Medicon Village (Lund / Medicon Valley)**:
  - 180+ life science organizations • Bi-weekly "MDR &amp; AI Act Office Hours" and API yield advisory desks fronted by Bountytek AB.
- **Stockholm-Uppsala / KI Science Park**:
  - Karolinska Institutet &amp; SciLifeLab • Co-sponsored workshops on NLP clinical trial recruitment and digital medicine conformity.
- **Gothenburg GoCo Health Innovation City**:
  - Co-located with AstraZeneca's global R&amp;D site • Focus on cardiovascular clinical acceleration and smart connected drug-delivery devices.
- **Oslo Cancer Cluster (Norway)**:
  - 90+ oncology specialists • Partnering with Oslo University Hospital on precision oncology algorithmic verification.
- **Health Capital Helsinki (Finland)**:
  - Meilahti hospital campus • Leveraging Finnish national health data repositories and Numantra's sovereign Finnish cloud.</x:v>
      </x:c>
      <x:c r="J246" s="5" t="str">
        <x:v>SOURCE QUOTE; unvalidated / superseded assessments</x:v>
      </x:c>
      <x:c r="L246" s="31" t="str">
        <x:v>D03, Markdown line 176; http://nas-1.tail55d152.ts.net:4100/static/2S_NORDIC_OUTREACH_PRESENTATION.html</x:v>
      </x:c>
    </x:row>
    <x:row r="247" ht="42" customHeight="1">
      <x:c r="A247" s="5" t="str">
        <x:v>D03</x:v>
      </x:c>
      <x:c r="B247" s="5" t="str">
        <x:v>D03-L0190-1</x:v>
      </x:c>
      <x:c r="C247" s="5" t="str">
        <x:v>Slide 14: Winning Value-Based Hospital &amp; Tender Procurement</x:v>
      </x:c>
      <x:c r="D247" s="5" t="n">
        <x:v>190</x:v>
      </x:c>
      <x:c r="E247" s="5" t="n">
        <x:v>190</x:v>
      </x:c>
      <x:c r="F247" s="5" t="str">
        <x:v>heading</x:v>
      </x:c>
      <x:c r="G247" s="5" t="n">
        <x:v>1</x:v>
      </x:c>
      <x:c r="H247" s="5" t="n">
        <x:v>1</x:v>
      </x:c>
      <x:c r="I247" s="5" t="str">
        <x:v>## Slide 14: Winning Value-Based Hospital &amp; Tender Procurement</x:v>
      </x:c>
      <x:c r="J247" s="5" t="str">
        <x:v>SOURCE QUOTE; unvalidated / superseded assessments</x:v>
      </x:c>
      <x:c r="L247" s="31" t="str">
        <x:v>D03, Markdown line 190; http://nas-1.tail55d152.ts.net:4100/static/2S_NORDIC_OUTREACH_PRESENTATION.html</x:v>
      </x:c>
    </x:row>
    <x:row r="248" ht="210" customHeight="1">
      <x:c r="A248" s="5" t="str">
        <x:v>D03</x:v>
      </x:c>
      <x:c r="B248" s="5" t="str">
        <x:v>D03-L0191-1</x:v>
      </x:c>
      <x:c r="C248" s="5" t="str">
        <x:v>Slide 14: Winning Value-Based Hospital &amp; Tender Procurement</x:v>
      </x:c>
      <x:c r="D248" s="5" t="n">
        <x:v>191</x:v>
      </x:c>
      <x:c r="E248" s="5" t="n">
        <x:v>197</x:v>
      </x:c>
      <x:c r="F248" s="5" t="str">
        <x:v>text</x:v>
      </x:c>
      <x:c r="G248" s="5" t="n">
        <x:v>1</x:v>
      </x:c>
      <x:c r="H248" s="5" t="n">
        <x:v>1</x:v>
      </x:c>
      <x:c r="I248" s="5" t="str">
        <x:v>- **The Nordic Procurement Reality**: Swedish Region councils (Region Stockholm, Västra Götaland, Skåne) and Danish Regional Procurement reject bids evaluated purely on unit acquisition price.
- **The Value-Based Procurement Formula**:
  $$\text{Tender Score} = 0.40 \times \text{Cost} + 0.35 \times \text{Clinical Efficacy} + 0.25 \times \text{Health Economic Impact}$$
- **The Bountytek AB Co-Bidding Advantage**:
  - **Bountytek AB** acts as the domestic Swedish prime bidding entity (Bolagsverket, F-skatt, local bank accounts), co-authoring tender submissions with client commercial teams.
  - We integrate empirical HEOR simulations proving hospital bed-day reduction (-18% ICU LOS) and nursing workflow optimization.
  - Documented result: 3.2x lift in public healthcare procurement win rates across Scandinavian tenders.</x:v>
      </x:c>
      <x:c r="J248" s="5" t="str">
        <x:v>SOURCE QUOTE; unvalidated / superseded assessments</x:v>
      </x:c>
      <x:c r="L248" s="31" t="str">
        <x:v>D03, Markdown line 191; http://nas-1.tail55d152.ts.net:4100/static/2S_NORDIC_OUTREACH_PRESENTATION.html</x:v>
      </x:c>
    </x:row>
    <x:row r="249" ht="42" customHeight="1">
      <x:c r="A249" s="5" t="str">
        <x:v>D03</x:v>
      </x:c>
      <x:c r="B249" s="5" t="str">
        <x:v>D03-L0201-1</x:v>
      </x:c>
      <x:c r="C249" s="5" t="str">
        <x:v>Slide 15: 90-Day Execution Roadmap &amp; Revenue Milestones</x:v>
      </x:c>
      <x:c r="D249" s="5" t="n">
        <x:v>201</x:v>
      </x:c>
      <x:c r="E249" s="5" t="n">
        <x:v>201</x:v>
      </x:c>
      <x:c r="F249" s="5" t="str">
        <x:v>heading</x:v>
      </x:c>
      <x:c r="G249" s="5" t="n">
        <x:v>1</x:v>
      </x:c>
      <x:c r="H249" s="5" t="n">
        <x:v>1</x:v>
      </x:c>
      <x:c r="I249" s="5" t="str">
        <x:v>## Slide 15: 90-Day Execution Roadmap &amp; Revenue Milestones</x:v>
      </x:c>
      <x:c r="J249" s="5" t="str">
        <x:v>SOURCE QUOTE; unvalidated / superseded assessments</x:v>
      </x:c>
      <x:c r="L249" s="31" t="str">
        <x:v>D03, Markdown line 201; http://nas-1.tail55d152.ts.net:4100/static/2S_NORDIC_OUTREACH_PRESENTATION.html</x:v>
      </x:c>
    </x:row>
    <x:row r="250" ht="308" customHeight="1">
      <x:c r="A250" s="5" t="str">
        <x:v>D03</x:v>
      </x:c>
      <x:c r="B250" s="5" t="str">
        <x:v>D03-L0202-1</x:v>
      </x:c>
      <x:c r="C250" s="5" t="str">
        <x:v>Slide 15: 90-Day Execution Roadmap &amp; Revenue Milestones</x:v>
      </x:c>
      <x:c r="D250" s="5" t="n">
        <x:v>202</x:v>
      </x:c>
      <x:c r="E250" s="5" t="n">
        <x:v>216</x:v>
      </x:c>
      <x:c r="F250" s="5" t="str">
        <x:v>text</x:v>
      </x:c>
      <x:c r="G250" s="5" t="n">
        <x:v>1</x:v>
      </x:c>
      <x:c r="H250" s="5" t="n">
        <x:v>1</x:v>
      </x:c>
      <x:c r="I250" s="5" t="str">
        <x:v>- **Month 1 (Foundation &amp; First Touch)**:
  - Launch 20 Tier-1 ABM personalized diagnostic cadences fronted by Bountytek AB (10 MedTech + 10 Pharma).
  - Submit formal partnership applications to Medicon Village, GoCo, and KI Science Park.
  - Finalize co-opetition subcontracting framework with engineering primes (Knightec, Semcon).
  - *Target*: 6 qualified executive discovery briefings scheduled.
- **Month 2 (Acceleration &amp; Diagnostic Sprints)**:
  - Host 2 executive masterclasses: "Navigating the EU AI Act" &amp; "API Margin Defense".
  - Engage 5 Nordic healthcare VC funds (HealthCap, Industrifonden) for portfolio audits.
  - Deploy 3 pilot diagnostic entry wedges via Bountytek AB local contracts (€28k - €35k each).
  - *Target*: €300K+ in qualified pipeline opportunities.
- **Month 3 (Revenue Closure &amp; Scaling)**:
  - Convert 2 diagnostic wedges into 6-month enterprise retainers (€85k - €120k).
  - Secure 1 formal engineering prime subcontracting MSA.
  - Embed 2S health economic model into 1 regional hospital procurement tender via Bountytek AB.
  - *Target*: €140K+ in contracted revenue; €650K+ rolling pipeline.</x:v>
      </x:c>
      <x:c r="J250" s="5" t="str">
        <x:v>SOURCE QUOTE; unvalidated / superseded assessments</x:v>
      </x:c>
      <x:c r="L250" s="31" t="str">
        <x:v>D03, Markdown line 202; http://nas-1.tail55d152.ts.net:4100/static/2S_NORDIC_OUTREACH_PRESENTATION.html</x:v>
      </x:c>
    </x:row>
    <x:row r="251" ht="42" customHeight="1">
      <x:c r="A251" s="5" t="str">
        <x:v>D03</x:v>
      </x:c>
      <x:c r="B251" s="5" t="str">
        <x:v>D03-L0220-1</x:v>
      </x:c>
      <x:c r="C251" s="5" t="str">
        <x:v>Slide 16: Epistemic Validation — Analysis of Competing Hypotheses (ACH)</x:v>
      </x:c>
      <x:c r="D251" s="5" t="n">
        <x:v>220</x:v>
      </x:c>
      <x:c r="E251" s="5" t="n">
        <x:v>220</x:v>
      </x:c>
      <x:c r="F251" s="5" t="str">
        <x:v>heading</x:v>
      </x:c>
      <x:c r="G251" s="5" t="n">
        <x:v>1</x:v>
      </x:c>
      <x:c r="H251" s="5" t="n">
        <x:v>1</x:v>
      </x:c>
      <x:c r="I251" s="5" t="str">
        <x:v>## Slide 16: Epistemic Validation — Analysis of Competing Hypotheses (ACH)</x:v>
      </x:c>
      <x:c r="J251" s="5" t="str">
        <x:v>SOURCE QUOTE; unvalidated / superseded assessments</x:v>
      </x:c>
      <x:c r="L251" s="31" t="str">
        <x:v>D03, Markdown line 220; http://nas-1.tail55d152.ts.net:4100/static/2S_NORDIC_OUTREACH_PRESENTATION.html</x:v>
      </x:c>
    </x:row>
    <x:row r="252" ht="224" customHeight="1">
      <x:c r="A252" s="5" t="str">
        <x:v>D03</x:v>
      </x:c>
      <x:c r="B252" s="5" t="str">
        <x:v>D03-L0221-1</x:v>
      </x:c>
      <x:c r="C252" s="5" t="str">
        <x:v>Slide 16: Epistemic Validation — Analysis of Competing Hypotheses (ACH)</x:v>
      </x:c>
      <x:c r="D252" s="5" t="n">
        <x:v>221</x:v>
      </x:c>
      <x:c r="E252" s="5" t="n">
        <x:v>228</x:v>
      </x:c>
      <x:c r="F252" s="5" t="str">
        <x:v>text</x:v>
      </x:c>
      <x:c r="G252" s="5" t="n">
        <x:v>1</x:v>
      </x:c>
      <x:c r="H252" s="5" t="n">
        <x:v>1</x:v>
      </x:c>
      <x:c r="I252" s="5" t="str">
        <x:v>Mathematically evaluating channel go-to-market strategies using Richards J. Heuer Jr.'s intelligence methodology:
- **Hypothesis $H_1$ (Pure Direct Cold Outbound)**:
  - High procurement friction and institutional vendor registration delays (-5 Inconsistencies — **Refuted**).
- **Hypothesis $H_2$ (Engineering Co-Opetition Subcontracting)**:
  - Leveraging existing MSAs with Knightec/Semcon to bypass procurement (-1 Inconsistency — **Supported**).
- **Hypothesis $H_3$ (Bountytek AB Domestic Agent + Asymmetric Wedges + Cluster Infiltration)**:
  - Domestic Swedish prime contracting entity (Bolagsverket, F-skatt) + sub-&lt;€35k entry diagnostics addressing urgent pain points + cluster co-location (0 Inconsistencies — **Confirmed Optimal**).
- **Strategic Mandate**: Deploy $H_3$ via Bountytek AB as the primary penetration vehicle while using $H_2$ for immediate enterprise account bypass.</x:v>
      </x:c>
      <x:c r="J252" s="5" t="str">
        <x:v>SOURCE QUOTE; unvalidated / superseded assessments</x:v>
      </x:c>
      <x:c r="L252" s="31" t="str">
        <x:v>D03, Markdown line 221; http://nas-1.tail55d152.ts.net:4100/static/2S_NORDIC_OUTREACH_PRESENTATION.html</x:v>
      </x:c>
    </x:row>
    <x:row r="253" ht="42" customHeight="1">
      <x:c r="A253" s="5" t="str">
        <x:v>D03</x:v>
      </x:c>
      <x:c r="B253" s="5" t="str">
        <x:v>D03-L0232-1</x:v>
      </x:c>
      <x:c r="C253" s="5" t="str">
        <x:v>Slide 17: NATO STANAG Admiralty Protocol Verification Matrix ($\ge$ B2)</x:v>
      </x:c>
      <x:c r="D253" s="5" t="n">
        <x:v>232</x:v>
      </x:c>
      <x:c r="E253" s="5" t="n">
        <x:v>232</x:v>
      </x:c>
      <x:c r="F253" s="5" t="str">
        <x:v>heading</x:v>
      </x:c>
      <x:c r="G253" s="5" t="n">
        <x:v>1</x:v>
      </x:c>
      <x:c r="H253" s="5" t="n">
        <x:v>1</x:v>
      </x:c>
      <x:c r="I253" s="5" t="str">
        <x:v>## Slide 17: NATO STANAG Admiralty Protocol Verification Matrix ($\ge$ B2)</x:v>
      </x:c>
      <x:c r="J253" s="5" t="str">
        <x:v>SOURCE QUOTE; unvalidated / superseded assessments</x:v>
      </x:c>
      <x:c r="L253" s="31" t="str">
        <x:v>D03, Markdown line 232; http://nas-1.tail55d152.ts.net:4100/static/2S_NORDIC_OUTREACH_PRESENTATION.html</x:v>
      </x:c>
    </x:row>
    <x:row r="254" ht="294" customHeight="1">
      <x:c r="A254" s="5" t="str">
        <x:v>D03</x:v>
      </x:c>
      <x:c r="B254" s="5" t="str">
        <x:v>D03-L0233-1</x:v>
      </x:c>
      <x:c r="C254" s="5" t="str">
        <x:v>Slide 17: NATO STANAG Admiralty Protocol Verification Matrix ($\ge$ B2)</x:v>
      </x:c>
      <x:c r="D254" s="5" t="n">
        <x:v>233</x:v>
      </x:c>
      <x:c r="E254" s="5" t="n">
        <x:v>244</x:v>
      </x:c>
      <x:c r="F254" s="5" t="str">
        <x:v>text</x:v>
      </x:c>
      <x:c r="G254" s="5" t="n">
        <x:v>1</x:v>
      </x:c>
      <x:c r="H254" s="5" t="n">
        <x:v>2</x:v>
      </x:c>
      <x:c r="I254" s="5" t="str">
        <x:v>All target company metrics, financial data, and market assumptions vetted to NATO STANAG 2017/2018 standards:
- **Bountytek AB**: A1 (Bolagsverket &amp; Skatteverket, F-skatt) — Verified domestic Swedish prime commercial agent.
- **2S Consulting**: A1 (Swiss Commercial Register CHE-443.084.148, [2sconsulting.com](https://www.2sconsulting.com/)) — Strategic Advisory &amp; Pharma Operations.
- **Numantra Technologies**: A1 (Corporate Registry, ISO 27001 Finnish Cloud, [numantratech.ai](https://www.numantratech.ai/)) — Deep-Tech Platform.
- **Getinge AB**: A1 (Nasdaq Stockholm, Audited Annual Report 2025) — €2.8B ARR, verified ICU DaaS opportunity.
- **Elekta AB**: A1 (Audited Filings, Radiation Registry) — €1.6B ARR, verified high-risk AI Act exposure.
- **Vitrolife AB**: A1 (Nasdaq Stockholm, ESHRE Registry) — €310M ARR, verified IVF software MDR Rule 11.
- **Sobi (Swedish Orphan Biovitrum)**: A1 (Nasdaq Stockholm) — €1.95B ARR, verified rare disease tender GTN leakage.
- **Novo Nordisk A/S**: A1 (Nasdaq Copenhagen, SEC 20-F) — €32B ARR, fill-finish cleanroom changeover priority.
- **Cambrex Karlskoga**: B2 (Bolagsverket, Swedish Chemical Inspectorate) — €180M ARR, active API batch costing </x:v>
      </x:c>
      <x:c r="J254" s="5" t="str">
        <x:v>SOURCE QUOTE; unvalidated / superseded assessments</x:v>
      </x:c>
      <x:c r="L254" s="31" t="str">
        <x:v>D03, Markdown line 233; http://nas-1.tail55d152.ts.net:4100/static/2S_NORDIC_OUTREACH_PRESENTATION.html</x:v>
      </x:c>
    </x:row>
    <x:row r="255" ht="84" customHeight="1">
      <x:c r="A255" s="5" t="str">
        <x:v>D03</x:v>
      </x:c>
      <x:c r="B255" s="5" t="str">
        <x:v>D03-L0233-2</x:v>
      </x:c>
      <x:c r="C255" s="5" t="str">
        <x:v>Slide 17: NATO STANAG Admiralty Protocol Verification Matrix ($\ge$ B2)</x:v>
      </x:c>
      <x:c r="D255" s="5" t="n">
        <x:v>233</x:v>
      </x:c>
      <x:c r="E255" s="5" t="n">
        <x:v>244</x:v>
      </x:c>
      <x:c r="F255" s="5" t="str">
        <x:v>text</x:v>
      </x:c>
      <x:c r="G255" s="5" t="n">
        <x:v>2</x:v>
      </x:c>
      <x:c r="H255" s="5" t="n">
        <x:v>2</x:v>
      </x:c>
      <x:c r="I255" s="5" t="str">
        <x:v>need.
- **PolyPeptide Group**: A1 (SIX Swiss Exchange, Malmö facility) — €280M ARR, green peptide solvent recovery.
- **Compliance Standard**: 100% of analyzed target entities meet or exceed the B2 threshold (Usually Reliable / Probably True).</x:v>
      </x:c>
      <x:c r="J255" s="5" t="str">
        <x:v>SOURCE QUOTE; unvalidated / superseded assessments</x:v>
      </x:c>
      <x:c r="L255" s="31" t="str">
        <x:v>D03, Markdown line 233; http://nas-1.tail55d152.ts.net:4100/static/2S_NORDIC_OUTREACH_PRESENTATION.html</x:v>
      </x:c>
    </x:row>
    <x:row r="256" ht="42" customHeight="1">
      <x:c r="A256" s="5" t="str">
        <x:v>D03</x:v>
      </x:c>
      <x:c r="B256" s="5" t="str">
        <x:v>D03-L0248-1</x:v>
      </x:c>
      <x:c r="C256" s="5" t="str">
        <x:v>Slide 18: Devil's Advocate &amp; Tenth Man Falsification Protocol</x:v>
      </x:c>
      <x:c r="D256" s="5" t="n">
        <x:v>248</x:v>
      </x:c>
      <x:c r="E256" s="5" t="n">
        <x:v>248</x:v>
      </x:c>
      <x:c r="F256" s="5" t="str">
        <x:v>heading</x:v>
      </x:c>
      <x:c r="G256" s="5" t="n">
        <x:v>1</x:v>
      </x:c>
      <x:c r="H256" s="5" t="n">
        <x:v>1</x:v>
      </x:c>
      <x:c r="I256" s="5" t="str">
        <x:v>## Slide 18: Devil's Advocate &amp; Tenth Man Falsification Protocol</x:v>
      </x:c>
      <x:c r="J256" s="5" t="str">
        <x:v>SOURCE QUOTE; unvalidated / superseded assessments</x:v>
      </x:c>
      <x:c r="L256" s="31" t="str">
        <x:v>D03, Markdown line 248; http://nas-1.tail55d152.ts.net:4100/static/2S_NORDIC_OUTREACH_PRESENTATION.html</x:v>
      </x:c>
    </x:row>
    <x:row r="257" ht="280" customHeight="1">
      <x:c r="A257" s="5" t="str">
        <x:v>D03</x:v>
      </x:c>
      <x:c r="B257" s="5" t="str">
        <x:v>D03-L0249-1</x:v>
      </x:c>
      <x:c r="C257" s="5" t="str">
        <x:v>Slide 18: Devil's Advocate &amp; Tenth Man Falsification Protocol</x:v>
      </x:c>
      <x:c r="D257" s="5" t="n">
        <x:v>249</x:v>
      </x:c>
      <x:c r="E257" s="5" t="n">
        <x:v>258</x:v>
      </x:c>
      <x:c r="F257" s="5" t="str">
        <x:v>text</x:v>
      </x:c>
      <x:c r="G257" s="5" t="n">
        <x:v>1</x:v>
      </x:c>
      <x:c r="H257" s="5" t="n">
        <x:v>2</x:v>
      </x:c>
      <x:c r="I257" s="5" t="str">
        <x:v>Adversarial stress-testing of commercial assumptions with quantitative 30-day tripwires:
1. *The Enterprise Procurement Wall*: Tier-1 players will stall boutique onboarding for 6+ months.
   - *Countermeasure*: Lead exclusively via **Bountytek AB** with fixed-fee entry wedges (&lt;€35,000 / &lt;SEK 400,000) qualifying for discretionary POs, or bill via engineering prime MSAs.
   - *Tripwire*: If $&gt;3$ accounts require full vendor registration for entry wedges, divert 100% outbound to prime subcontracting.
2. *The Academic Cluster Poverty Trap*: Incubator startups lack operational advisory budgets.
   - *Countermeasure*: Filter strictly for Series-A+ funded commercial entities (&gt;€5M raised) and sponsor cluster workshops with VC partners.
   - *Tripwire*: If $&gt;50\%$ of cluster inbound leads are pre-revenue, exit open advisory desks and focus on private VC portfolio days.
3. *The Internal Regulatory NIH Syndrome*: Internal RA/QA teams resist outside consultants.
   - *Countermeasure*: Position Bountytek AB and 2S not as auditors, but as surge-capacity execution engineers who author technical files alongside internal teams.
   - *Tripwire*: Re-frame all initial messaging from "Compliance Audi</x:v>
      </x:c>
      <x:c r="J257" s="5" t="str">
        <x:v>SOURCE QUOTE; unvalidated / superseded assessments</x:v>
      </x:c>
      <x:c r="L257" s="31" t="str">
        <x:v>D03, Markdown line 249; http://nas-1.tail55d152.ts.net:4100/static/2S_NORDIC_OUTREACH_PRESENTATION.html</x:v>
      </x:c>
    </x:row>
    <x:row r="258" ht="42" customHeight="1">
      <x:c r="A258" s="5" t="str">
        <x:v>D03</x:v>
      </x:c>
      <x:c r="B258" s="5" t="str">
        <x:v>D03-L0249-2</x:v>
      </x:c>
      <x:c r="C258" s="5" t="str">
        <x:v>Slide 18: Devil's Advocate &amp; Tenth Man Falsification Protocol</x:v>
      </x:c>
      <x:c r="D258" s="5" t="n">
        <x:v>249</x:v>
      </x:c>
      <x:c r="E258" s="5" t="n">
        <x:v>258</x:v>
      </x:c>
      <x:c r="F258" s="5" t="str">
        <x:v>text</x:v>
      </x:c>
      <x:c r="G258" s="5" t="n">
        <x:v>2</x:v>
      </x:c>
      <x:c r="H258" s="5" t="n">
        <x:v>2</x:v>
      </x:c>
      <x:c r="I258" s="5" t="str">
        <x:v>t" to "Pre-Submission Execution Surge".</x:v>
      </x:c>
      <x:c r="J258" s="5" t="str">
        <x:v>SOURCE QUOTE; unvalidated / superseded assessments</x:v>
      </x:c>
      <x:c r="L258" s="31" t="str">
        <x:v>D03, Markdown line 249; http://nas-1.tail55d152.ts.net:4100/static/2S_NORDIC_OUTREACH_PRESENTATION.html</x:v>
      </x:c>
    </x:row>
    <x:row r="259" ht="42" customHeight="1">
      <x:c r="A259" s="5" t="str">
        <x:v>D03</x:v>
      </x:c>
      <x:c r="B259" s="5" t="str">
        <x:v>D03-L0261-1</x:v>
      </x:c>
      <x:c r="C259" s="5" t="str">
        <x:v>Slide 18: Devil's Advocate &amp; Tenth Man Falsification Protocol</x:v>
      </x:c>
      <x:c r="D259" s="5" t="n">
        <x:v>261</x:v>
      </x:c>
      <x:c r="E259" s="5" t="n">
        <x:v>261</x:v>
      </x:c>
      <x:c r="F259" s="5" t="str">
        <x:v>text</x:v>
      </x:c>
      <x:c r="G259" s="5" t="n">
        <x:v>1</x:v>
      </x:c>
      <x:c r="H259" s="5" t="n">
        <x:v>1</x:v>
      </x:c>
      <x:c r="I259" s="5" t="str">
        <x:v>*Governed by L0-codex-gpt-6-astra Sovereign Architecture • C3I &amp; UOS Mesh Operational Document*</x:v>
      </x:c>
      <x:c r="J259" s="5" t="str">
        <x:v>SOURCE QUOTE; unvalidated / superseded assessments</x:v>
      </x:c>
      <x:c r="L259" s="31" t="str">
        <x:v>D03, Markdown line 261; http://nas-1.tail55d152.ts.net:4100/static/2S_NORDIC_OUTREACH_PRESENTATION.html</x:v>
      </x:c>
    </x:row>
    <x:row r="260" ht="84" customHeight="1">
      <x:c r="A260" s="5" t="str">
        <x:v>D04</x:v>
      </x:c>
      <x:c r="B260" s="5" t="str">
        <x:v>D04-L0001-1</x:v>
      </x:c>
      <x:c r="C260" s="5" t="str">
        <x:v>Document preamble</x:v>
      </x:c>
      <x:c r="D260" s="5" t="n">
        <x:v>1</x:v>
      </x:c>
      <x:c r="E260" s="5" t="n">
        <x:v>1</x:v>
      </x:c>
      <x:c r="F260" s="5" t="str">
        <x:v>text</x:v>
      </x:c>
      <x:c r="G260" s="5" t="n">
        <x:v>1</x:v>
      </x:c>
      <x:c r="H260" s="5" t="n">
        <x:v>1</x:v>
      </x:c>
      <x:c r="I260"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260" s="5" t="str">
        <x:v>SOURCE QUOTE; unvalidated / superseded assessments</x:v>
      </x:c>
      <x:c r="L260" s="31" t="str">
        <x:v>D04, Markdown line 1; http://nas-1.tail55d152.ts.net:4100/static/2S_PHARMACEUTICALS_AND_CHEMICALS_SECTOR_DOSSIER.html</x:v>
      </x:c>
    </x:row>
    <x:row r="261" ht="56" customHeight="1">
      <x:c r="A261" s="5" t="str">
        <x:v>D04</x:v>
      </x:c>
      <x:c r="B261" s="5" t="str">
        <x:v>D04-L0003-1</x:v>
      </x:c>
      <x:c r="C261" s="5" t="str">
        <x:v>Bountytek AB • 2S Consulting &amp; Numantra Technologies: Nordic Pharmaceuticals &amp; Chemicals Sector Dossier</x:v>
      </x:c>
      <x:c r="D261" s="5" t="n">
        <x:v>3</x:v>
      </x:c>
      <x:c r="E261" s="5" t="n">
        <x:v>3</x:v>
      </x:c>
      <x:c r="F261" s="5" t="str">
        <x:v>heading</x:v>
      </x:c>
      <x:c r="G261" s="5" t="n">
        <x:v>1</x:v>
      </x:c>
      <x:c r="H261" s="5" t="n">
        <x:v>1</x:v>
      </x:c>
      <x:c r="I261" s="5" t="str">
        <x:v># Bountytek AB • 2S Consulting &amp; Numantra Technologies: Nordic Pharmaceuticals &amp; Chemicals Sector Dossier</x:v>
      </x:c>
      <x:c r="J261" s="5" t="str">
        <x:v>SOURCE QUOTE; unvalidated / superseded assessments</x:v>
      </x:c>
      <x:c r="L261" s="31" t="str">
        <x:v>D04, Markdown line 3; http://nas-1.tail55d152.ts.net:4100/static/2S_PHARMACEUTICALS_AND_CHEMICALS_SECTOR_DOSSIER.html</x:v>
      </x:c>
    </x:row>
    <x:row r="262" ht="294" customHeight="1">
      <x:c r="A262" s="5" t="str">
        <x:v>D04</x:v>
      </x:c>
      <x:c r="B262" s="5" t="str">
        <x:v>D04-L0005-1</x:v>
      </x:c>
      <x:c r="C262" s="5" t="str">
        <x:v>Bountytek AB • 2S Consulting &amp; Numantra Technologies: Nordic Pharmaceuticals &amp; Chemicals Sector Dossier</x:v>
      </x:c>
      <x:c r="D262" s="5" t="n">
        <x:v>5</x:v>
      </x:c>
      <x:c r="E262" s="5" t="n">
        <x:v>14</x:v>
      </x:c>
      <x:c r="F262" s="5" t="str">
        <x:v>text</x:v>
      </x:c>
      <x:c r="G262" s="5" t="n">
        <x:v>1</x:v>
      </x:c>
      <x:c r="H262" s="5" t="n">
        <x:v>2</x:v>
      </x:c>
      <x:c r="I262" s="5" t="str">
        <x:v>**Comprehensive Sector Deep-Dive &amp; Solutions Architecture for 2S Consulting &amp; Numantra Technologies**  
**Document Series**: 2S Enterprise Strategy • Section 6.1 Industry Solutions Architecture  
**Classification**: Sovereign Commercial Intelligence | Codex Astra Ratified | SIL-6 Epistemic Standard  
**Exclusive Nordic Commercial Agent**: **Bountytek AB** (Sweden — Domestic Swedish Prime Contractor, Bolagsverket &amp; F-skatt)  
**Represented Principals**:
- **2S Consulting** ([https://www.2sconsulting.com/](https://www.2sconsulting.com/)) — Strategic Life Sciences &amp; Chemical Advisory (Hichem Sellami, CEO; Safa Sellami, COO)
- **Numantra Technologies** ([https://www.numantratech.ai/](https://www.numantratech.ai/)) — Deep-Tech Healthcare Cognitive Platform &amp; Sovereign Cloud
**Target Geography**: Sweden, Denmark, Norway, Finland (Nordic Life Science &amp; Chemical Synthesis Corridor)  
**Primary Host FQDN**: [http://nas-1.tail55d152.ts.net:4100/static/2S_PHARMACEUTICALS_AND_CHEMICALS_SECTOR_DOSSIER.html](http://nas-1.tail55d152.ts.net:4100/static/2S_PHARMACEUTICALS_AND_CHEMICALS_SECTOR_DOSSIER.html)  
**Parent Document**: [http://nas-1.tail55d152.ts.net:4100/static/2S_CONSULTING_COMPREHENSIV</x:v>
      </x:c>
      <x:c r="J262" s="5" t="str">
        <x:v>SOURCE QUOTE; unvalidated / superseded assessments</x:v>
      </x:c>
      <x:c r="L262" s="31" t="str">
        <x:v>D04, Markdown line 5; http://nas-1.tail55d152.ts.net:4100/static/2S_PHARMACEUTICALS_AND_CHEMICALS_SECTOR_DOSSIER.html</x:v>
      </x:c>
    </x:row>
    <x:row r="263" ht="56" customHeight="1">
      <x:c r="A263" s="5" t="str">
        <x:v>D04</x:v>
      </x:c>
      <x:c r="B263" s="5" t="str">
        <x:v>D04-L0005-2</x:v>
      </x:c>
      <x:c r="C263" s="5" t="str">
        <x:v>Bountytek AB • 2S Consulting &amp; Numantra Technologies: Nordic Pharmaceuticals &amp; Chemicals Sector Dossier</x:v>
      </x:c>
      <x:c r="D263" s="5" t="n">
        <x:v>5</x:v>
      </x:c>
      <x:c r="E263" s="5" t="n">
        <x:v>14</x:v>
      </x:c>
      <x:c r="F263" s="5" t="str">
        <x:v>text</x:v>
      </x:c>
      <x:c r="G263" s="5" t="n">
        <x:v>2</x:v>
      </x:c>
      <x:c r="H263" s="5" t="n">
        <x:v>2</x:v>
      </x:c>
      <x:c r="I263" s="5" t="str">
        <x:v>E_DOSSIER.html](http://nas-1.tail55d152.ts.net:4100/static/2S_CONSULTING_COMPREHENSIVE_DOSSIER.html)  </x:v>
      </x:c>
      <x:c r="J263" s="5" t="str">
        <x:v>SOURCE QUOTE; unvalidated / superseded assessments</x:v>
      </x:c>
      <x:c r="L263" s="31" t="str">
        <x:v>D04, Markdown line 5; http://nas-1.tail55d152.ts.net:4100/static/2S_PHARMACEUTICALS_AND_CHEMICALS_SECTOR_DOSSIER.html</x:v>
      </x:c>
    </x:row>
    <x:row r="264" ht="42" customHeight="1">
      <x:c r="A264" s="5" t="str">
        <x:v>D04</x:v>
      </x:c>
      <x:c r="B264" s="5" t="str">
        <x:v>D04-L0018-1</x:v>
      </x:c>
      <x:c r="C264" s="5" t="str">
        <x:v>1. Executive Summary &amp; Strategic Scope</x:v>
      </x:c>
      <x:c r="D264" s="5" t="n">
        <x:v>18</x:v>
      </x:c>
      <x:c r="E264" s="5" t="n">
        <x:v>18</x:v>
      </x:c>
      <x:c r="F264" s="5" t="str">
        <x:v>heading</x:v>
      </x:c>
      <x:c r="G264" s="5" t="n">
        <x:v>1</x:v>
      </x:c>
      <x:c r="H264" s="5" t="n">
        <x:v>1</x:v>
      </x:c>
      <x:c r="I264" s="5" t="str">
        <x:v>## 1. Executive Summary &amp; Strategic Scope</x:v>
      </x:c>
      <x:c r="J264" s="5" t="str">
        <x:v>SOURCE QUOTE; unvalidated / superseded assessments</x:v>
      </x:c>
      <x:c r="L264" s="31" t="str">
        <x:v>D04, Markdown line 18; http://nas-1.tail55d152.ts.net:4100/static/2S_PHARMACEUTICALS_AND_CHEMICALS_SECTOR_DOSSIER.html</x:v>
      </x:c>
    </x:row>
    <x:row r="265" ht="42" customHeight="1">
      <x:c r="A265" s="5" t="str">
        <x:v>D04</x:v>
      </x:c>
      <x:c r="B265" s="5" t="str">
        <x:v>D04-L0020-1</x:v>
      </x:c>
      <x:c r="C265" s="5" t="str">
        <x:v>1.1 The Strategic Inflection Point</x:v>
      </x:c>
      <x:c r="D265" s="5" t="n">
        <x:v>20</x:v>
      </x:c>
      <x:c r="E265" s="5" t="n">
        <x:v>20</x:v>
      </x:c>
      <x:c r="F265" s="5" t="str">
        <x:v>heading</x:v>
      </x:c>
      <x:c r="G265" s="5" t="n">
        <x:v>1</x:v>
      </x:c>
      <x:c r="H265" s="5" t="n">
        <x:v>1</x:v>
      </x:c>
      <x:c r="I265" s="5" t="str">
        <x:v>### 1.1 The Strategic Inflection Point</x:v>
      </x:c>
      <x:c r="J265" s="5" t="str">
        <x:v>SOURCE QUOTE; unvalidated / superseded assessments</x:v>
      </x:c>
      <x:c r="L265" s="31" t="str">
        <x:v>D04, Markdown line 20; http://nas-1.tail55d152.ts.net:4100/static/2S_PHARMACEUTICALS_AND_CHEMICALS_SECTOR_DOSSIER.html</x:v>
      </x:c>
    </x:row>
    <x:row r="266" ht="98" customHeight="1">
      <x:c r="A266" s="5" t="str">
        <x:v>D04</x:v>
      </x:c>
      <x:c r="B266" s="5" t="str">
        <x:v>D04-L0021-1</x:v>
      </x:c>
      <x:c r="C266" s="5" t="str">
        <x:v>1.1 The Strategic Inflection Point</x:v>
      </x:c>
      <x:c r="D266" s="5" t="n">
        <x:v>21</x:v>
      </x:c>
      <x:c r="E266" s="5" t="n">
        <x:v>21</x:v>
      </x:c>
      <x:c r="F266" s="5" t="str">
        <x:v>text</x:v>
      </x:c>
      <x:c r="G266" s="5" t="n">
        <x:v>1</x:v>
      </x:c>
      <x:c r="H266" s="5" t="n">
        <x:v>1</x:v>
      </x:c>
      <x:c r="I266" s="5" t="str">
        <x:v>The Nordic pharmaceutical, biotechnology, and specialty chemicals sector represents one of the most innovative and capital-intensive life science clusters in the world. Encompassing Denmark's booming Medicon Valley corridor, Sweden's Stockholm-Uppsala and Gothenburg bio-clusters, Norway's precision oncology hubs, and Finland's digital health infrastructure, the region generates over **€14.5 Billion** in annual pharmaceutical revenues and deploys more than **€4.5 Billion** annually into research and development.</x:v>
      </x:c>
      <x:c r="J266" s="5" t="str">
        <x:v>SOURCE QUOTE; unvalidated / superseded assessments</x:v>
      </x:c>
      <x:c r="L266" s="31" t="str">
        <x:v>D04, Markdown line 21; http://nas-1.tail55d152.ts.net:4100/static/2S_PHARMACEUTICALS_AND_CHEMICALS_SECTOR_DOSSIER.html</x:v>
      </x:c>
    </x:row>
    <x:row r="267" ht="238" customHeight="1">
      <x:c r="A267" s="5" t="str">
        <x:v>D04</x:v>
      </x:c>
      <x:c r="B267" s="5" t="str">
        <x:v>D04-L0023-1</x:v>
      </x:c>
      <x:c r="C267" s="5" t="str">
        <x:v>1.1 The Strategic Inflection Point</x:v>
      </x:c>
      <x:c r="D267" s="5" t="n">
        <x:v>23</x:v>
      </x:c>
      <x:c r="E267" s="5" t="n">
        <x:v>27</x:v>
      </x:c>
      <x:c r="F267" s="5" t="str">
        <x:v>text</x:v>
      </x:c>
      <x:c r="G267" s="5" t="n">
        <x:v>1</x:v>
      </x:c>
      <x:c r="H267" s="5" t="n">
        <x:v>2</x:v>
      </x:c>
      <x:c r="I267" s="5" t="str">
        <x:v>However, the sector is experiencing intense structural friction:
1. **Severe Small-Molecule API Margin Compression**: Regional chemical synthesis plants and Active Pharmaceutical Ingredient (API) manufacturers (e.g., Cambrex Karlskoga, Magle Chemoswed, PolyPeptide Group) are caught between aggressive Chinese and Indian price dumping (where raw API costs are 30–50% lower) and escalating European energy, environmental (REACH/PFAS), and labor costs.
2. **Gross-to-Net (GTN) Tender Revenue Erosion**: Generics and specialty pharmaceutical providers (e.g., EQL Pharma, Bluefish Pharmaceuticals, Sobi) experience 8% to 18% top-line revenue leakage across Nordic public tenders (TLVs in Sweden, Medicinrådet in Denmark, Sykehusinnkjøp in Norway) due to unmodeled rebate clawbacks, stockout penalties, and wholesaler inventory lags.
3. **Clinical R&amp;D Milestone Slippage &amp; High Cash Burn**: Mid-cap innovators and clinical biopharmas (e.g., BioInvent, Alligator Bioscience, Camurus, Oncopeptides, Cereno Scientific) face acute cash-burn pressures (€15,000 to €35,000 per day in trial delay costs) compounded by sluggish patient cohort screening in rare diseases.
4. **Regulatory &amp; Geopolitical Upheaval**:</x:v>
      </x:c>
      <x:c r="J267" s="5" t="str">
        <x:v>SOURCE QUOTE; unvalidated / superseded assessments</x:v>
      </x:c>
      <x:c r="L267" s="31" t="str">
        <x:v>D04, Markdown line 23; http://nas-1.tail55d152.ts.net:4100/static/2S_PHARMACEUTICALS_AND_CHEMICALS_SECTOR_DOSSIER.html</x:v>
      </x:c>
    </x:row>
    <x:row r="268" ht="70" customHeight="1">
      <x:c r="A268" s="5" t="str">
        <x:v>D04</x:v>
      </x:c>
      <x:c r="B268" s="5" t="str">
        <x:v>D04-L0023-2</x:v>
      </x:c>
      <x:c r="C268" s="5" t="str">
        <x:v>1.1 The Strategic Inflection Point</x:v>
      </x:c>
      <x:c r="D268" s="5" t="n">
        <x:v>23</x:v>
      </x:c>
      <x:c r="E268" s="5" t="n">
        <x:v>27</x:v>
      </x:c>
      <x:c r="F268" s="5" t="str">
        <x:v>text</x:v>
      </x:c>
      <x:c r="G268" s="5" t="n">
        <x:v>2</x:v>
      </x:c>
      <x:c r="H268" s="5" t="n">
        <x:v>2</x:v>
      </x:c>
      <x:c r="I268" s="5" t="str">
        <x:v> The European Union's Critical Medicines Act, proposed revisions to EU General Pharmaceutical Legislation (shortening regulatory data protection from 8 to 6 years), and the EU AI Act (enforcing strict conformity assessments on predictive algorithms) require pharmaceutical operators to achieve unprecedented data traceability.</x:v>
      </x:c>
      <x:c r="J268" s="5" t="str">
        <x:v>SOURCE QUOTE; unvalidated / superseded assessments</x:v>
      </x:c>
      <x:c r="L268" s="31" t="str">
        <x:v>D04, Markdown line 23; http://nas-1.tail55d152.ts.net:4100/static/2S_PHARMACEUTICALS_AND_CHEMICALS_SECTOR_DOSSIER.html</x:v>
      </x:c>
    </x:row>
    <x:row r="269" ht="42" customHeight="1">
      <x:c r="A269" s="5" t="str">
        <x:v>D04</x:v>
      </x:c>
      <x:c r="B269" s="5" t="str">
        <x:v>D04-L0029-1</x:v>
      </x:c>
      <x:c r="C269" s="5" t="str">
        <x:v>1.2 Bountytek AB &amp; 2S Consulting Asymmetric Market Position</x:v>
      </x:c>
      <x:c r="D269" s="5" t="n">
        <x:v>29</x:v>
      </x:c>
      <x:c r="E269" s="5" t="n">
        <x:v>29</x:v>
      </x:c>
      <x:c r="F269" s="5" t="str">
        <x:v>heading</x:v>
      </x:c>
      <x:c r="G269" s="5" t="n">
        <x:v>1</x:v>
      </x:c>
      <x:c r="H269" s="5" t="n">
        <x:v>1</x:v>
      </x:c>
      <x:c r="I269" s="5" t="str">
        <x:v>### 1.2 Bountytek AB &amp; 2S Consulting Asymmetric Market Position</x:v>
      </x:c>
      <x:c r="J269" s="5" t="str">
        <x:v>SOURCE QUOTE; unvalidated / superseded assessments</x:v>
      </x:c>
      <x:c r="L269" s="31" t="str">
        <x:v>D04, Markdown line 29; http://nas-1.tail55d152.ts.net:4100/static/2S_PHARMACEUTICALS_AND_CHEMICALS_SECTOR_DOSSIER.html</x:v>
      </x:c>
    </x:row>
    <x:row r="270" ht="224" customHeight="1">
      <x:c r="A270" s="5" t="str">
        <x:v>D04</x:v>
      </x:c>
      <x:c r="B270" s="5" t="str">
        <x:v>D04-L0030-1</x:v>
      </x:c>
      <x:c r="C270" s="5" t="str">
        <x:v>1.2 Bountytek AB &amp; 2S Consulting Asymmetric Market Position</x:v>
      </x:c>
      <x:c r="D270" s="5" t="n">
        <x:v>30</x:v>
      </x:c>
      <x:c r="E270" s="5" t="n">
        <x:v>34</x:v>
      </x:c>
      <x:c r="F270" s="5" t="str">
        <x:v>text</x:v>
      </x:c>
      <x:c r="G270" s="5" t="n">
        <x:v>1</x:v>
      </x:c>
      <x:c r="H270" s="5" t="n">
        <x:v>1</x:v>
      </x:c>
      <x:c r="I270" s="5" t="str">
        <x:v>**Bountytek AB** (Sweden) operates as the exclusive commercial agent, prime contractor, and local operational distributor in the Nordics for **2S Consulting** ([https://www.2sconsulting.com/](https://www.2sconsulting.com/)) and **Numantra Technologies** ([https://www.numantratech.ai/](https://www.numantratech.ai/)). This alliance brings a battle-tested heritage in pharmaceutical enterprise systems, executive dashboards, and supply chain operations, backed by domestic Swedish contracting (Bolagsverket, F-skatt, local bank accounts). As documented in 2S's authoritative enterprise publications:
- *2S Perspectives: MTM Losses in Indian Pharma* (treasury risk, currency volatility, and hedging governance)
- *2S Perspectives: Optimizing Product and Customer Mix* (pruning margin-dilutive SKUs and unremunerative API customer accounts)
- *White Paper: Pharma NCE R&amp;D Productivity Monitoring* (tracking capital allocation, milestone progress, and cost burn across New Chemical Entity clinical phases)
- *2S POV: Executive Dashboards in Pharma &amp; Chemicals* (unifying primary ERP billing, secondary stockist sales, and field CRM data into executive visibility consoles)</x:v>
      </x:c>
      <x:c r="J270" s="5" t="str">
        <x:v>SOURCE QUOTE; unvalidated / superseded assessments</x:v>
      </x:c>
      <x:c r="L270" s="31" t="str">
        <x:v>D04, Markdown line 30; http://nas-1.tail55d152.ts.net:4100/static/2S_PHARMACEUTICALS_AND_CHEMICALS_SECTOR_DOSSIER.html</x:v>
      </x:c>
    </x:row>
    <x:row r="271" ht="70" customHeight="1">
      <x:c r="A271" s="5" t="str">
        <x:v>D04</x:v>
      </x:c>
      <x:c r="B271" s="5" t="str">
        <x:v>D04-L0036-1</x:v>
      </x:c>
      <x:c r="C271" s="5" t="str">
        <x:v>1.2 Bountytek AB &amp; 2S Consulting Asymmetric Market Position</x:v>
      </x:c>
      <x:c r="D271" s="5" t="n">
        <x:v>36</x:v>
      </x:c>
      <x:c r="E271" s="5" t="n">
        <x:v>36</x:v>
      </x:c>
      <x:c r="F271" s="5" t="str">
        <x:v>text</x:v>
      </x:c>
      <x:c r="G271" s="5" t="n">
        <x:v>1</x:v>
      </x:c>
      <x:c r="H271" s="5" t="n">
        <x:v>1</x:v>
      </x:c>
      <x:c r="I271" s="5" t="str">
        <x:v>By integrating 2S's proven chemical and pharmaceutical operating methodologies with Numantra's **HCare360 cognitive platform**, Finnish sovereign cloud infrastructure (ISO 27001/27017/27018), and GxP data governance frameworks, Bountytek AB delivers immediate, high-margin value-engineering sprints to Nordic pharmaceutical and chemical enterprises.</x:v>
      </x:c>
      <x:c r="J271" s="5" t="str">
        <x:v>SOURCE QUOTE; unvalidated / superseded assessments</x:v>
      </x:c>
      <x:c r="L271" s="31" t="str">
        <x:v>D04, Markdown line 36; http://nas-1.tail55d152.ts.net:4100/static/2S_PHARMACEUTICALS_AND_CHEMICALS_SECTOR_DOSSIER.html</x:v>
      </x:c>
    </x:row>
    <x:row r="272" ht="42" customHeight="1">
      <x:c r="A272" s="5" t="str">
        <x:v>D04</x:v>
      </x:c>
      <x:c r="B272" s="5" t="str">
        <x:v>D04-L0040-1</x:v>
      </x:c>
      <x:c r="C272" s="5" t="str">
        <x:v>2. Value Chain &amp; Detailed Industry Structure</x:v>
      </x:c>
      <x:c r="D272" s="5" t="n">
        <x:v>40</x:v>
      </x:c>
      <x:c r="E272" s="5" t="n">
        <x:v>40</x:v>
      </x:c>
      <x:c r="F272" s="5" t="str">
        <x:v>heading</x:v>
      </x:c>
      <x:c r="G272" s="5" t="n">
        <x:v>1</x:v>
      </x:c>
      <x:c r="H272" s="5" t="n">
        <x:v>1</x:v>
      </x:c>
      <x:c r="I272" s="5" t="str">
        <x:v>## 2. Value Chain &amp; Detailed Industry Structure</x:v>
      </x:c>
      <x:c r="J272" s="5" t="str">
        <x:v>SOURCE QUOTE; unvalidated / superseded assessments</x:v>
      </x:c>
      <x:c r="L272" s="31" t="str">
        <x:v>D04, Markdown line 40; http://nas-1.tail55d152.ts.net:4100/static/2S_PHARMACEUTICALS_AND_CHEMICALS_SECTOR_DOSSIER.html</x:v>
      </x:c>
    </x:row>
    <x:row r="273" ht="56" customHeight="1">
      <x:c r="A273" s="5" t="str">
        <x:v>D04</x:v>
      </x:c>
      <x:c r="B273" s="5" t="str">
        <x:v>D04-L0042-1</x:v>
      </x:c>
      <x:c r="C273" s="5" t="str">
        <x:v>2. Value Chain &amp; Detailed Industry Structure</x:v>
      </x:c>
      <x:c r="D273" s="5" t="n">
        <x:v>42</x:v>
      </x:c>
      <x:c r="E273" s="5" t="n">
        <x:v>42</x:v>
      </x:c>
      <x:c r="F273" s="5" t="str">
        <x:v>text</x:v>
      </x:c>
      <x:c r="G273" s="5" t="n">
        <x:v>1</x:v>
      </x:c>
      <x:c r="H273" s="5" t="n">
        <x:v>1</x:v>
      </x:c>
      <x:c r="I273" s="5" t="str">
        <x:v>The Nordic pharmaceutical and chemical industry operates as a highly integrated, four-stage value chain characterized by deep university spin-off integration, specialized contract manufacturing, and strict regional public healthcare procurement.</x:v>
      </x:c>
      <x:c r="J273" s="5" t="str">
        <x:v>SOURCE QUOTE; unvalidated / superseded assessments</x:v>
      </x:c>
      <x:c r="L273" s="31" t="str">
        <x:v>D04, Markdown line 42; http://nas-1.tail55d152.ts.net:4100/static/2S_PHARMACEUTICALS_AND_CHEMICALS_SECTOR_DOSSIER.html</x:v>
      </x:c>
    </x:row>
    <x:row r="274" ht="364" customHeight="1">
      <x:c r="A274" s="5" t="str">
        <x:v>D04</x:v>
      </x:c>
      <x:c r="B274" s="5" t="str">
        <x:v>D04-L0044-1</x:v>
      </x:c>
      <x:c r="C274" s="5" t="str">
        <x:v>2. Value Chain &amp; Detailed Industry Structure</x:v>
      </x:c>
      <x:c r="D274" s="5" t="n">
        <x:v>44</x:v>
      </x:c>
      <x:c r="E274" s="5" t="n">
        <x:v>82</x:v>
      </x:c>
      <x:c r="F274" s="5" t="str">
        <x:v>diagram / code</x:v>
      </x:c>
      <x:c r="G274" s="5" t="n">
        <x:v>1</x:v>
      </x:c>
      <x:c r="H274" s="5" t="n">
        <x:v>3</x:v>
      </x:c>
      <x:c r="I274" s="5" t="str">
        <x:v>```
┌──────────────────────────────────────────────────────────────────────────────────────────────────┐
│                   NORDIC PHARMACEUTICALS &amp; SPECIALTY CHEMICALS VALUE CHAIN                       │
└──────────────────────────────────────────────────────────────────────────────────────────────────┘
                                                  │
 ┌────────────────────────────────────────────────▼───────────────────────────────────────────────┐
 │ 1. UPSTREAM: DISCOVERY &amp; PRECLINICAL SCIENCES                                                  │
 │ • Target Identification &amp; Validation (Genomics, Cryo-EM, AlphaFold Structural Biology)        │
 │ • Medicinal Chemistry &amp; High-Throughput Screening (HTS) (Pelago Bioscience, Red Glead)        │
 │ • AI-Driven De Novo Molecule Design &amp; In Silico Screening (ANYO Labs, AstraZeneca iMed)        │
 │ • In Vitro / In Vivo Pharmacokinetics, ADMET, and Formulation Feasibility                     │
 └────────────────────────────────────────────────┬───────────────────────────────────────────────┘
                                                  │
 ┌────────────────────────────────────────────────▼─────────────────────────────────────────</x:v>
      </x:c>
      <x:c r="J274" s="5" t="str">
        <x:v>SOURCE QUOTE; unvalidated / superseded assessments</x:v>
      </x:c>
      <x:c r="L274" s="31" t="str">
        <x:v>D04, Markdown line 44; http://nas-1.tail55d152.ts.net:4100/static/2S_PHARMACEUTICALS_AND_CHEMICALS_SECTOR_DOSSIER.html</x:v>
      </x:c>
    </x:row>
    <x:row r="275" ht="364" customHeight="1">
      <x:c r="A275" s="5" t="str">
        <x:v>D04</x:v>
      </x:c>
      <x:c r="B275" s="5" t="str">
        <x:v>D04-L0044-2</x:v>
      </x:c>
      <x:c r="C275" s="5" t="str">
        <x:v>2. Value Chain &amp; Detailed Industry Structure</x:v>
      </x:c>
      <x:c r="D275" s="5" t="n">
        <x:v>44</x:v>
      </x:c>
      <x:c r="E275" s="5" t="n">
        <x:v>82</x:v>
      </x:c>
      <x:c r="F275" s="5" t="str">
        <x:v>diagram / code</x:v>
      </x:c>
      <x:c r="G275" s="5" t="n">
        <x:v>2</x:v>
      </x:c>
      <x:c r="H275" s="5" t="n">
        <x:v>3</x:v>
      </x:c>
      <x:c r="I275" s="5" t="str">
        <x:v>──────┐
 │ 2. MIDSTREAM: CHEMICAL SYNTHESIS, API &amp; CDMO MANUFACTURING                                    │
 │ • Small Molecule Chemical Synthesis (Cambrex Karlskoga - Energetic/Hazardous Chemistry)        │
 │ • Peptide &amp; Oligonucleotide Solid-Phase Synthesis (PolyPeptide Group Malmö, Novo Nordisk)      │
 │ • Large Molecule Biomanufacturing (AstraZeneca Södertälje, BioInvent Lund, Octapharma)         │
 │ • Formulation &amp; Advanced Drug Delivery (Camurus FluidCrystal Lipid Depot, Iconovo Inhalation) │
 │ • Finished Dose Form Manufacturing: Solid Oral, Sterile Injectable (Recipharm, APL)           │
 │ • Analytical QC/QA, Batch Release, GxP Validation, and LIMS Data Governance                   │
 └────────────────────────────────────────────────┬───────────────────────────────────────────────┘
                                                  │
 ┌────────────────────────────────────────────────▼───────────────────────────────────────────────┐
 │ 3. DOWNSTREAM: CLINICAL DEVELOPMENT, REGULATORY &amp; COMMERCIAL OPERATIONS                        │
 │ • Clinical Operations Phases I–IV (CROs: TFS HealthScience, LINK Medical, Optimapharm)        │
 │ • Regulatory Submissions (EMA, Swedish MPA</x:v>
      </x:c>
      <x:c r="J275" s="5" t="str">
        <x:v>SOURCE QUOTE; unvalidated / superseded assessments</x:v>
      </x:c>
      <x:c r="L275" s="31" t="str">
        <x:v>D04, Markdown line 44; http://nas-1.tail55d152.ts.net:4100/static/2S_PHARMACEUTICALS_AND_CHEMICALS_SECTOR_DOSSIER.html</x:v>
      </x:c>
    </x:row>
    <x:row r="276" ht="336" customHeight="1">
      <x:c r="A276" s="5" t="str">
        <x:v>D04</x:v>
      </x:c>
      <x:c r="B276" s="5" t="str">
        <x:v>D04-L0044-3</x:v>
      </x:c>
      <x:c r="C276" s="5" t="str">
        <x:v>2. Value Chain &amp; Detailed Industry Structure</x:v>
      </x:c>
      <x:c r="D276" s="5" t="n">
        <x:v>44</x:v>
      </x:c>
      <x:c r="E276" s="5" t="n">
        <x:v>82</x:v>
      </x:c>
      <x:c r="F276" s="5" t="str">
        <x:v>diagram / code</x:v>
      </x:c>
      <x:c r="G276" s="5" t="n">
        <x:v>3</x:v>
      </x:c>
      <x:c r="H276" s="5" t="n">
        <x:v>3</x:v>
      </x:c>
      <x:c r="I276" s="5" t="str">
        <x:v> / Läkemedelsverket, Danish DMA, Fimea, NOMA)       │
 │ • Health Economics &amp; Market Access (TLV Sweden, Medicinrådet Denmark, Beslutningsforum Norway) │
 │ • Wholesale Logistics &amp; Distribution (Tamro, Oriola, Norsk Medisinaldepot)                    │
 │ • Commercial S&amp;OP, Hospital Public Tenders, and Gross-to-Net (GTN) Rebate Management          │
 └────────────────────────────────────────────────┬───────────────────────────────────────────────┘
                                                  │
 ┌────────────────────────────────────────────────▼───────────────────────────────────────────────┐
 │ 4. STRATEGIC SUPPLY CHAIN &amp; GEOPOLITICAL RESILIENCE                                            │
 │ • Key Starting Materials (KSM) Sourcing (Mitigating 70%+ Dependency on China/India)           │
 │ • European Critical Medicines Act Reshoring &amp; Security-of-Supply Compliance                    │
 │ • Green Chemistry: Continuous Flow Synthesis, Solvent Recovery, and PFAS Phase-Out            │
 └────────────────────────────────────────────────────────────────────────────────────────────────┘
```</x:v>
      </x:c>
      <x:c r="J276" s="5" t="str">
        <x:v>SOURCE QUOTE; unvalidated / superseded assessments</x:v>
      </x:c>
      <x:c r="L276" s="31" t="str">
        <x:v>D04, Markdown line 44; http://nas-1.tail55d152.ts.net:4100/static/2S_PHARMACEUTICALS_AND_CHEMICALS_SECTOR_DOSSIER.html</x:v>
      </x:c>
    </x:row>
    <x:row r="277" ht="42" customHeight="1">
      <x:c r="A277" s="5" t="str">
        <x:v>D04</x:v>
      </x:c>
      <x:c r="B277" s="5" t="str">
        <x:v>D04-L0084-1</x:v>
      </x:c>
      <x:c r="C277" s="5" t="str">
        <x:v>2.1 Upstream: Discovery &amp; Preclinical Chemistry</x:v>
      </x:c>
      <x:c r="D277" s="5" t="n">
        <x:v>84</x:v>
      </x:c>
      <x:c r="E277" s="5" t="n">
        <x:v>84</x:v>
      </x:c>
      <x:c r="F277" s="5" t="str">
        <x:v>heading</x:v>
      </x:c>
      <x:c r="G277" s="5" t="n">
        <x:v>1</x:v>
      </x:c>
      <x:c r="H277" s="5" t="n">
        <x:v>1</x:v>
      </x:c>
      <x:c r="I277" s="5" t="str">
        <x:v>### 2.1 Upstream: Discovery &amp; Preclinical Chemistry</x:v>
      </x:c>
      <x:c r="J277" s="5" t="str">
        <x:v>SOURCE QUOTE; unvalidated / superseded assessments</x:v>
      </x:c>
      <x:c r="L277" s="31" t="str">
        <x:v>D04, Markdown line 84; http://nas-1.tail55d152.ts.net:4100/static/2S_PHARMACEUTICALS_AND_CHEMICALS_SECTOR_DOSSIER.html</x:v>
      </x:c>
    </x:row>
    <x:row r="278" ht="210" customHeight="1">
      <x:c r="A278" s="5" t="str">
        <x:v>D04</x:v>
      </x:c>
      <x:c r="B278" s="5" t="str">
        <x:v>D04-L0085-1</x:v>
      </x:c>
      <x:c r="C278" s="5" t="str">
        <x:v>2.1 Upstream: Discovery &amp; Preclinical Chemistry</x:v>
      </x:c>
      <x:c r="D278" s="5" t="n">
        <x:v>85</x:v>
      </x:c>
      <x:c r="E278" s="5" t="n">
        <x:v>90</x:v>
      </x:c>
      <x:c r="F278" s="5" t="str">
        <x:v>text</x:v>
      </x:c>
      <x:c r="G278" s="5" t="n">
        <x:v>1</x:v>
      </x:c>
      <x:c r="H278" s="5" t="n">
        <x:v>1</x:v>
      </x:c>
      <x:c r="I278" s="5" t="str">
        <x:v>* **Target Identification &amp; Structural Biology**: Concentrated around world-class academic institutions (Karolinska Institutet, Lund University, Uppsala University, University of Copenhagen, University of Helsinki) and research infrastructure like MAX IV Laboratory and the European Spallation Source (ESS) in Lund.
* **Medicinal Chemistry &amp; Preclinical CROs**: High-density preclinical research organizations support early hit-to-lead and lead optimization:
  - *Red Glead Discovery AB* (Lund, Sweden): Integrated medicinal chemistry, peptide synthesis, bioanalysis, and ADME profiling.
  - *Pelago Bioscience AB* (Solna, Sweden): Developers of Cellular Thermal Shift Assay (CETSA®) for physiological target engagement.
  - *ANYO Labs AB* (Gothenburg, Sweden): Quantum mechanics and machine learning-driven computational drug discovery.
* **Key Upstream Structural Challenges**: High capital burn with binary clinical failure risks; fragmented laboratory data silos; manual assay-to-LIMS data transcription.</x:v>
      </x:c>
      <x:c r="J278" s="5" t="str">
        <x:v>SOURCE QUOTE; unvalidated / superseded assessments</x:v>
      </x:c>
      <x:c r="L278" s="31" t="str">
        <x:v>D04, Markdown line 85; http://nas-1.tail55d152.ts.net:4100/static/2S_PHARMACEUTICALS_AND_CHEMICALS_SECTOR_DOSSIER.html</x:v>
      </x:c>
    </x:row>
    <x:row r="279" ht="42" customHeight="1">
      <x:c r="A279" s="5" t="str">
        <x:v>D04</x:v>
      </x:c>
      <x:c r="B279" s="5" t="str">
        <x:v>D04-L0092-1</x:v>
      </x:c>
      <x:c r="C279" s="5" t="str">
        <x:v>2.2 Midstream: Chemical Synthesis, API &amp; CDMO Manufacturing</x:v>
      </x:c>
      <x:c r="D279" s="5" t="n">
        <x:v>92</x:v>
      </x:c>
      <x:c r="E279" s="5" t="n">
        <x:v>92</x:v>
      </x:c>
      <x:c r="F279" s="5" t="str">
        <x:v>heading</x:v>
      </x:c>
      <x:c r="G279" s="5" t="n">
        <x:v>1</x:v>
      </x:c>
      <x:c r="H279" s="5" t="n">
        <x:v>1</x:v>
      </x:c>
      <x:c r="I279" s="5" t="str">
        <x:v>### 2.2 Midstream: Chemical Synthesis, API &amp; CDMO Manufacturing</x:v>
      </x:c>
      <x:c r="J279" s="5" t="str">
        <x:v>SOURCE QUOTE; unvalidated / superseded assessments</x:v>
      </x:c>
      <x:c r="L279" s="31" t="str">
        <x:v>D04, Markdown line 92; http://nas-1.tail55d152.ts.net:4100/static/2S_PHARMACEUTICALS_AND_CHEMICALS_SECTOR_DOSSIER.html</x:v>
      </x:c>
    </x:row>
    <x:row r="280" ht="252" customHeight="1">
      <x:c r="A280" s="5" t="str">
        <x:v>D04</x:v>
      </x:c>
      <x:c r="B280" s="5" t="str">
        <x:v>D04-L0093-1</x:v>
      </x:c>
      <x:c r="C280" s="5" t="str">
        <x:v>2.2 Midstream: Chemical Synthesis, API &amp; CDMO Manufacturing</x:v>
      </x:c>
      <x:c r="D280" s="5" t="n">
        <x:v>93</x:v>
      </x:c>
      <x:c r="E280" s="5" t="n">
        <x:v>108</x:v>
      </x:c>
      <x:c r="F280" s="5" t="str">
        <x:v>text</x:v>
      </x:c>
      <x:c r="G280" s="5" t="n">
        <x:v>1</x:v>
      </x:c>
      <x:c r="H280" s="5" t="n">
        <x:v>3</x:v>
      </x:c>
      <x:c r="I280" s="5" t="str">
        <x:v>The midstream constitutes the industrial heart of Nordic pharmaceutical manufacturing:
* **Small Molecule Chemical Synthesis &amp; Hazardous Chemistry**:
  - *Cambrex Karlskoga AB* (Karlskoga, Sweden): Operating on the historic Alfred Nobel chemical site, Cambrex is a premier global CDMO specialized in energetic chemistry (nitrations, azides), continuous flow micro-reactors, and high-potency API (HPAPI) synthesis.
  - *Magle Chemoswed AB* (Malmö, Sweden): Specialist manufacturer of custom active pharmaceutical ingredients, fine chemicals, and degradable starch micro-particles.
  - *Syntagon AB / Ardena Södertälje* (Södertälje, Sweden): Custom synthesis and early-stage small molecule API scale-up.
* **Peptide &amp; Oligonucleotide Synthesis**:
  - *PolyPeptide Group* (Malmö, Sweden site): Global leader in solid-phase and liquid-phase peptide synthesis (SPPS/LPPS), manufacturing complex peptide APIs for metabolic disorders (GLP-1 analogues), oncology, and rare diseases.
* **Biomanufacturing &amp; Advanced Biologics**:
  - *AstraZeneca Södertälje Hub*: One of the world's largest finished pharmaceutical manufacturing facilities, alongside a state-of-the-art biological medicines manufacturing plant</x:v>
      </x:c>
      <x:c r="J280" s="5" t="str">
        <x:v>SOURCE QUOTE; unvalidated / superseded assessments</x:v>
      </x:c>
      <x:c r="L280" s="31" t="str">
        <x:v>D04, Markdown line 93; http://nas-1.tail55d152.ts.net:4100/static/2S_PHARMACEUTICALS_AND_CHEMICALS_SECTOR_DOSSIER.html</x:v>
      </x:c>
    </x:row>
    <x:row r="281" ht="252" customHeight="1">
      <x:c r="A281" s="5" t="str">
        <x:v>D04</x:v>
      </x:c>
      <x:c r="B281" s="5" t="str">
        <x:v>D04-L0093-2</x:v>
      </x:c>
      <x:c r="C281" s="5" t="str">
        <x:v>2.2 Midstream: Chemical Synthesis, API &amp; CDMO Manufacturing</x:v>
      </x:c>
      <x:c r="D281" s="5" t="n">
        <x:v>93</x:v>
      </x:c>
      <x:c r="E281" s="5" t="n">
        <x:v>108</x:v>
      </x:c>
      <x:c r="F281" s="5" t="str">
        <x:v>text</x:v>
      </x:c>
      <x:c r="G281" s="5" t="n">
        <x:v>2</x:v>
      </x:c>
      <x:c r="H281" s="5" t="n">
        <x:v>3</x:v>
      </x:c>
      <x:c r="I281" s="5" t="str">
        <x:v> producing monoclonal antibodies.
  - *Octapharma AB* (Stockholm, Sweden): High-capacity plasma fractionation plant producing human proteins, immunoglobulins, and clotting factors.
  - *BioInvent International AB* (Lund, Sweden): Integrated antibody discovery and in-house GxP biomanufacturing facility.
* **Contract Development &amp; Manufacturing Organizations (CDMOs)**:
  - *Recipharm AB* (Stockholm, Sweden / Global): Private equity-backed (EQT) top-5 global CDMO offering sterile injectables, lyophilization, oral solid dose, and inhalation formulation across multiple Swedish plants (Uppsala, Strängnäs, Karlskoga).
  - *Apotek Produktion &amp; Laboratorier AB (APL)* (Stockholm, Umeå, Malmö, Gothenburg): State-owned Nordic contract manufacturer specializing in extemporaneous medicines, hospital radiopharmaceuticals, and clinical trial supplies.
  - *Fresenius Kabi Sweden* (Uppsala &amp; Brunna): Global center for intravenous nutrition, parenteral lipids, and sterile emulsion formulation.
* **Key Midstream Structural Challenges**: Raw material price inflation; cleanroom batch changeover bottlenecks (3–5 day sanitization downtime); complex multi-stage yield variance; batch record data integrity (</x:v>
      </x:c>
      <x:c r="J281" s="5" t="str">
        <x:v>SOURCE QUOTE; unvalidated / superseded assessments</x:v>
      </x:c>
      <x:c r="L281" s="31" t="str">
        <x:v>D04, Markdown line 93; http://nas-1.tail55d152.ts.net:4100/static/2S_PHARMACEUTICALS_AND_CHEMICALS_SECTOR_DOSSIER.html</x:v>
      </x:c>
    </x:row>
    <x:row r="282" ht="42" customHeight="1">
      <x:c r="A282" s="5" t="str">
        <x:v>D04</x:v>
      </x:c>
      <x:c r="B282" s="5" t="str">
        <x:v>D04-L0093-3</x:v>
      </x:c>
      <x:c r="C282" s="5" t="str">
        <x:v>2.2 Midstream: Chemical Synthesis, API &amp; CDMO Manufacturing</x:v>
      </x:c>
      <x:c r="D282" s="5" t="n">
        <x:v>93</x:v>
      </x:c>
      <x:c r="E282" s="5" t="n">
        <x:v>108</x:v>
      </x:c>
      <x:c r="F282" s="5" t="str">
        <x:v>text</x:v>
      </x:c>
      <x:c r="G282" s="5" t="n">
        <x:v>3</x:v>
      </x:c>
      <x:c r="H282" s="5" t="n">
        <x:v>3</x:v>
      </x:c>
      <x:c r="I282" s="5" t="str">
        <x:v>21 CFR Part 11).</x:v>
      </x:c>
      <x:c r="J282" s="5" t="str">
        <x:v>SOURCE QUOTE; unvalidated / superseded assessments</x:v>
      </x:c>
      <x:c r="L282" s="31" t="str">
        <x:v>D04, Markdown line 93; http://nas-1.tail55d152.ts.net:4100/static/2S_PHARMACEUTICALS_AND_CHEMICALS_SECTOR_DOSSIER.html</x:v>
      </x:c>
    </x:row>
    <x:row r="283" ht="42" customHeight="1">
      <x:c r="A283" s="5" t="str">
        <x:v>D04</x:v>
      </x:c>
      <x:c r="B283" s="5" t="str">
        <x:v>D04-L0110-1</x:v>
      </x:c>
      <x:c r="C283" s="5" t="str">
        <x:v>2.3 Downstream: Clinical, Regulatory &amp; Commercialization</x:v>
      </x:c>
      <x:c r="D283" s="5" t="n">
        <x:v>110</x:v>
      </x:c>
      <x:c r="E283" s="5" t="n">
        <x:v>110</x:v>
      </x:c>
      <x:c r="F283" s="5" t="str">
        <x:v>heading</x:v>
      </x:c>
      <x:c r="G283" s="5" t="n">
        <x:v>1</x:v>
      </x:c>
      <x:c r="H283" s="5" t="n">
        <x:v>1</x:v>
      </x:c>
      <x:c r="I283" s="5" t="str">
        <x:v>### 2.3 Downstream: Clinical, Regulatory &amp; Commercialization</x:v>
      </x:c>
      <x:c r="J283" s="5" t="str">
        <x:v>SOURCE QUOTE; unvalidated / superseded assessments</x:v>
      </x:c>
      <x:c r="L283" s="31" t="str">
        <x:v>D04, Markdown line 110; http://nas-1.tail55d152.ts.net:4100/static/2S_PHARMACEUTICALS_AND_CHEMICALS_SECTOR_DOSSIER.html</x:v>
      </x:c>
    </x:row>
    <x:row r="284" ht="280" customHeight="1">
      <x:c r="A284" s="5" t="str">
        <x:v>D04</x:v>
      </x:c>
      <x:c r="B284" s="5" t="str">
        <x:v>D04-L0111-1</x:v>
      </x:c>
      <x:c r="C284" s="5" t="str">
        <x:v>2.3 Downstream: Clinical, Regulatory &amp; Commercialization</x:v>
      </x:c>
      <x:c r="D284" s="5" t="n">
        <x:v>111</x:v>
      </x:c>
      <x:c r="E284" s="5" t="n">
        <x:v>125</x:v>
      </x:c>
      <x:c r="F284" s="5" t="str">
        <x:v>text</x:v>
      </x:c>
      <x:c r="G284" s="5" t="n">
        <x:v>1</x:v>
      </x:c>
      <x:c r="H284" s="5" t="n">
        <x:v>2</x:v>
      </x:c>
      <x:c r="I284" s="5" t="str">
        <x:v>* **Clinical Operations &amp; Nordic CROs**:
  - *TFS HealthScience* (Stockholm/Lund, Sweden; Ratos owned): Mid-sized global clinical CRO providing Phase I–IV trial management with specialized oncology and dermatology units.
  - *LINK Medical Research* (Oslo, Norway / Stockholm / Copenhagen): Full-service Nordic-focused CRO managing clinical operations, biometrics, and regulatory submissions.
* **Regional Regulatory Authorities**:
  - *Läkemedelsverket* (Swedish Medical Products Agency / MPA, Uppsala).
  - *Lægemiddelstyrelsen* (Danish Medicines Agency / DMA, Copenhagen).
  - *Fimea* (Finnish Medicines Agency, Kuopio/Helsinki).
  - *Direktoratet for medisinske produkter / NOMA* (Norwegian Medical Products Agency, Oslo).
* **Health Technology Assessment (HTA) &amp; Market Access**:
  - *TLV (Tandvårds- och läkemedelsförmånsverket)* in Sweden: Evaluates cost-effectiveness and determines outpatient medicine reimbursement thresholds.
  - *Medicinrådet* in Denmark: Issues binding cost-benefit recommendations for hospital-administered pharmaceuticals.
  - *Beslutningsforum for nye metoder* in Norway: Centralized national council authorizing hospital medicines based on QALY (Quality-Adjusted Life</x:v>
      </x:c>
      <x:c r="J284" s="5" t="str">
        <x:v>SOURCE QUOTE; unvalidated / superseded assessments</x:v>
      </x:c>
      <x:c r="L284" s="31" t="str">
        <x:v>D04, Markdown line 111; http://nas-1.tail55d152.ts.net:4100/static/2S_PHARMACEUTICALS_AND_CHEMICALS_SECTOR_DOSSIER.html</x:v>
      </x:c>
    </x:row>
    <x:row r="285" ht="112" customHeight="1">
      <x:c r="A285" s="5" t="str">
        <x:v>D04</x:v>
      </x:c>
      <x:c r="B285" s="5" t="str">
        <x:v>D04-L0111-2</x:v>
      </x:c>
      <x:c r="C285" s="5" t="str">
        <x:v>2.3 Downstream: Clinical, Regulatory &amp; Commercialization</x:v>
      </x:c>
      <x:c r="D285" s="5" t="n">
        <x:v>111</x:v>
      </x:c>
      <x:c r="E285" s="5" t="n">
        <x:v>125</x:v>
      </x:c>
      <x:c r="F285" s="5" t="str">
        <x:v>text</x:v>
      </x:c>
      <x:c r="G285" s="5" t="n">
        <x:v>2</x:v>
      </x:c>
      <x:c r="H285" s="5" t="n">
        <x:v>2</x:v>
      </x:c>
      <x:c r="I285" s="5" t="str">
        <x:v> Year) thresholds.
* **Wholesale &amp; Commercial Distribution**:
  - Single-channel wholesale distribution dominated by *Tamro AB* (PHOENIX group) and *Oriola Corporation* in Sweden and Finland; *Norsk Medisinaldepot (NMD)* in Norway.
* **Key Downstream Structural Challenges**: Severe gross-to-net (GTN) pricing erosion in hospital tenders; fragmented regional hospital purchasing councils (21 Regioner in Sweden); complex cross-border parallel trade dynamics.</x:v>
      </x:c>
      <x:c r="J285" s="5" t="str">
        <x:v>SOURCE QUOTE; unvalidated / superseded assessments</x:v>
      </x:c>
      <x:c r="L285" s="31" t="str">
        <x:v>D04, Markdown line 111; http://nas-1.tail55d152.ts.net:4100/static/2S_PHARMACEUTICALS_AND_CHEMICALS_SECTOR_DOSSIER.html</x:v>
      </x:c>
    </x:row>
    <x:row r="286" ht="42" customHeight="1">
      <x:c r="A286" s="5" t="str">
        <x:v>D04</x:v>
      </x:c>
      <x:c r="B286" s="5" t="str">
        <x:v>D04-L0127-1</x:v>
      </x:c>
      <x:c r="C286" s="5" t="str">
        <x:v>2.4 Supply Chain Geopolitics &amp; Critical Vulnerabilities</x:v>
      </x:c>
      <x:c r="D286" s="5" t="n">
        <x:v>127</x:v>
      </x:c>
      <x:c r="E286" s="5" t="n">
        <x:v>127</x:v>
      </x:c>
      <x:c r="F286" s="5" t="str">
        <x:v>heading</x:v>
      </x:c>
      <x:c r="G286" s="5" t="n">
        <x:v>1</x:v>
      </x:c>
      <x:c r="H286" s="5" t="n">
        <x:v>1</x:v>
      </x:c>
      <x:c r="I286" s="5" t="str">
        <x:v>### 2.4 Supply Chain Geopolitics &amp; Critical Vulnerabilities</x:v>
      </x:c>
      <x:c r="J286" s="5" t="str">
        <x:v>SOURCE QUOTE; unvalidated / superseded assessments</x:v>
      </x:c>
      <x:c r="L286" s="31" t="str">
        <x:v>D04, Markdown line 127; http://nas-1.tail55d152.ts.net:4100/static/2S_PHARMACEUTICALS_AND_CHEMICALS_SECTOR_DOSSIER.html</x:v>
      </x:c>
    </x:row>
    <x:row r="287" ht="168" customHeight="1">
      <x:c r="A287" s="5" t="str">
        <x:v>D04</x:v>
      </x:c>
      <x:c r="B287" s="5" t="str">
        <x:v>D04-L0128-1</x:v>
      </x:c>
      <x:c r="C287" s="5" t="str">
        <x:v>2.4 Supply Chain Geopolitics &amp; Critical Vulnerabilities</x:v>
      </x:c>
      <x:c r="D287" s="5" t="n">
        <x:v>128</x:v>
      </x:c>
      <x:c r="E287" s="5" t="n">
        <x:v>130</x:v>
      </x:c>
      <x:c r="F287" s="5" t="str">
        <x:v>text</x:v>
      </x:c>
      <x:c r="G287" s="5" t="n">
        <x:v>1</x:v>
      </x:c>
      <x:c r="H287" s="5" t="n">
        <x:v>1</x:v>
      </x:c>
      <x:c r="I287" s="5" t="str">
        <x:v>* **Over-Reliance on Asian KSMs**: More than 70% of Key Starting Materials (KSMs) and chemical intermediates for Nordic drug products originate from China and India. Geopolitical disruptions, export bans, or maritime shipping delays trigger immediate production halts.
* **European Critical Medicines Act**: Enacted to bolster European drug security, the regulation imposes strict security-of-supply criteria in public tenders and incentivizes the reshoring of active substance production within the EEA.
* **Green Chemistry Mandates**: Stringent Nordic and EU environmental directives (REACH regulations, PFAS restrictions) require chemical synthesis plants to replace chlorinated solvents (dichloromethane, chloroform) with bio-based alternatives and adopt continuous-flow synthesis to reduce solvent waste by 40–60%.</x:v>
      </x:c>
      <x:c r="J287" s="5" t="str">
        <x:v>SOURCE QUOTE; unvalidated / superseded assessments</x:v>
      </x:c>
      <x:c r="L287" s="31" t="str">
        <x:v>D04, Markdown line 128; http://nas-1.tail55d152.ts.net:4100/static/2S_PHARMACEUTICALS_AND_CHEMICALS_SECTOR_DOSSIER.html</x:v>
      </x:c>
    </x:row>
    <x:row r="288" ht="42" customHeight="1">
      <x:c r="A288" s="5" t="str">
        <x:v>D04</x:v>
      </x:c>
      <x:c r="B288" s="5" t="str">
        <x:v>D04-L0134-1</x:v>
      </x:c>
      <x:c r="C288" s="5" t="str">
        <x:v>3. Nordic Market Sizing &amp; Financial Quantification</x:v>
      </x:c>
      <x:c r="D288" s="5" t="n">
        <x:v>134</x:v>
      </x:c>
      <x:c r="E288" s="5" t="n">
        <x:v>134</x:v>
      </x:c>
      <x:c r="F288" s="5" t="str">
        <x:v>heading</x:v>
      </x:c>
      <x:c r="G288" s="5" t="n">
        <x:v>1</x:v>
      </x:c>
      <x:c r="H288" s="5" t="n">
        <x:v>1</x:v>
      </x:c>
      <x:c r="I288" s="5" t="str">
        <x:v>## 3. Nordic Market Sizing &amp; Financial Quantification</x:v>
      </x:c>
      <x:c r="J288" s="5" t="str">
        <x:v>SOURCE QUOTE; unvalidated / superseded assessments</x:v>
      </x:c>
      <x:c r="L288" s="31" t="str">
        <x:v>D04, Markdown line 134; http://nas-1.tail55d152.ts.net:4100/static/2S_PHARMACEUTICALS_AND_CHEMICALS_SECTOR_DOSSIER.html</x:v>
      </x:c>
    </x:row>
    <x:row r="289" ht="42" customHeight="1">
      <x:c r="A289" s="5" t="str">
        <x:v>D04</x:v>
      </x:c>
      <x:c r="B289" s="5" t="str">
        <x:v>D04-L0136-1</x:v>
      </x:c>
      <x:c r="C289" s="5" t="str">
        <x:v>3.1 Total Addressable Market (TAM), SAM, and SOM</x:v>
      </x:c>
      <x:c r="D289" s="5" t="n">
        <x:v>136</x:v>
      </x:c>
      <x:c r="E289" s="5" t="n">
        <x:v>136</x:v>
      </x:c>
      <x:c r="F289" s="5" t="str">
        <x:v>heading</x:v>
      </x:c>
      <x:c r="G289" s="5" t="n">
        <x:v>1</x:v>
      </x:c>
      <x:c r="H289" s="5" t="n">
        <x:v>1</x:v>
      </x:c>
      <x:c r="I289" s="5" t="str">
        <x:v>### 3.1 Total Addressable Market (TAM), SAM, and SOM</x:v>
      </x:c>
      <x:c r="J289" s="5" t="str">
        <x:v>SOURCE QUOTE; unvalidated / superseded assessments</x:v>
      </x:c>
      <x:c r="L289" s="31" t="str">
        <x:v>D04, Markdown line 136; http://nas-1.tail55d152.ts.net:4100/static/2S_PHARMACEUTICALS_AND_CHEMICALS_SECTOR_DOSSIER.html</x:v>
      </x:c>
    </x:row>
    <x:row r="290" ht="42" customHeight="1">
      <x:c r="A290" s="5" t="str">
        <x:v>D04</x:v>
      </x:c>
      <x:c r="B290" s="5" t="str">
        <x:v>D04-L0137-1</x:v>
      </x:c>
      <x:c r="C290" s="5" t="str">
        <x:v>3.1 Total Addressable Market (TAM), SAM, and SOM</x:v>
      </x:c>
      <x:c r="D290" s="5" t="n">
        <x:v>137</x:v>
      </x:c>
      <x:c r="E290" s="5" t="n">
        <x:v>137</x:v>
      </x:c>
      <x:c r="F290" s="5" t="str">
        <x:v>text</x:v>
      </x:c>
      <x:c r="G290" s="5" t="n">
        <x:v>1</x:v>
      </x:c>
      <x:c r="H290" s="5" t="n">
        <x:v>1</x:v>
      </x:c>
      <x:c r="I290" s="5" t="str">
        <x:v>To establish a realistic commercial trajectory for 2S Consulting and Numantra Technologies, the market opportunity is segmented as follows:</x:v>
      </x:c>
      <x:c r="J290" s="5" t="str">
        <x:v>SOURCE QUOTE; unvalidated / superseded assessments</x:v>
      </x:c>
      <x:c r="L290" s="31" t="str">
        <x:v>D04, Markdown line 137; http://nas-1.tail55d152.ts.net:4100/static/2S_PHARMACEUTICALS_AND_CHEMICALS_SECTOR_DOSSIER.html</x:v>
      </x:c>
    </x:row>
    <x:row r="291" ht="406" customHeight="1">
      <x:c r="A291" s="5" t="str">
        <x:v>D04</x:v>
      </x:c>
      <x:c r="B291" s="5" t="str">
        <x:v>D04-L0139-1</x:v>
      </x:c>
      <x:c r="C291" s="5" t="str">
        <x:v>3.1 Total Addressable Market (TAM), SAM, and SOM</x:v>
      </x:c>
      <x:c r="D291" s="5" t="n">
        <x:v>139</x:v>
      </x:c>
      <x:c r="E291" s="5" t="n">
        <x:v>158</x:v>
      </x:c>
      <x:c r="F291" s="5" t="str">
        <x:v>diagram / code</x:v>
      </x:c>
      <x:c r="G291" s="5" t="n">
        <x:v>1</x:v>
      </x:c>
      <x:c r="H291" s="5" t="n">
        <x:v>2</x:v>
      </x:c>
      <x:c r="I291" s="5" t="str">
        <x:v>```
┌────────────────────────────────────────────────────────────────────────────────────────┐
│               2S CONSULTING MARKET SIZING: NORDIC PHARMA &amp; CHEMICALS                   │
└────────────────────────────────────────────────────────────────────────────────────────┘
 ┌──────────────────────────────────────────────────────────────────────────────────────┐
 │ TAM: Total Nordic Pharmaceutical &amp; Chemical Manufacturing Market                     │
 │ €14.5 Billion Annual Turnover | €4.5 Billion Annual R&amp;D Expenditure                 │
 └──────────────────────────────────────────┬───────────────────────────────────────────┘
                                            │
 ┌──────────────────────────────────────────▼───────────────────────────────────────────┐
 │ SAM: Serviceable Addressable Market (Digital Ops, S&amp;OP, GxP, AI, Margin Advisory)    │
 │ €340 Million Annual Addressable Spend across ~120 Nordic Corporate Entities          │
 └──────────────────────────────────────────┬───────────────────────────────────────────┘
                                            │
 ┌──────────────────────────────────────────▼───────────────────────────────────────────┐
 │ SOM: Serviceable O</x:v>
      </x:c>
      <x:c r="J291" s="5" t="str">
        <x:v>SOURCE QUOTE; unvalidated / superseded assessments</x:v>
      </x:c>
      <x:c r="L291" s="31" t="str">
        <x:v>D04, Markdown line 139; http://nas-1.tail55d152.ts.net:4100/static/2S_PHARMACEUTICALS_AND_CHEMICALS_SECTOR_DOSSIER.html</x:v>
      </x:c>
    </x:row>
    <x:row r="292" ht="98" customHeight="1">
      <x:c r="A292" s="5" t="str">
        <x:v>D04</x:v>
      </x:c>
      <x:c r="B292" s="5" t="str">
        <x:v>D04-L0139-2</x:v>
      </x:c>
      <x:c r="C292" s="5" t="str">
        <x:v>3.1 Total Addressable Market (TAM), SAM, and SOM</x:v>
      </x:c>
      <x:c r="D292" s="5" t="n">
        <x:v>139</x:v>
      </x:c>
      <x:c r="E292" s="5" t="n">
        <x:v>158</x:v>
      </x:c>
      <x:c r="F292" s="5" t="str">
        <x:v>diagram / code</x:v>
      </x:c>
      <x:c r="G292" s="5" t="n">
        <x:v>2</x:v>
      </x:c>
      <x:c r="H292" s="5" t="n">
        <x:v>2</x:v>
      </x:c>
      <x:c r="I292" s="5" t="str">
        <x:v>btainable Market (24-Month Target Pipeline for 2S / Numantra)      │
 │ €12.5 Million across 15–20 Tier-1/Tier-2/Tier-3 Account Engagements                  │
 └──────────────────────────────────────────────────────────────────────────────────────┘
```</x:v>
      </x:c>
      <x:c r="J292" s="5" t="str">
        <x:v>SOURCE QUOTE; unvalidated / superseded assessments</x:v>
      </x:c>
      <x:c r="L292" s="31" t="str">
        <x:v>D04, Markdown line 139; http://nas-1.tail55d152.ts.net:4100/static/2S_PHARMACEUTICALS_AND_CHEMICALS_SECTOR_DOSSIER.html</x:v>
      </x:c>
    </x:row>
    <x:row r="293" ht="210" customHeight="1">
      <x:c r="A293" s="5" t="str">
        <x:v>D04</x:v>
      </x:c>
      <x:c r="B293" s="5" t="str">
        <x:v>D04-L0160-1</x:v>
      </x:c>
      <x:c r="C293" s="5" t="str">
        <x:v>3.1 Total Addressable Market (TAM), SAM, and SOM</x:v>
      </x:c>
      <x:c r="D293" s="5" t="n">
        <x:v>160</x:v>
      </x:c>
      <x:c r="E293" s="5" t="n">
        <x:v>167</x:v>
      </x:c>
      <x:c r="F293" s="5" t="str">
        <x:v>text</x:v>
      </x:c>
      <x:c r="G293" s="5" t="n">
        <x:v>1</x:v>
      </x:c>
      <x:c r="H293" s="5" t="n">
        <x:v>1</x:v>
      </x:c>
      <x:c r="I293" s="5" t="str">
        <x:v>* **Total Addressable Market (TAM)**:
  - Total Nordic Ethical &amp; OTC Pharmaceutical Market: **€14.5 Billion** (Sweden: €5.8B, Denmark: €4.2B, Norway: €2.8B, Finland: €1.7B).
  - Total Nordic Life Science R&amp;D Spend: **€4.5 Billion** (concentrated heavily in Denmark and Sweden).
  - Chemical Synthesis, Small-Molecule API &amp; CDMO Segment: **€2.8 Billion**.
* **Serviceable Addressable Market (SAM)**:
  - The portion of external spending allocated to digital operations, S&amp;OP software, ERP consolidation, clinical milestone tracking, GxP compliance, and margin optimization: **€340 Million annually**.
* **Serviceable Obtainable Market (SOM)**:
  - Realistic 24-month revenue capture for 2S Consulting and Numantra Technologies via targeted fixed-fee diagnostic sprints and high-margin implementation retainers: **€12.5 Million** (representing ~3.7% of regional addressable consulting spend).</x:v>
      </x:c>
      <x:c r="J293" s="5" t="str">
        <x:v>SOURCE QUOTE; unvalidated / superseded assessments</x:v>
      </x:c>
      <x:c r="L293" s="31" t="str">
        <x:v>D04, Markdown line 160; http://nas-1.tail55d152.ts.net:4100/static/2S_PHARMACEUTICALS_AND_CHEMICALS_SECTOR_DOSSIER.html</x:v>
      </x:c>
    </x:row>
    <x:row r="294" ht="42" customHeight="1">
      <x:c r="A294" s="5" t="str">
        <x:v>D04</x:v>
      </x:c>
      <x:c r="B294" s="5" t="str">
        <x:v>D04-L0169-1</x:v>
      </x:c>
      <x:c r="C294" s="5" t="str">
        <x:v>3.2 Macro Growth Drivers</x:v>
      </x:c>
      <x:c r="D294" s="5" t="n">
        <x:v>169</x:v>
      </x:c>
      <x:c r="E294" s="5" t="n">
        <x:v>169</x:v>
      </x:c>
      <x:c r="F294" s="5" t="str">
        <x:v>heading</x:v>
      </x:c>
      <x:c r="G294" s="5" t="n">
        <x:v>1</x:v>
      </x:c>
      <x:c r="H294" s="5" t="n">
        <x:v>1</x:v>
      </x:c>
      <x:c r="I294" s="5" t="str">
        <x:v>### 3.2 Macro Growth Drivers</x:v>
      </x:c>
      <x:c r="J294" s="5" t="str">
        <x:v>SOURCE QUOTE; unvalidated / superseded assessments</x:v>
      </x:c>
      <x:c r="L294" s="31" t="str">
        <x:v>D04, Markdown line 169; http://nas-1.tail55d152.ts.net:4100/static/2S_PHARMACEUTICALS_AND_CHEMICALS_SECTOR_DOSSIER.html</x:v>
      </x:c>
    </x:row>
    <x:row r="295" ht="196" customHeight="1">
      <x:c r="A295" s="5" t="str">
        <x:v>D04</x:v>
      </x:c>
      <x:c r="B295" s="5" t="str">
        <x:v>D04-L0170-1</x:v>
      </x:c>
      <x:c r="C295" s="5" t="str">
        <x:v>3.2 Macro Growth Drivers</x:v>
      </x:c>
      <x:c r="D295" s="5" t="n">
        <x:v>170</x:v>
      </x:c>
      <x:c r="E295" s="5" t="n">
        <x:v>173</x:v>
      </x:c>
      <x:c r="F295" s="5" t="str">
        <x:v>text</x:v>
      </x:c>
      <x:c r="G295" s="5" t="n">
        <x:v>1</x:v>
      </x:c>
      <x:c r="H295" s="5" t="n">
        <x:v>1</x:v>
      </x:c>
      <x:c r="I295" s="5" t="str">
        <x:v>1. **The GLP-1 &amp; Peptide Super-Cycle**: Driven by Novo Nordisk's global dominance in semaglutide and the expanding pipeline of peptide therapeutics, CDMOs like PolyPeptide Group and suppliers like Biotage are experiencing historic demand for peptide synthesis capacity.
2. **Reshoring and Supply Chain Sovereignty**: Under the EU Critical Medicines Act, Nordic governments and regional hospital councils are actively favoring suppliers with dual-source European manufacturing footprints.
3. **AI Integration in GxP &amp; Discovery**: The convergence of predictive computational biology with laboratory automation requires robust verification engines to meet EU AI Act standards.
4. **Specialty Pharma Growth**: Mid-sized players are expanding aggressively through acquisitions of mature products, creating an urgent need for post-merger ERP consolidation and commercial sales portals.</x:v>
      </x:c>
      <x:c r="J295" s="5" t="str">
        <x:v>SOURCE QUOTE; unvalidated / superseded assessments</x:v>
      </x:c>
      <x:c r="L295" s="31" t="str">
        <x:v>D04, Markdown line 170; http://nas-1.tail55d152.ts.net:4100/static/2S_PHARMACEUTICALS_AND_CHEMICALS_SECTOR_DOSSIER.html</x:v>
      </x:c>
    </x:row>
    <x:row r="296" ht="42" customHeight="1">
      <x:c r="A296" s="5" t="str">
        <x:v>D04</x:v>
      </x:c>
      <x:c r="B296" s="5" t="str">
        <x:v>D04-L0175-1</x:v>
      </x:c>
      <x:c r="C296" s="5" t="str">
        <x:v>3.3 Quantified Client Structural Friction Points</x:v>
      </x:c>
      <x:c r="D296" s="5" t="n">
        <x:v>175</x:v>
      </x:c>
      <x:c r="E296" s="5" t="n">
        <x:v>175</x:v>
      </x:c>
      <x:c r="F296" s="5" t="str">
        <x:v>heading</x:v>
      </x:c>
      <x:c r="G296" s="5" t="n">
        <x:v>1</x:v>
      </x:c>
      <x:c r="H296" s="5" t="n">
        <x:v>1</x:v>
      </x:c>
      <x:c r="I296" s="5" t="str">
        <x:v>### 3.3 Quantified Client Structural Friction Points</x:v>
      </x:c>
      <x:c r="J296" s="5" t="str">
        <x:v>SOURCE QUOTE; unvalidated / superseded assessments</x:v>
      </x:c>
      <x:c r="L296" s="31" t="str">
        <x:v>D04, Markdown line 175; http://nas-1.tail55d152.ts.net:4100/static/2S_PHARMACEUTICALS_AND_CHEMICALS_SECTOR_DOSSIER.html</x:v>
      </x:c>
    </x:row>
    <x:row r="297" ht="196" customHeight="1">
      <x:c r="A297" s="5" t="str">
        <x:v>D04</x:v>
      </x:c>
      <x:c r="B297" s="5" t="str">
        <x:v>D04-L0176-1</x:v>
      </x:c>
      <x:c r="C297" s="5" t="str">
        <x:v>3.3 Quantified Client Structural Friction Points</x:v>
      </x:c>
      <x:c r="D297" s="5" t="n">
        <x:v>176</x:v>
      </x:c>
      <x:c r="E297" s="5" t="n">
        <x:v>179</x:v>
      </x:c>
      <x:c r="F297" s="5" t="str">
        <x:v>text</x:v>
      </x:c>
      <x:c r="G297" s="5" t="n">
        <x:v>1</x:v>
      </x:c>
      <x:c r="H297" s="5" t="n">
        <x:v>1</x:v>
      </x:c>
      <x:c r="I297" s="5" t="str">
        <x:v>* **Trial Delay Cash Burn**: Mid-stage clinical trials average an operating burn of **€25,000 per calendar day**. A 6-month delay in patient enrollment results in a **€4.5 Million cash drain**.
* **API Margin Squeeze**: Nordic small-molecule API plants operate on gross margins of 20% to 32%, compared to historical norms of 45%. Chinese price erosion directly threatens plant viability unless synthesis yields and multi-product batch scheduling are mathematically optimized.
* **Gross-to-Net Tender Erosion**: Generics and specialty distributors lose **8% to 18%** of contract value due to unpredicted tender penalty clawbacks, uncoordinated wholesaler inventory buffers, and manual rebate reconciliations.
* **Planning Gridlock**: Over 65% of Nordic mid-sized pharma companies still manage their Sales &amp; Operations Planning (S&amp;OP) using disconnected Microsoft Excel workbooks, requiring **3 to 4 months** to complete an annual budgeting cycle.</x:v>
      </x:c>
      <x:c r="J297" s="5" t="str">
        <x:v>SOURCE QUOTE; unvalidated / superseded assessments</x:v>
      </x:c>
      <x:c r="L297" s="31" t="str">
        <x:v>D04, Markdown line 176; http://nas-1.tail55d152.ts.net:4100/static/2S_PHARMACEUTICALS_AND_CHEMICALS_SECTOR_DOSSIER.html</x:v>
      </x:c>
    </x:row>
    <x:row r="298" ht="42" customHeight="1">
      <x:c r="A298" s="5" t="str">
        <x:v>D04</x:v>
      </x:c>
      <x:c r="B298" s="5" t="str">
        <x:v>D04-L0183-1</x:v>
      </x:c>
      <x:c r="C298" s="5" t="str">
        <x:v>4. Macro Regulatory &amp; Competitive Forces</x:v>
      </x:c>
      <x:c r="D298" s="5" t="n">
        <x:v>183</x:v>
      </x:c>
      <x:c r="E298" s="5" t="n">
        <x:v>183</x:v>
      </x:c>
      <x:c r="F298" s="5" t="str">
        <x:v>heading</x:v>
      </x:c>
      <x:c r="G298" s="5" t="n">
        <x:v>1</x:v>
      </x:c>
      <x:c r="H298" s="5" t="n">
        <x:v>1</x:v>
      </x:c>
      <x:c r="I298" s="5" t="str">
        <x:v>## 4. Macro Regulatory &amp; Competitive Forces</x:v>
      </x:c>
      <x:c r="J298" s="5" t="str">
        <x:v>SOURCE QUOTE; unvalidated / superseded assessments</x:v>
      </x:c>
      <x:c r="L298" s="31" t="str">
        <x:v>D04, Markdown line 183; http://nas-1.tail55d152.ts.net:4100/static/2S_PHARMACEUTICALS_AND_CHEMICALS_SECTOR_DOSSIER.html</x:v>
      </x:c>
    </x:row>
    <x:row r="299" ht="42" customHeight="1">
      <x:c r="A299" s="5" t="str">
        <x:v>D04</x:v>
      </x:c>
      <x:c r="B299" s="5" t="str">
        <x:v>D04-L0195-1</x:v>
      </x:c>
      <x:c r="C299" s="5" t="str">
        <x:v>5. Comprehensive Key Company Directory &amp; Tiered Segmentation</x:v>
      </x:c>
      <x:c r="D299" s="5" t="n">
        <x:v>195</x:v>
      </x:c>
      <x:c r="E299" s="5" t="n">
        <x:v>195</x:v>
      </x:c>
      <x:c r="F299" s="5" t="str">
        <x:v>heading</x:v>
      </x:c>
      <x:c r="G299" s="5" t="n">
        <x:v>1</x:v>
      </x:c>
      <x:c r="H299" s="5" t="n">
        <x:v>1</x:v>
      </x:c>
      <x:c r="I299" s="5" t="str">
        <x:v>## 5. Comprehensive Key Company Directory &amp; Tiered Segmentation</x:v>
      </x:c>
      <x:c r="J299" s="5" t="str">
        <x:v>SOURCE QUOTE; unvalidated / superseded assessments</x:v>
      </x:c>
      <x:c r="L299" s="31" t="str">
        <x:v>D04, Markdown line 195; http://nas-1.tail55d152.ts.net:4100/static/2S_PHARMACEUTICALS_AND_CHEMICALS_SECTOR_DOSSIER.html</x:v>
      </x:c>
    </x:row>
    <x:row r="300" ht="56" customHeight="1">
      <x:c r="A300" s="5" t="str">
        <x:v>D04</x:v>
      </x:c>
      <x:c r="B300" s="5" t="str">
        <x:v>D04-L0197-1</x:v>
      </x:c>
      <x:c r="C300" s="5" t="str">
        <x:v>5. Comprehensive Key Company Directory &amp; Tiered Segmentation</x:v>
      </x:c>
      <x:c r="D300" s="5" t="n">
        <x:v>197</x:v>
      </x:c>
      <x:c r="E300" s="5" t="n">
        <x:v>197</x:v>
      </x:c>
      <x:c r="F300" s="5" t="str">
        <x:v>text</x:v>
      </x:c>
      <x:c r="G300" s="5" t="n">
        <x:v>1</x:v>
      </x:c>
      <x:c r="H300" s="5" t="n">
        <x:v>1</x:v>
      </x:c>
      <x:c r="I300" s="5" t="str">
        <x:v>To drive targeted enterprise outreach, the Nordic ecosystem is categorized into five distinct tiers based on revenue, operational modality, strategic pain points, and alignment with 2S Consulting's service offerings.</x:v>
      </x:c>
      <x:c r="J300" s="5" t="str">
        <x:v>SOURCE QUOTE; unvalidated / superseded assessments</x:v>
      </x:c>
      <x:c r="L300" s="31" t="str">
        <x:v>D04, Markdown line 197; http://nas-1.tail55d152.ts.net:4100/static/2S_PHARMACEUTICALS_AND_CHEMICALS_SECTOR_DOSSIER.html</x:v>
      </x:c>
    </x:row>
    <x:row r="301" ht="378" customHeight="1">
      <x:c r="A301" s="5" t="str">
        <x:v>D04</x:v>
      </x:c>
      <x:c r="B301" s="5" t="str">
        <x:v>D04-L0199-1</x:v>
      </x:c>
      <x:c r="C301" s="5" t="str">
        <x:v>5. Comprehensive Key Company Directory &amp; Tiered Segmentation</x:v>
      </x:c>
      <x:c r="D301" s="5" t="n">
        <x:v>199</x:v>
      </x:c>
      <x:c r="E301" s="5" t="n">
        <x:v>233</x:v>
      </x:c>
      <x:c r="F301" s="5" t="str">
        <x:v>diagram / code</x:v>
      </x:c>
      <x:c r="G301" s="5" t="n">
        <x:v>1</x:v>
      </x:c>
      <x:c r="H301" s="5" t="n">
        <x:v>3</x:v>
      </x:c>
      <x:c r="I301" s="5" t="str">
        <x:v>```
┌──────────────────────────────────────────────────────────────────────────────────────────────────┐
│                      NORDIC PHARMA &amp; CHEMICALS: 5-TIER ENTERPRISE MAP                            │
└──────────────────────────────────────────────────────────────────────────────────────────────────┘
 ┌────────────────────────────────────────────────────────────────────────────────────────────────┐
 │ TIER 1: GLOBAL &amp; LARGE-CAP NORDIC PHARMA                                                       │
 │ Novo Nordisk A/S • AstraZeneca AB • Sobi (Swedish Orphan Biovitrum) • H. Lundbeck A/S          │
 │ Genmab A/S • LEO Pharma A/S • Orion Corporation                                                │
 └────────────────────────────────────────────────┬───────────────────────────────────────────────┘
                                                  │
 ┌────────────────────────────────────────────────▼───────────────────────────────────────────────┐
 │ TIER 2: MID-CAP SPECIALTY INNOVATORS &amp; COMMERCIAL DISTRIBUTORS                                 │
 │ Camurus AB • BioArctic AB • Calliditas Therapeutics • Bavarian Nordic A/S • ALK-Abelló A/S     │
 │ Egetis Therapeutics AB • EQL Pharma A</x:v>
      </x:c>
      <x:c r="J301" s="5" t="str">
        <x:v>SOURCE QUOTE; unvalidated / superseded assessments</x:v>
      </x:c>
      <x:c r="L301" s="31" t="str">
        <x:v>D04, Markdown line 199; http://nas-1.tail55d152.ts.net:4100/static/2S_PHARMACEUTICALS_AND_CHEMICALS_SECTOR_DOSSIER.html</x:v>
      </x:c>
    </x:row>
    <x:row r="302" ht="350" customHeight="1">
      <x:c r="A302" s="5" t="str">
        <x:v>D04</x:v>
      </x:c>
      <x:c r="B302" s="5" t="str">
        <x:v>D04-L0199-2</x:v>
      </x:c>
      <x:c r="C302" s="5" t="str">
        <x:v>5. Comprehensive Key Company Directory &amp; Tiered Segmentation</x:v>
      </x:c>
      <x:c r="D302" s="5" t="n">
        <x:v>199</x:v>
      </x:c>
      <x:c r="E302" s="5" t="n">
        <x:v>233</x:v>
      </x:c>
      <x:c r="F302" s="5" t="str">
        <x:v>diagram / code</x:v>
      </x:c>
      <x:c r="G302" s="5" t="n">
        <x:v>2</x:v>
      </x:c>
      <x:c r="H302" s="5" t="n">
        <x:v>3</x:v>
      </x:c>
      <x:c r="I302" s="5" t="str">
        <x:v>B • Bluefish Pharmaceuticals AB • Avia Pharma AB          │
 └────────────────────────────────────────────────┬───────────────────────────────────────────────┘
                                                  │
 ┌────────────────────────────────────────────────▼───────────────────────────────────────────────┐
 │ TIER 3: CHEMICAL SYNTHESIS, API &amp; CDMO POWERHOUSES                                             │
 │ Cambrex Karlskoga AB • PolyPeptide Group Malmö • Recipharm AB • Fresenius Kabi Sweden         │
 │ Magle Chemoswed AB • Syntagon AB / Ardena Södertälje • Octapharma AB • APL AB                  │
 └────────────────────────────────────────────────┬───────────────────────────────────────────────┘
                                                  │
 ┌────────────────────────────────────────────────▼───────────────────────────────────────────────┐
 │ TIER 4: CLINICAL BIOPHARMA &amp; INNOVATIVE PIPELINES                                              │
 │ BioInvent International AB • Alligator Bioscience AB • Active Biotech AB • AlzeCure Pharma AB  │
 │ Alzinova AB • Ascelia Pharma AB • Cereno Scientific AB • Cinclus Pharma AB • Oncopeptides AB   │
 │ Xbrane Biopharma AB • Hansa Biopha</x:v>
      </x:c>
      <x:c r="J302" s="5" t="str">
        <x:v>SOURCE QUOTE; unvalidated / superseded assessments</x:v>
      </x:c>
      <x:c r="L302" s="31" t="str">
        <x:v>D04, Markdown line 199; http://nas-1.tail55d152.ts.net:4100/static/2S_PHARMACEUTICALS_AND_CHEMICALS_SECTOR_DOSSIER.html</x:v>
      </x:c>
    </x:row>
    <x:row r="303" ht="196" customHeight="1">
      <x:c r="A303" s="5" t="str">
        <x:v>D04</x:v>
      </x:c>
      <x:c r="B303" s="5" t="str">
        <x:v>D04-L0199-3</x:v>
      </x:c>
      <x:c r="C303" s="5" t="str">
        <x:v>5. Comprehensive Key Company Directory &amp; Tiered Segmentation</x:v>
      </x:c>
      <x:c r="D303" s="5" t="n">
        <x:v>199</x:v>
      </x:c>
      <x:c r="E303" s="5" t="n">
        <x:v>233</x:v>
      </x:c>
      <x:c r="F303" s="5" t="str">
        <x:v>diagram / code</x:v>
      </x:c>
      <x:c r="G303" s="5" t="n">
        <x:v>3</x:v>
      </x:c>
      <x:c r="H303" s="5" t="n">
        <x:v>3</x:v>
      </x:c>
      <x:c r="I303" s="5" t="str">
        <x:v>rma AB                                                       │
 └────────────────────────────────────────────────┬───────────────────────────────────────────────┘
                                                  │
 ┌────────────────────────────────────────────────▼───────────────────────────────────────────────┐
 │ TIER 5: SYNTHESIS ENABLERS, LIFE SCIENCE TOOLS &amp; REAGENTS                                      │
 │ Biotage AB • Bio-Works Technologies AB • BioLamina AB • ANYO Labs AB • Agrisera AB             │
 └────────────────────────────────────────────────────────────────────────────────────────────────┘
```</x:v>
      </x:c>
      <x:c r="J303" s="5" t="str">
        <x:v>SOURCE QUOTE; unvalidated / superseded assessments</x:v>
      </x:c>
      <x:c r="L303" s="31" t="str">
        <x:v>D04, Markdown line 199; http://nas-1.tail55d152.ts.net:4100/static/2S_PHARMACEUTICALS_AND_CHEMICALS_SECTOR_DOSSIER.html</x:v>
      </x:c>
    </x:row>
    <x:row r="304" ht="42" customHeight="1">
      <x:c r="A304" s="5" t="str">
        <x:v>D04</x:v>
      </x:c>
      <x:c r="B304" s="5" t="str">
        <x:v>D04-L0235-1</x:v>
      </x:c>
      <x:c r="C304" s="5" t="str">
        <x:v>5.1 Tier 1: Global &amp; Large-Cap Nordic Pharma</x:v>
      </x:c>
      <x:c r="D304" s="5" t="n">
        <x:v>235</x:v>
      </x:c>
      <x:c r="E304" s="5" t="n">
        <x:v>235</x:v>
      </x:c>
      <x:c r="F304" s="5" t="str">
        <x:v>heading</x:v>
      </x:c>
      <x:c r="G304" s="5" t="n">
        <x:v>1</x:v>
      </x:c>
      <x:c r="H304" s="5" t="n">
        <x:v>1</x:v>
      </x:c>
      <x:c r="I304" s="5" t="str">
        <x:v>### 5.1 Tier 1: Global &amp; Large-Cap Nordic Pharma</x:v>
      </x:c>
      <x:c r="J304" s="5" t="str">
        <x:v>SOURCE QUOTE; unvalidated / superseded assessments</x:v>
      </x:c>
      <x:c r="L304" s="31" t="str">
        <x:v>D04, Markdown line 235; http://nas-1.tail55d152.ts.net:4100/static/2S_PHARMACEUTICALS_AND_CHEMICALS_SECTOR_DOSSIER.html</x:v>
      </x:c>
    </x:row>
    <x:row r="305" ht="42" customHeight="1">
      <x:c r="A305" s="5" t="str">
        <x:v>D04</x:v>
      </x:c>
      <x:c r="B305" s="5" t="str">
        <x:v>D04-L0247-1</x:v>
      </x:c>
      <x:c r="C305" s="5" t="str">
        <x:v>5.2 Tier 2: Mid-Cap Specialty Innovators &amp; Commercial Players</x:v>
      </x:c>
      <x:c r="D305" s="5" t="n">
        <x:v>247</x:v>
      </x:c>
      <x:c r="E305" s="5" t="n">
        <x:v>247</x:v>
      </x:c>
      <x:c r="F305" s="5" t="str">
        <x:v>heading</x:v>
      </x:c>
      <x:c r="G305" s="5" t="n">
        <x:v>1</x:v>
      </x:c>
      <x:c r="H305" s="5" t="n">
        <x:v>1</x:v>
      </x:c>
      <x:c r="I305" s="5" t="str">
        <x:v>### 5.2 Tier 2: Mid-Cap Specialty Innovators &amp; Commercial Players</x:v>
      </x:c>
      <x:c r="J305" s="5" t="str">
        <x:v>SOURCE QUOTE; unvalidated / superseded assessments</x:v>
      </x:c>
      <x:c r="L305" s="31" t="str">
        <x:v>D04, Markdown line 247; http://nas-1.tail55d152.ts.net:4100/static/2S_PHARMACEUTICALS_AND_CHEMICALS_SECTOR_DOSSIER.html</x:v>
      </x:c>
    </x:row>
    <x:row r="306" ht="42" customHeight="1">
      <x:c r="A306" s="5" t="str">
        <x:v>D04</x:v>
      </x:c>
      <x:c r="B306" s="5" t="str">
        <x:v>D04-L0261-1</x:v>
      </x:c>
      <x:c r="C306" s="5" t="str">
        <x:v>5.3 Tier 3: Chemical Synthesis, API &amp; CDMO Powerhouses</x:v>
      </x:c>
      <x:c r="D306" s="5" t="n">
        <x:v>261</x:v>
      </x:c>
      <x:c r="E306" s="5" t="n">
        <x:v>261</x:v>
      </x:c>
      <x:c r="F306" s="5" t="str">
        <x:v>heading</x:v>
      </x:c>
      <x:c r="G306" s="5" t="n">
        <x:v>1</x:v>
      </x:c>
      <x:c r="H306" s="5" t="n">
        <x:v>1</x:v>
      </x:c>
      <x:c r="I306" s="5" t="str">
        <x:v>### 5.3 Tier 3: Chemical Synthesis, API &amp; CDMO Powerhouses</x:v>
      </x:c>
      <x:c r="J306" s="5" t="str">
        <x:v>SOURCE QUOTE; unvalidated / superseded assessments</x:v>
      </x:c>
      <x:c r="L306" s="31" t="str">
        <x:v>D04, Markdown line 261; http://nas-1.tail55d152.ts.net:4100/static/2S_PHARMACEUTICALS_AND_CHEMICALS_SECTOR_DOSSIER.html</x:v>
      </x:c>
    </x:row>
    <x:row r="307" ht="42" customHeight="1">
      <x:c r="A307" s="5" t="str">
        <x:v>D04</x:v>
      </x:c>
      <x:c r="B307" s="5" t="str">
        <x:v>D04-L0274-1</x:v>
      </x:c>
      <x:c r="C307" s="5" t="str">
        <x:v>5.4 Tier 4: Clinical-Stage Biopharma &amp; Innovators</x:v>
      </x:c>
      <x:c r="D307" s="5" t="n">
        <x:v>274</x:v>
      </x:c>
      <x:c r="E307" s="5" t="n">
        <x:v>274</x:v>
      </x:c>
      <x:c r="F307" s="5" t="str">
        <x:v>heading</x:v>
      </x:c>
      <x:c r="G307" s="5" t="n">
        <x:v>1</x:v>
      </x:c>
      <x:c r="H307" s="5" t="n">
        <x:v>1</x:v>
      </x:c>
      <x:c r="I307" s="5" t="str">
        <x:v>### 5.4 Tier 4: Clinical-Stage Biopharma &amp; Innovators</x:v>
      </x:c>
      <x:c r="J307" s="5" t="str">
        <x:v>SOURCE QUOTE; unvalidated / superseded assessments</x:v>
      </x:c>
      <x:c r="L307" s="31" t="str">
        <x:v>D04, Markdown line 274; http://nas-1.tail55d152.ts.net:4100/static/2S_PHARMACEUTICALS_AND_CHEMICALS_SECTOR_DOSSIER.html</x:v>
      </x:c>
    </x:row>
    <x:row r="308" ht="42" customHeight="1">
      <x:c r="A308" s="5" t="str">
        <x:v>D04</x:v>
      </x:c>
      <x:c r="B308" s="5" t="str">
        <x:v>D04-L0290-1</x:v>
      </x:c>
      <x:c r="C308" s="5" t="str">
        <x:v>5.5 Tier 5: Synthesis Enablers, Life Science Tools &amp; Reagents</x:v>
      </x:c>
      <x:c r="D308" s="5" t="n">
        <x:v>290</x:v>
      </x:c>
      <x:c r="E308" s="5" t="n">
        <x:v>290</x:v>
      </x:c>
      <x:c r="F308" s="5" t="str">
        <x:v>heading</x:v>
      </x:c>
      <x:c r="G308" s="5" t="n">
        <x:v>1</x:v>
      </x:c>
      <x:c r="H308" s="5" t="n">
        <x:v>1</x:v>
      </x:c>
      <x:c r="I308" s="5" t="str">
        <x:v>### 5.5 Tier 5: Synthesis Enablers, Life Science Tools &amp; Reagents</x:v>
      </x:c>
      <x:c r="J308" s="5" t="str">
        <x:v>SOURCE QUOTE; unvalidated / superseded assessments</x:v>
      </x:c>
      <x:c r="L308" s="31" t="str">
        <x:v>D04, Markdown line 290; http://nas-1.tail55d152.ts.net:4100/static/2S_PHARMACEUTICALS_AND_CHEMICALS_SECTOR_DOSSIER.html</x:v>
      </x:c>
    </x:row>
    <x:row r="309" ht="56" customHeight="1">
      <x:c r="A309" s="5" t="str">
        <x:v>D04</x:v>
      </x:c>
      <x:c r="B309" s="5" t="str">
        <x:v>D04-L0302-1</x:v>
      </x:c>
      <x:c r="C309" s="5" t="str">
        <x:v>6. 2S Consulting &amp; Numantra Solutions Architecture for Pharma &amp; Chemicals</x:v>
      </x:c>
      <x:c r="D309" s="5" t="n">
        <x:v>302</x:v>
      </x:c>
      <x:c r="E309" s="5" t="n">
        <x:v>302</x:v>
      </x:c>
      <x:c r="F309" s="5" t="str">
        <x:v>heading</x:v>
      </x:c>
      <x:c r="G309" s="5" t="n">
        <x:v>1</x:v>
      </x:c>
      <x:c r="H309" s="5" t="n">
        <x:v>1</x:v>
      </x:c>
      <x:c r="I309" s="5" t="str">
        <x:v>## 6. 2S Consulting &amp; Numantra Solutions Architecture for Pharma &amp; Chemicals</x:v>
      </x:c>
      <x:c r="J309" s="5" t="str">
        <x:v>SOURCE QUOTE; unvalidated / superseded assessments</x:v>
      </x:c>
      <x:c r="L309" s="31" t="str">
        <x:v>D04, Markdown line 302; http://nas-1.tail55d152.ts.net:4100/static/2S_PHARMACEUTICALS_AND_CHEMICALS_SECTOR_DOSSIER.html</x:v>
      </x:c>
    </x:row>
    <x:row r="310" ht="56" customHeight="1">
      <x:c r="A310" s="5" t="str">
        <x:v>D04</x:v>
      </x:c>
      <x:c r="B310" s="5" t="str">
        <x:v>D04-L0304-1</x:v>
      </x:c>
      <x:c r="C310" s="5" t="str">
        <x:v>6. 2S Consulting &amp; Numantra Solutions Architecture for Pharma &amp; Chemicals</x:v>
      </x:c>
      <x:c r="D310" s="5" t="n">
        <x:v>304</x:v>
      </x:c>
      <x:c r="E310" s="5" t="n">
        <x:v>304</x:v>
      </x:c>
      <x:c r="F310" s="5" t="str">
        <x:v>text</x:v>
      </x:c>
      <x:c r="G310" s="5" t="n">
        <x:v>1</x:v>
      </x:c>
      <x:c r="H310" s="5" t="n">
        <x:v>1</x:v>
      </x:c>
      <x:c r="I310" s="5" t="str">
        <x:v>2S Consulting brings five specialized, high-margin solution suites designed to address the specific friction points of Nordic pharmaceutical and chemical enterprises:</x:v>
      </x:c>
      <x:c r="J310" s="5" t="str">
        <x:v>SOURCE QUOTE; unvalidated / superseded assessments</x:v>
      </x:c>
      <x:c r="L310" s="31" t="str">
        <x:v>D04, Markdown line 304; http://nas-1.tail55d152.ts.net:4100/static/2S_PHARMACEUTICALS_AND_CHEMICALS_SECTOR_DOSSIER.html</x:v>
      </x:c>
    </x:row>
    <x:row r="311" ht="378" customHeight="1">
      <x:c r="A311" s="5" t="str">
        <x:v>D04</x:v>
      </x:c>
      <x:c r="B311" s="5" t="str">
        <x:v>D04-L0306-1</x:v>
      </x:c>
      <x:c r="C311" s="5" t="str">
        <x:v>6. 2S Consulting &amp; Numantra Solutions Architecture for Pharma &amp; Chemicals</x:v>
      </x:c>
      <x:c r="D311" s="5" t="n">
        <x:v>306</x:v>
      </x:c>
      <x:c r="E311" s="5" t="n">
        <x:v>350</x:v>
      </x:c>
      <x:c r="F311" s="5" t="str">
        <x:v>diagram / code</x:v>
      </x:c>
      <x:c r="G311" s="5" t="n">
        <x:v>1</x:v>
      </x:c>
      <x:c r="H311" s="5" t="n">
        <x:v>4</x:v>
      </x:c>
      <x:c r="I311" s="5" t="str">
        <x:v>```
┌──────────────────────────────────────────────────────────────────────────────────────────────────┐
│                   2S CONSULTING PHARMA &amp; CHEMICALS SOLUTION ARCHITECTURE                         │
└──────────────────────────────────────────────────────────────────────────────────────────────────┘
 ┌────────────────────────────────────────────────────────────────────────────────────────────────┐
 │ SUITE 1: API MARGIN DEFENSE &amp; CHEMICAL YIELD OPTIMIZATION                                      │
 │ • Multi-Product Chemical Synthesis Campaign Scheduling &amp; Cleanroom Cycle Compression           │
 │ • Product &amp; Customer Mix Profitability Analytics (Pruning Margin-Dilutive SKUs)                 │
 │ • Raw Material Price Variance &amp; Key Starting Material (KSM) Cost Allocation                   │
 │ • Target Clients: Cambrex Karlskoga, PolyPeptide Group, Recipharm, Magle Chemoswed             │
 └────────────────────────────────────────────────┬───────────────────────────────────────────────┘
                                                  │
 ┌────────────────────────────────────────────────▼───────────────────────────────────────────────┐
 │ SUITE 2: SPECIALTY PHARMA S&amp;OP &amp; GROS</x:v>
      </x:c>
      <x:c r="J311" s="5" t="str">
        <x:v>SOURCE QUOTE; unvalidated / superseded assessments</x:v>
      </x:c>
      <x:c r="L311" s="31" t="str">
        <x:v>D04, Markdown line 306; http://nas-1.tail55d152.ts.net:4100/static/2S_PHARMACEUTICALS_AND_CHEMICALS_SECTOR_DOSSIER.html</x:v>
      </x:c>
    </x:row>
    <x:row r="312" ht="350" customHeight="1">
      <x:c r="A312" s="5" t="str">
        <x:v>D04</x:v>
      </x:c>
      <x:c r="B312" s="5" t="str">
        <x:v>D04-L0306-2</x:v>
      </x:c>
      <x:c r="C312" s="5" t="str">
        <x:v>6. 2S Consulting &amp; Numantra Solutions Architecture for Pharma &amp; Chemicals</x:v>
      </x:c>
      <x:c r="D312" s="5" t="n">
        <x:v>306</x:v>
      </x:c>
      <x:c r="E312" s="5" t="n">
        <x:v>350</x:v>
      </x:c>
      <x:c r="F312" s="5" t="str">
        <x:v>diagram / code</x:v>
      </x:c>
      <x:c r="G312" s="5" t="n">
        <x:v>2</x:v>
      </x:c>
      <x:c r="H312" s="5" t="n">
        <x:v>4</x:v>
      </x:c>
      <x:c r="I312" s="5" t="str">
        <x:v>S-TO-NET (GTN) TENDER INTELLIGENCE                        │
 │ • Merck-Proven Commercial S&amp;OP Portal (Primary ERP + Secondary Wholesaler + Tender Feeds)      │
 │ • Wholesaler Stockist &amp; Inventory Buffer Monitoring (Tamro, Oriola, NMD)                       │
 │ • Dynamic Tender Bid Pricing &amp; Penalty-for-Stockout Risk Simulation                            │
 │ • Target Clients: Sobi, Camurus, EQL Pharma, Bluefish Pharmaceuticals, LEO Pharma              │
 └────────────────────────────────────────────────┬───────────────────────────────────────────────┘
                                                  │
 ┌────────────────────────────────────────────────▼───────────────────────────────────────────────┐
 │ SUITE 3: CLINICAL R&amp;D MILESTONE GOVERNANCE &amp; TRIAL BURN OPTIMIZATION                           │
 │ • NCE Pipeline Milestone &amp; Capital Allocation Tracking Console                                 │
 │ • HCare360 NLP Patient Screening Engine (Accelerating Rare-Disease Recruitment)                │
 │ • Multi-Currency Clinical Investigator Grant Touchless Accounting &amp; CRO Governance            │
 │ • Target Clients: BioInvent, Alligator Bioscience, Hansa Biopharma, Cereno Scientific </x:v>
      </x:c>
      <x:c r="J312" s="5" t="str">
        <x:v>SOURCE QUOTE; unvalidated / superseded assessments</x:v>
      </x:c>
      <x:c r="L312" s="31" t="str">
        <x:v>D04, Markdown line 306; http://nas-1.tail55d152.ts.net:4100/static/2S_PHARMACEUTICALS_AND_CHEMICALS_SECTOR_DOSSIER.html</x:v>
      </x:c>
    </x:row>
    <x:row r="313" ht="350" customHeight="1">
      <x:c r="A313" s="5" t="str">
        <x:v>D04</x:v>
      </x:c>
      <x:c r="B313" s="5" t="str">
        <x:v>D04-L0306-3</x:v>
      </x:c>
      <x:c r="C313" s="5" t="str">
        <x:v>6. 2S Consulting &amp; Numantra Solutions Architecture for Pharma &amp; Chemicals</x:v>
      </x:c>
      <x:c r="D313" s="5" t="n">
        <x:v>306</x:v>
      </x:c>
      <x:c r="E313" s="5" t="n">
        <x:v>350</x:v>
      </x:c>
      <x:c r="F313" s="5" t="str">
        <x:v>diagram / code</x:v>
      </x:c>
      <x:c r="G313" s="5" t="n">
        <x:v>3</x:v>
      </x:c>
      <x:c r="H313" s="5" t="n">
        <x:v>4</x:v>
      </x:c>
      <x:c r="I313" s="5" t="str">
        <x:v>         │
 └────────────────────────────────────────────────┬───────────────────────────────────────────────┘
                                                  │
 ┌────────────────────────────────────────────────▼───────────────────────────────────────────────┐
 │ SUITE 4: GxP DATA INTEGRITY, LIMS &amp; EU AI ACT ALGORITHMIC AUDIT                                │
 │ • 21 CFR Part 11 / Annex 11 Electronic Batch Record &amp; LIMS Traceability                        │
 │ • EU AI Act High-Risk Conformity Assessments &amp; Explainable AI (XAI) Logging                    │
 │ • Sovereign GxP Cloud Hosting on Numantra's ISO 27001/27017/27018 Data Center in Finland       │
 │ • Target Clients: Biotage, ANYO Labs, Orion Corporation, AstraZeneca, BioArctic                │
 └────────────────────────────────────────────────┬───────────────────────────────────────────────┘
                                                  │
 ┌────────────────────────────────────────────────▼───────────────────────────────────────────────┐
 │ SUITE 5: CONTINUOUS SYNTHESIS &amp; RESHORING SUPPLY CHAIN TRACEABILITY                            │
 │ • European Critical Medicines Act Reshoring Readiness &amp; Audit Dossiers            </x:v>
      </x:c>
      <x:c r="J313" s="5" t="str">
        <x:v>SOURCE QUOTE; unvalidated / superseded assessments</x:v>
      </x:c>
      <x:c r="L313" s="31" t="str">
        <x:v>D04, Markdown line 306; http://nas-1.tail55d152.ts.net:4100/static/2S_PHARMACEUTICALS_AND_CHEMICALS_SECTOR_DOSSIER.html</x:v>
      </x:c>
    </x:row>
    <x:row r="314" ht="154" customHeight="1">
      <x:c r="A314" s="5" t="str">
        <x:v>D04</x:v>
      </x:c>
      <x:c r="B314" s="5" t="str">
        <x:v>D04-L0306-4</x:v>
      </x:c>
      <x:c r="C314" s="5" t="str">
        <x:v>6. 2S Consulting &amp; Numantra Solutions Architecture for Pharma &amp; Chemicals</x:v>
      </x:c>
      <x:c r="D314" s="5" t="n">
        <x:v>306</x:v>
      </x:c>
      <x:c r="E314" s="5" t="n">
        <x:v>350</x:v>
      </x:c>
      <x:c r="F314" s="5" t="str">
        <x:v>diagram / code</x:v>
      </x:c>
      <x:c r="G314" s="5" t="n">
        <x:v>4</x:v>
      </x:c>
      <x:c r="H314" s="5" t="n">
        <x:v>4</x:v>
      </x:c>
      <x:c r="I314" s="5" t="str">
        <x:v>             │
 │ • Green Chemistry Solvent Recovery, PFAS Phase-Out &amp; Scope 1-3 Carbon Tracking                │
 │ • Multi-Echelon Safety-Stock &amp; Dual-Sourcing Resilience Engines                                │
 │ • Target Clients: Cambrex, Recipharm, Fresenius Kabi, APL                                      │
 └────────────────────────────────────────────────────────────────────────────────────────────────┘
```</x:v>
      </x:c>
      <x:c r="J314" s="5" t="str">
        <x:v>SOURCE QUOTE; unvalidated / superseded assessments</x:v>
      </x:c>
      <x:c r="L314" s="31" t="str">
        <x:v>D04, Markdown line 306; http://nas-1.tail55d152.ts.net:4100/static/2S_PHARMACEUTICALS_AND_CHEMICALS_SECTOR_DOSSIER.html</x:v>
      </x:c>
    </x:row>
    <x:row r="315" ht="42" customHeight="1">
      <x:c r="A315" s="5" t="str">
        <x:v>D04</x:v>
      </x:c>
      <x:c r="B315" s="5" t="str">
        <x:v>D04-L0352-1</x:v>
      </x:c>
      <x:c r="C315" s="5" t="str">
        <x:v>6.1 Suite 1: API Margin Defense &amp; Chemical Yield Optimization</x:v>
      </x:c>
      <x:c r="D315" s="5" t="n">
        <x:v>352</x:v>
      </x:c>
      <x:c r="E315" s="5" t="n">
        <x:v>352</x:v>
      </x:c>
      <x:c r="F315" s="5" t="str">
        <x:v>heading</x:v>
      </x:c>
      <x:c r="G315" s="5" t="n">
        <x:v>1</x:v>
      </x:c>
      <x:c r="H315" s="5" t="n">
        <x:v>1</x:v>
      </x:c>
      <x:c r="I315" s="5" t="str">
        <x:v>### 6.1 Suite 1: API Margin Defense &amp; Chemical Yield Optimization</x:v>
      </x:c>
      <x:c r="J315" s="5" t="str">
        <x:v>SOURCE QUOTE; unvalidated / superseded assessments</x:v>
      </x:c>
      <x:c r="L315" s="31" t="str">
        <x:v>D04, Markdown line 352; http://nas-1.tail55d152.ts.net:4100/static/2S_PHARMACEUTICALS_AND_CHEMICALS_SECTOR_DOSSIER.html</x:v>
      </x:c>
    </x:row>
    <x:row r="316" ht="238" customHeight="1">
      <x:c r="A316" s="5" t="str">
        <x:v>D04</x:v>
      </x:c>
      <x:c r="B316" s="5" t="str">
        <x:v>D04-L0353-1</x:v>
      </x:c>
      <x:c r="C316" s="5" t="str">
        <x:v>6.1 Suite 1: API Margin Defense &amp; Chemical Yield Optimization</x:v>
      </x:c>
      <x:c r="D316" s="5" t="n">
        <x:v>353</x:v>
      </x:c>
      <x:c r="E316" s="5" t="n">
        <x:v>357</x:v>
      </x:c>
      <x:c r="F316" s="5" t="str">
        <x:v>text</x:v>
      </x:c>
      <x:c r="G316" s="5" t="n">
        <x:v>1</x:v>
      </x:c>
      <x:c r="H316" s="5" t="n">
        <x:v>1</x:v>
      </x:c>
      <x:c r="I316" s="5" t="str">
        <x:v>* **Operational Challenge**: Nordic chemical synthesis operators face intense competition from Asian manufacturers who enjoy subsidized power, lower environmental standards, and cheaper raw chemical inputs. Operators must achieve absolute efficiency in multi-purpose synthesis reactors.
* **2S Consulting Solution**:
  - **Product and Customer Mix Profitability Analytics**: Utilizing 2S's proprietary framework (*2S Perspectives: Optimizing Product and Customer Mix*), we calculate the true activity-based cost of every chemical batch—accounting for solvent recovery, hazardous waste disposal, hazardous storage, and reactor occupancy time. We identify margin-dilutive SKUs and unremunerative customer contracts for immediate renegotiation or pruning.
  - **Cleanroom &amp; Reactor Cycle Compression**: Implementing the Unimark/Matix chemical turnaround methodology to compress multi-product cleanroom changeovers and equipment wash cycles by 25–40%, releasing millions of euros in latent plant capacity without capital expenditure.
  - **KSM &amp; Solvent Cost Tracking**: Real-time variance tracking linking raw chemical intermediate market indices with plant inventory valuation.</x:v>
      </x:c>
      <x:c r="J316" s="5" t="str">
        <x:v>SOURCE QUOTE; unvalidated / superseded assessments</x:v>
      </x:c>
      <x:c r="L316" s="31" t="str">
        <x:v>D04, Markdown line 353; http://nas-1.tail55d152.ts.net:4100/static/2S_PHARMACEUTICALS_AND_CHEMICALS_SECTOR_DOSSIER.html</x:v>
      </x:c>
    </x:row>
    <x:row r="317" ht="56" customHeight="1">
      <x:c r="A317" s="5" t="str">
        <x:v>D04</x:v>
      </x:c>
      <x:c r="B317" s="5" t="str">
        <x:v>D04-L0359-1</x:v>
      </x:c>
      <x:c r="C317" s="5" t="str">
        <x:v>6.2 Suite 2: Specialty Pharma S&amp;OP &amp; Gross-to-Net (GTN) Tender Intelligence</x:v>
      </x:c>
      <x:c r="D317" s="5" t="n">
        <x:v>359</x:v>
      </x:c>
      <x:c r="E317" s="5" t="n">
        <x:v>359</x:v>
      </x:c>
      <x:c r="F317" s="5" t="str">
        <x:v>heading</x:v>
      </x:c>
      <x:c r="G317" s="5" t="n">
        <x:v>1</x:v>
      </x:c>
      <x:c r="H317" s="5" t="n">
        <x:v>1</x:v>
      </x:c>
      <x:c r="I317" s="5" t="str">
        <x:v>### 6.2 Suite 2: Specialty Pharma S&amp;OP &amp; Gross-to-Net (GTN) Tender Intelligence</x:v>
      </x:c>
      <x:c r="J317" s="5" t="str">
        <x:v>SOURCE QUOTE; unvalidated / superseded assessments</x:v>
      </x:c>
      <x:c r="L317" s="31" t="str">
        <x:v>D04, Markdown line 359; http://nas-1.tail55d152.ts.net:4100/static/2S_PHARMACEUTICALS_AND_CHEMICALS_SECTOR_DOSSIER.html</x:v>
      </x:c>
    </x:row>
    <x:row r="318" ht="238" customHeight="1">
      <x:c r="A318" s="5" t="str">
        <x:v>D04</x:v>
      </x:c>
      <x:c r="B318" s="5" t="str">
        <x:v>D04-L0360-1</x:v>
      </x:c>
      <x:c r="C318" s="5" t="str">
        <x:v>6.2 Suite 2: Specialty Pharma S&amp;OP &amp; Gross-to-Net (GTN) Tender Intelligence</x:v>
      </x:c>
      <x:c r="D318" s="5" t="n">
        <x:v>360</x:v>
      </x:c>
      <x:c r="E318" s="5" t="n">
        <x:v>364</x:v>
      </x:c>
      <x:c r="F318" s="5" t="str">
        <x:v>text</x:v>
      </x:c>
      <x:c r="G318" s="5" t="n">
        <x:v>1</x:v>
      </x:c>
      <x:c r="H318" s="5" t="n">
        <x:v>1</x:v>
      </x:c>
      <x:c r="I318" s="5" t="str">
        <x:v>* **Operational Challenge**: Pharmaceutical sales in Scandinavia are dictated by public hospital tenders where losing bids or inventory stockouts trigger catastrophic financial clawbacks. Meanwhile, pharmaceutical commercial teams lack visibility into wholesaler inventory levels at Tamro and Oriola.
* **2S Consulting Solution**:
  - **Merck-Proven Commercial S&amp;OP Portal**: Deploying the enterprise portal architecture successfully implemented by 2S for global pharmaceutical leaders. The portal consolidates primary factory shipments (SAP/Oracle ERP), secondary wholesaler stockist receipts (Tamro/Oriola data feeds), and field CRM activities into a single executive command cockpit.
  - **Gross-to-Net (GTN) Tender Simulation**: Mathematical modeling of statutory rebates, hospital tender discounts, wholesaler distribution fees, and potential stockout penalties to calculate the true net margin of every product line before bids are submitted.
  - **Automated Stockout Early Warning**: Continuous monitoring of regional buffer stocks against hospital run rates, alerting supply chain managers 45 days before safety-stock breach thresholds.</x:v>
      </x:c>
      <x:c r="J318" s="5" t="str">
        <x:v>SOURCE QUOTE; unvalidated / superseded assessments</x:v>
      </x:c>
      <x:c r="L318" s="31" t="str">
        <x:v>D04, Markdown line 360; http://nas-1.tail55d152.ts.net:4100/static/2S_PHARMACEUTICALS_AND_CHEMICALS_SECTOR_DOSSIER.html</x:v>
      </x:c>
    </x:row>
    <x:row r="319" ht="42" customHeight="1">
      <x:c r="A319" s="5" t="str">
        <x:v>D04</x:v>
      </x:c>
      <x:c r="B319" s="5" t="str">
        <x:v>D04-L0366-1</x:v>
      </x:c>
      <x:c r="C319" s="5" t="str">
        <x:v>6.3 Suite 3: Clinical R&amp;D Milestone Governance &amp; Trial Burn Optimization</x:v>
      </x:c>
      <x:c r="D319" s="5" t="n">
        <x:v>366</x:v>
      </x:c>
      <x:c r="E319" s="5" t="n">
        <x:v>366</x:v>
      </x:c>
      <x:c r="F319" s="5" t="str">
        <x:v>heading</x:v>
      </x:c>
      <x:c r="G319" s="5" t="n">
        <x:v>1</x:v>
      </x:c>
      <x:c r="H319" s="5" t="n">
        <x:v>1</x:v>
      </x:c>
      <x:c r="I319" s="5" t="str">
        <x:v>### 6.3 Suite 3: Clinical R&amp;D Milestone Governance &amp; Trial Burn Optimization</x:v>
      </x:c>
      <x:c r="J319" s="5" t="str">
        <x:v>SOURCE QUOTE; unvalidated / superseded assessments</x:v>
      </x:c>
      <x:c r="L319" s="31" t="str">
        <x:v>D04, Markdown line 366; http://nas-1.tail55d152.ts.net:4100/static/2S_PHARMACEUTICALS_AND_CHEMICALS_SECTOR_DOSSIER.html</x:v>
      </x:c>
    </x:row>
    <x:row r="320" ht="210" customHeight="1">
      <x:c r="A320" s="5" t="str">
        <x:v>D04</x:v>
      </x:c>
      <x:c r="B320" s="5" t="str">
        <x:v>D04-L0367-1</x:v>
      </x:c>
      <x:c r="C320" s="5" t="str">
        <x:v>6.3 Suite 3: Clinical R&amp;D Milestone Governance &amp; Trial Burn Optimization</x:v>
      </x:c>
      <x:c r="D320" s="5" t="n">
        <x:v>367</x:v>
      </x:c>
      <x:c r="E320" s="5" t="n">
        <x:v>371</x:v>
      </x:c>
      <x:c r="F320" s="5" t="str">
        <x:v>text</x:v>
      </x:c>
      <x:c r="G320" s="5" t="n">
        <x:v>1</x:v>
      </x:c>
      <x:c r="H320" s="5" t="n">
        <x:v>1</x:v>
      </x:c>
      <x:c r="I320" s="5" t="str">
        <x:v>* **Operational Challenge**: Clinical biopharmas in Sweden and Denmark burn tens of millions of kronor annually on Phase I–III trials. Patient recruitment delays frequently exhaust cash runways before registrational endpoints are reached.
* **2S Consulting Solution**:
  - **HCare360 NLP Patient Screening Engine**: Proprietary natural language processing algorithms that scan unstructured hospital electronic health records (EHRs), pathology reports, and laboratory databases to surface eligible patients for rare-disease and oncology trials, cutting recruitment timelines by 30–50%.
  - **NCE Milestone &amp; Burn Cockpit**: Executive dashboards tracking clinical progress against protocol timelines, trial site recruitment productivity, and budget utilization per patient.
  - **Investigator Grant Touchless Reconciliation**: Automated tracking and multi-currency payment reconciliation for clinical investigators across 20+ countries, eliminating billing disputes and regulatory compliance errors.</x:v>
      </x:c>
      <x:c r="J320" s="5" t="str">
        <x:v>SOURCE QUOTE; unvalidated / superseded assessments</x:v>
      </x:c>
      <x:c r="L320" s="31" t="str">
        <x:v>D04, Markdown line 367; http://nas-1.tail55d152.ts.net:4100/static/2S_PHARMACEUTICALS_AND_CHEMICALS_SECTOR_DOSSIER.html</x:v>
      </x:c>
    </x:row>
    <x:row r="321" ht="42" customHeight="1">
      <x:c r="A321" s="5" t="str">
        <x:v>D04</x:v>
      </x:c>
      <x:c r="B321" s="5" t="str">
        <x:v>D04-L0373-1</x:v>
      </x:c>
      <x:c r="C321" s="5" t="str">
        <x:v>6.4 Suite 4: GxP Data Integrity, LIMS &amp; EU AI Act Algorithmic Audit</x:v>
      </x:c>
      <x:c r="D321" s="5" t="n">
        <x:v>373</x:v>
      </x:c>
      <x:c r="E321" s="5" t="n">
        <x:v>373</x:v>
      </x:c>
      <x:c r="F321" s="5" t="str">
        <x:v>heading</x:v>
      </x:c>
      <x:c r="G321" s="5" t="n">
        <x:v>1</x:v>
      </x:c>
      <x:c r="H321" s="5" t="n">
        <x:v>1</x:v>
      </x:c>
      <x:c r="I321" s="5" t="str">
        <x:v>### 6.4 Suite 4: GxP Data Integrity, LIMS &amp; EU AI Act Algorithmic Audit</x:v>
      </x:c>
      <x:c r="J321" s="5" t="str">
        <x:v>SOURCE QUOTE; unvalidated / superseded assessments</x:v>
      </x:c>
      <x:c r="L321" s="31" t="str">
        <x:v>D04, Markdown line 373; http://nas-1.tail55d152.ts.net:4100/static/2S_PHARMACEUTICALS_AND_CHEMICALS_SECTOR_DOSSIER.html</x:v>
      </x:c>
    </x:row>
    <x:row r="322" ht="224" customHeight="1">
      <x:c r="A322" s="5" t="str">
        <x:v>D04</x:v>
      </x:c>
      <x:c r="B322" s="5" t="str">
        <x:v>D04-L0374-1</x:v>
      </x:c>
      <x:c r="C322" s="5" t="str">
        <x:v>6.4 Suite 4: GxP Data Integrity, LIMS &amp; EU AI Act Algorithmic Audit</x:v>
      </x:c>
      <x:c r="D322" s="5" t="n">
        <x:v>374</x:v>
      </x:c>
      <x:c r="E322" s="5" t="n">
        <x:v>378</x:v>
      </x:c>
      <x:c r="F322" s="5" t="str">
        <x:v>text</x:v>
      </x:c>
      <x:c r="G322" s="5" t="n">
        <x:v>1</x:v>
      </x:c>
      <x:c r="H322" s="5" t="n">
        <x:v>1</x:v>
      </x:c>
      <x:c r="I322" s="5" t="str">
        <x:v>* **Operational Challenge**: Pharmaceutical discovery and manufacturing are increasingly reliant on machine learning models (target discovery, automated image segmentation, release testing). Under the EU AI Act (effective 2026), these models must pass rigorous third-party conformity assessments, while maintaining FDA 21 CFR Part 11 and EU Annex 11 compliance.
* **2S Consulting Solution**:
  - **AI Model Validation &amp; Explainability Logging**: Implementing automated audit trails that capture training dataset provenance, hyperparameter configurations, bias metrics, and model versioning.
  - **Sovereign European GxP Cloud**: Hosting sensitive pharmaceutical R&amp;D pipelines, patient data, and proprietary algorithms on Numantra's certified ISO 27001/27017/27018 infrastructure located in Finland, completely isolated from US CLOUD Act jurisdiction.
  - **Automated LIMS-to-Regulatory Transcription**: Eliminating manual data entry between laboratory information management systems (LIMS) and electronic Common Technical Document (eCTD) regulatory filings.</x:v>
      </x:c>
      <x:c r="J322" s="5" t="str">
        <x:v>SOURCE QUOTE; unvalidated / superseded assessments</x:v>
      </x:c>
      <x:c r="L322" s="31" t="str">
        <x:v>D04, Markdown line 374; http://nas-1.tail55d152.ts.net:4100/static/2S_PHARMACEUTICALS_AND_CHEMICALS_SECTOR_DOSSIER.html</x:v>
      </x:c>
    </x:row>
    <x:row r="323" ht="42" customHeight="1">
      <x:c r="A323" s="5" t="str">
        <x:v>D04</x:v>
      </x:c>
      <x:c r="B323" s="5" t="str">
        <x:v>D04-L0380-1</x:v>
      </x:c>
      <x:c r="C323" s="5" t="str">
        <x:v>6.5 Suite 5: Continuous Synthesis &amp; Reshoring Supply Chain Traceability</x:v>
      </x:c>
      <x:c r="D323" s="5" t="n">
        <x:v>380</x:v>
      </x:c>
      <x:c r="E323" s="5" t="n">
        <x:v>380</x:v>
      </x:c>
      <x:c r="F323" s="5" t="str">
        <x:v>heading</x:v>
      </x:c>
      <x:c r="G323" s="5" t="n">
        <x:v>1</x:v>
      </x:c>
      <x:c r="H323" s="5" t="n">
        <x:v>1</x:v>
      </x:c>
      <x:c r="I323" s="5" t="str">
        <x:v>### 6.5 Suite 5: Continuous Synthesis &amp; Reshoring Supply Chain Traceability</x:v>
      </x:c>
      <x:c r="J323" s="5" t="str">
        <x:v>SOURCE QUOTE; unvalidated / superseded assessments</x:v>
      </x:c>
      <x:c r="L323" s="31" t="str">
        <x:v>D04, Markdown line 380; http://nas-1.tail55d152.ts.net:4100/static/2S_PHARMACEUTICALS_AND_CHEMICALS_SECTOR_DOSSIER.html</x:v>
      </x:c>
    </x:row>
    <x:row r="324" ht="168" customHeight="1">
      <x:c r="A324" s="5" t="str">
        <x:v>D04</x:v>
      </x:c>
      <x:c r="B324" s="5" t="str">
        <x:v>D04-L0381-1</x:v>
      </x:c>
      <x:c r="C324" s="5" t="str">
        <x:v>6.5 Suite 5: Continuous Synthesis &amp; Reshoring Supply Chain Traceability</x:v>
      </x:c>
      <x:c r="D324" s="5" t="n">
        <x:v>381</x:v>
      </x:c>
      <x:c r="E324" s="5" t="n">
        <x:v>385</x:v>
      </x:c>
      <x:c r="F324" s="5" t="str">
        <x:v>text</x:v>
      </x:c>
      <x:c r="G324" s="5" t="n">
        <x:v>1</x:v>
      </x:c>
      <x:c r="H324" s="5" t="n">
        <x:v>1</x:v>
      </x:c>
      <x:c r="I324" s="5" t="str">
        <x:v>* **Operational Challenge**: The EU Critical Medicines Act and environmental ESG mandates require pharmaceutical manufacturers to demonstrate secure European supply chains and drastically reduce chemical solvent waste (PFAS, NMP).
* **2S Consulting Solution**:
  - **Security-of-Supply Audit Dossiers**: Compiling verified multi-tier supply chain maps proving dual-sourcing capabilities for inclusion in Nordic public tender bids.
  - **Green Chemistry &amp; Continuous Flow ROI Modeling**: Quantifying the economic and regulatory payback of transitioning from batch synthesis to continuous flow micro-reactors (solvent reduction, yield enhancement, carbon footprint abatement).
  - **Multi-Echelon Safety Stock Optimization**: Dynamic safety stock algorithms that buffer critical starting materials against maritime and geopolitical shipping shocks.</x:v>
      </x:c>
      <x:c r="J324" s="5" t="str">
        <x:v>SOURCE QUOTE; unvalidated / superseded assessments</x:v>
      </x:c>
      <x:c r="L324" s="31" t="str">
        <x:v>D04, Markdown line 381; http://nas-1.tail55d152.ts.net:4100/static/2S_PHARMACEUTICALS_AND_CHEMICALS_SECTOR_DOSSIER.html</x:v>
      </x:c>
    </x:row>
    <x:row r="325" ht="42" customHeight="1">
      <x:c r="A325" s="5" t="str">
        <x:v>D04</x:v>
      </x:c>
      <x:c r="B325" s="5" t="str">
        <x:v>D04-L0389-1</x:v>
      </x:c>
      <x:c r="C325" s="5" t="str">
        <x:v>7. 90-Day Commercial Penetration Playbook &amp; Wedge Offers</x:v>
      </x:c>
      <x:c r="D325" s="5" t="n">
        <x:v>389</x:v>
      </x:c>
      <x:c r="E325" s="5" t="n">
        <x:v>389</x:v>
      </x:c>
      <x:c r="F325" s="5" t="str">
        <x:v>heading</x:v>
      </x:c>
      <x:c r="G325" s="5" t="n">
        <x:v>1</x:v>
      </x:c>
      <x:c r="H325" s="5" t="n">
        <x:v>1</x:v>
      </x:c>
      <x:c r="I325" s="5" t="str">
        <x:v>## 7. 90-Day Commercial Penetration Playbook &amp; Wedge Offers</x:v>
      </x:c>
      <x:c r="J325" s="5" t="str">
        <x:v>SOURCE QUOTE; unvalidated / superseded assessments</x:v>
      </x:c>
      <x:c r="L325" s="31" t="str">
        <x:v>D04, Markdown line 389; http://nas-1.tail55d152.ts.net:4100/static/2S_PHARMACEUTICALS_AND_CHEMICALS_SECTOR_DOSSIER.html</x:v>
      </x:c>
    </x:row>
    <x:row r="326" ht="70" customHeight="1">
      <x:c r="A326" s="5" t="str">
        <x:v>D04</x:v>
      </x:c>
      <x:c r="B326" s="5" t="str">
        <x:v>D04-L0391-1</x:v>
      </x:c>
      <x:c r="C326" s="5" t="str">
        <x:v>7. 90-Day Commercial Penetration Playbook &amp; Wedge Offers</x:v>
      </x:c>
      <x:c r="D326" s="5" t="n">
        <x:v>391</x:v>
      </x:c>
      <x:c r="E326" s="5" t="n">
        <x:v>391</x:v>
      </x:c>
      <x:c r="F326" s="5" t="str">
        <x:v>text</x:v>
      </x:c>
      <x:c r="G326" s="5" t="n">
        <x:v>1</x:v>
      </x:c>
      <x:c r="H326" s="5" t="n">
        <x:v>1</x:v>
      </x:c>
      <x:c r="I326" s="5" t="str">
        <x:v>To penetrate the Nordic pharmaceutical and chemical sector without encountering multi-month corporate procurement gridlock, 2S Consulting deploys **non-threatening, fixed-fee diagnostic wedges** capped below executive discretionary sign-off thresholds (€30,000 – €45,000).</x:v>
      </x:c>
      <x:c r="J326" s="5" t="str">
        <x:v>SOURCE QUOTE; unvalidated / superseded assessments</x:v>
      </x:c>
      <x:c r="L326" s="31" t="str">
        <x:v>D04, Markdown line 391; http://nas-1.tail55d152.ts.net:4100/static/2S_PHARMACEUTICALS_AND_CHEMICALS_SECTOR_DOSSIER.html</x:v>
      </x:c>
    </x:row>
    <x:row r="327" ht="378" customHeight="1">
      <x:c r="A327" s="5" t="str">
        <x:v>D04</x:v>
      </x:c>
      <x:c r="B327" s="5" t="str">
        <x:v>D04-L0393-1</x:v>
      </x:c>
      <x:c r="C327" s="5" t="str">
        <x:v>7. 90-Day Commercial Penetration Playbook &amp; Wedge Offers</x:v>
      </x:c>
      <x:c r="D327" s="5" t="n">
        <x:v>393</x:v>
      </x:c>
      <x:c r="E327" s="5" t="n">
        <x:v>418</x:v>
      </x:c>
      <x:c r="F327" s="5" t="str">
        <x:v>diagram / code</x:v>
      </x:c>
      <x:c r="G327" s="5" t="n">
        <x:v>1</x:v>
      </x:c>
      <x:c r="H327" s="5" t="n">
        <x:v>2</x:v>
      </x:c>
      <x:c r="I327" s="5" t="str">
        <x:v>```
┌──────────────────────────────────────────────────────────────────────────────────────────────────┐
│                   2S CONSULTING 90-DAY PHARMA PENETRATION SEQUENCE                               │
└──────────────────────────────────────────────────────────────────────────────────────────────────┘
  DAYS 1 - 30: ACCOUNT INTELLIGENCE &amp; WEDGE ENGAGEMENT
  ┌──────────────────────────────────────────────────────────────────────────────────────────────┐
  │ • Target 30 VP Operations, VP Supply Chain, and Chief Medical Officers across Tiers 1-3      │
  │ • Offer Fixed-Fee (€28k - €35k) "30-Day API Margin &amp; S&amp;OP Diagnostic Audit"                  │
  │ • Deliver quantified heat-map of batch changeover bottlenecks or tender margin leakage       │
  └──────────────────────────────────────────────┬───────────────────────────────────────────────┘
                                                 │
  DAYS 31 - 60: DIAGNOSTIC EXECUTION &amp; C-SUITE ROI PROOF
  ┌──────────────────────────────────────────────────────────────────────────────────────────────┐
  │ • Ingest 12 months of ERP billing, batch records, and secondary distributor sales data       │
  │ • Run 2S ProcessPrints workflow </x:v>
      </x:c>
      <x:c r="J327" s="5" t="str">
        <x:v>SOURCE QUOTE; unvalidated / superseded assessments</x:v>
      </x:c>
      <x:c r="L327" s="31" t="str">
        <x:v>D04, Markdown line 393; http://nas-1.tail55d152.ts.net:4100/static/2S_PHARMACEUTICALS_AND_CHEMICALS_SECTOR_DOSSIER.html</x:v>
      </x:c>
    </x:row>
    <x:row r="328" ht="266" customHeight="1">
      <x:c r="A328" s="5" t="str">
        <x:v>D04</x:v>
      </x:c>
      <x:c r="B328" s="5" t="str">
        <x:v>D04-L0393-2</x:v>
      </x:c>
      <x:c r="C328" s="5" t="str">
        <x:v>7. 90-Day Commercial Penetration Playbook &amp; Wedge Offers</x:v>
      </x:c>
      <x:c r="D328" s="5" t="n">
        <x:v>393</x:v>
      </x:c>
      <x:c r="E328" s="5" t="n">
        <x:v>418</x:v>
      </x:c>
      <x:c r="F328" s="5" t="str">
        <x:v>diagram / code</x:v>
      </x:c>
      <x:c r="G328" s="5" t="n">
        <x:v>2</x:v>
      </x:c>
      <x:c r="H328" s="5" t="n">
        <x:v>2</x:v>
      </x:c>
      <x:c r="I328" s="5" t="str">
        <x:v>diagnostic to identify cash leakage and cycle bottlenecks    │
  │ • Present C-Suite Findings Deck demonstrating €500k - €2.5M in actionable margin recoveries  │
  └──────────────────────────────────────────────┬───────────────────────────────────────────────┘
                                                 │
  DAYS 61 - 90: STRATEGIC ENTERPRISE SPRINT RETENTION
  ┌──────────────────────────────────────────────────────────────────────────────────────────────┐
  │ • Convert Diagnostic Audit into a 6-to-12 month Enterprise Implementation Retainer           │
  │ • Deploy Commercial S&amp;OP Portal, HCare360 NLP Engine, or Cleanroom Turnaround Sprint         │
  │ • Contract Value: €180,000 - €450,000 recurring managed advisory &amp; platform subscription     │
  └──────────────────────────────────────────────────────────────────────────────────────────────┘
```</x:v>
      </x:c>
      <x:c r="J328" s="5" t="str">
        <x:v>SOURCE QUOTE; unvalidated / superseded assessments</x:v>
      </x:c>
      <x:c r="L328" s="31" t="str">
        <x:v>D04, Markdown line 393; http://nas-1.tail55d152.ts.net:4100/static/2S_PHARMACEUTICALS_AND_CHEMICALS_SECTOR_DOSSIER.html</x:v>
      </x:c>
    </x:row>
    <x:row r="329" ht="42" customHeight="1">
      <x:c r="A329" s="5" t="str">
        <x:v>D04</x:v>
      </x:c>
      <x:c r="B329" s="5" t="str">
        <x:v>D04-L0420-1</x:v>
      </x:c>
      <x:c r="C329" s="5" t="str">
        <x:v>7.1 The Three High-Conversion Wedge Offers</x:v>
      </x:c>
      <x:c r="D329" s="5" t="n">
        <x:v>420</x:v>
      </x:c>
      <x:c r="E329" s="5" t="n">
        <x:v>420</x:v>
      </x:c>
      <x:c r="F329" s="5" t="str">
        <x:v>heading</x:v>
      </x:c>
      <x:c r="G329" s="5" t="n">
        <x:v>1</x:v>
      </x:c>
      <x:c r="H329" s="5" t="n">
        <x:v>1</x:v>
      </x:c>
      <x:c r="I329" s="5" t="str">
        <x:v>### 7.1 The Three High-Conversion Wedge Offers</x:v>
      </x:c>
      <x:c r="J329" s="5" t="str">
        <x:v>SOURCE QUOTE; unvalidated / superseded assessments</x:v>
      </x:c>
      <x:c r="L329" s="31" t="str">
        <x:v>D04, Markdown line 420; http://nas-1.tail55d152.ts.net:4100/static/2S_PHARMACEUTICALS_AND_CHEMICALS_SECTOR_DOSSIER.html</x:v>
      </x:c>
    </x:row>
    <x:row r="330" ht="266" customHeight="1">
      <x:c r="A330" s="5" t="str">
        <x:v>D04</x:v>
      </x:c>
      <x:c r="B330" s="5" t="str">
        <x:v>D04-L0421-1</x:v>
      </x:c>
      <x:c r="C330" s="5" t="str">
        <x:v>7.1 The Three High-Conversion Wedge Offers</x:v>
      </x:c>
      <x:c r="D330" s="5" t="n">
        <x:v>421</x:v>
      </x:c>
      <x:c r="E330" s="5" t="n">
        <x:v>429</x:v>
      </x:c>
      <x:c r="F330" s="5" t="str">
        <x:v>text</x:v>
      </x:c>
      <x:c r="G330" s="5" t="n">
        <x:v>1</x:v>
      </x:c>
      <x:c r="H330" s="5" t="n">
        <x:v>2</x:v>
      </x:c>
      <x:c r="I330" s="5" t="str">
        <x:v>1. **Wedge 1: The 30-Day API &amp; Chemical Yield Diagnostic (€32,000 Fixed Fee)**
   - *Target Audience*: VP Manufacturing, Plant Manager, Head of Operations (Cambrex, PolyPeptide, Recipharm, Magle Chemoswed).
   - *Deliverable*: Full activity-based costing audit of 3 core chemical synthesis lines; identification of reactor idle time; cleanroom cycle compression roadmap; raw material price variance report.
2. **Wedge 2: The Gross-to-Net Tender Leakage Audit (€28,000 Fixed Fee)**
   - *Target Audience*: Commercial Director, Head of Market Access, CFO (Sobi, Camurus, EQL Pharma, Bluefish).
   - *Deliverable*: Analysis of last 24 months of Nordic hospital tenders; quantification of uncollected wholesaler rebates, stockout penalty risks, and distributor inventory slippage; interactive tender bid pricing calculator.
3. **Wedge 3: The Clinical Trial Cash-Burn &amp; Patient Recruitment Sprint (€35,000 Fixed Fee)**
   - *Target Audience*: Chief Medical Officer, VP Clinical Development, Head of R&amp;D (BioInvent, Alligator, Hansa, Cereno).
   - *Deliverable*: Trial milestone risk assessment; deployment of HCare360 NLP prototype across 2 trial sites to evaluate eligible patient cohort density; investi</x:v>
      </x:c>
      <x:c r="J330" s="5" t="str">
        <x:v>SOURCE QUOTE; unvalidated / superseded assessments</x:v>
      </x:c>
      <x:c r="L330" s="31" t="str">
        <x:v>D04, Markdown line 421; http://nas-1.tail55d152.ts.net:4100/static/2S_PHARMACEUTICALS_AND_CHEMICALS_SECTOR_DOSSIER.html</x:v>
      </x:c>
    </x:row>
    <x:row r="331" ht="42" customHeight="1">
      <x:c r="A331" s="5" t="str">
        <x:v>D04</x:v>
      </x:c>
      <x:c r="B331" s="5" t="str">
        <x:v>D04-L0421-2</x:v>
      </x:c>
      <x:c r="C331" s="5" t="str">
        <x:v>7.1 The Three High-Conversion Wedge Offers</x:v>
      </x:c>
      <x:c r="D331" s="5" t="n">
        <x:v>421</x:v>
      </x:c>
      <x:c r="E331" s="5" t="n">
        <x:v>429</x:v>
      </x:c>
      <x:c r="F331" s="5" t="str">
        <x:v>text</x:v>
      </x:c>
      <x:c r="G331" s="5" t="n">
        <x:v>2</x:v>
      </x:c>
      <x:c r="H331" s="5" t="n">
        <x:v>2</x:v>
      </x:c>
      <x:c r="I331" s="5" t="str">
        <x:v>gator grant budget audit.</x:v>
      </x:c>
      <x:c r="J331" s="5" t="str">
        <x:v>SOURCE QUOTE; unvalidated / superseded assessments</x:v>
      </x:c>
      <x:c r="L331" s="31" t="str">
        <x:v>D04, Markdown line 421; http://nas-1.tail55d152.ts.net:4100/static/2S_PHARMACEUTICALS_AND_CHEMICALS_SECTOR_DOSSIER.html</x:v>
      </x:c>
    </x:row>
    <x:row r="332" ht="42" customHeight="1">
      <x:c r="A332" s="5" t="str">
        <x:v>D04</x:v>
      </x:c>
      <x:c r="B332" s="5" t="str">
        <x:v>D04-L0431-1</x:v>
      </x:c>
      <x:c r="C332" s="5" t="str">
        <x:v>7.2 Persona-Based Outreach Messaging Templates</x:v>
      </x:c>
      <x:c r="D332" s="5" t="n">
        <x:v>431</x:v>
      </x:c>
      <x:c r="E332" s="5" t="n">
        <x:v>431</x:v>
      </x:c>
      <x:c r="F332" s="5" t="str">
        <x:v>heading</x:v>
      </x:c>
      <x:c r="G332" s="5" t="n">
        <x:v>1</x:v>
      </x:c>
      <x:c r="H332" s="5" t="n">
        <x:v>1</x:v>
      </x:c>
      <x:c r="I332" s="5" t="str">
        <x:v>### 7.2 Persona-Based Outreach Messaging Templates</x:v>
      </x:c>
      <x:c r="J332" s="5" t="str">
        <x:v>SOURCE QUOTE; unvalidated / superseded assessments</x:v>
      </x:c>
      <x:c r="L332" s="31" t="str">
        <x:v>D04, Markdown line 431; http://nas-1.tail55d152.ts.net:4100/static/2S_PHARMACEUTICALS_AND_CHEMICALS_SECTOR_DOSSIER.html</x:v>
      </x:c>
    </x:row>
    <x:row r="333" ht="56" customHeight="1">
      <x:c r="A333" s="5" t="str">
        <x:v>D04</x:v>
      </x:c>
      <x:c r="B333" s="5" t="str">
        <x:v>D04-L0433-1</x:v>
      </x:c>
      <x:c r="C333" s="5" t="str">
        <x:v>Outreach A: Target — VP Operations / Plant Director (Chemical API &amp; CDMO)</x:v>
      </x:c>
      <x:c r="D333" s="5" t="n">
        <x:v>433</x:v>
      </x:c>
      <x:c r="E333" s="5" t="n">
        <x:v>433</x:v>
      </x:c>
      <x:c r="F333" s="5" t="str">
        <x:v>heading</x:v>
      </x:c>
      <x:c r="G333" s="5" t="n">
        <x:v>1</x:v>
      </x:c>
      <x:c r="H333" s="5" t="n">
        <x:v>1</x:v>
      </x:c>
      <x:c r="I333" s="5" t="str">
        <x:v>#### Outreach A: Target — VP Operations / Plant Director (Chemical API &amp; CDMO)</x:v>
      </x:c>
      <x:c r="J333" s="5" t="str">
        <x:v>SOURCE QUOTE; unvalidated / superseded assessments</x:v>
      </x:c>
      <x:c r="L333" s="31" t="str">
        <x:v>D04, Markdown line 433; http://nas-1.tail55d152.ts.net:4100/static/2S_PHARMACEUTICALS_AND_CHEMICALS_SECTOR_DOSSIER.html</x:v>
      </x:c>
    </x:row>
    <x:row r="334" ht="350" customHeight="1">
      <x:c r="A334" s="5" t="str">
        <x:v>D04</x:v>
      </x:c>
      <x:c r="B334" s="5" t="str">
        <x:v>D04-L0434-1</x:v>
      </x:c>
      <x:c r="C334" s="5" t="str">
        <x:v>Outreach A: Target — VP Operations / Plant Director (Chemical API &amp; CDMO)</x:v>
      </x:c>
      <x:c r="D334" s="5" t="n">
        <x:v>434</x:v>
      </x:c>
      <x:c r="E334" s="5" t="n">
        <x:v>446</x:v>
      </x:c>
      <x:c r="F334" s="5" t="str">
        <x:v>text</x:v>
      </x:c>
      <x:c r="G334" s="5" t="n">
        <x:v>1</x:v>
      </x:c>
      <x:c r="H334" s="5" t="n">
        <x:v>1</x:v>
      </x:c>
      <x:c r="I334" s="5" t="str">
        <x:v>&gt; **Subject**: Optimizing synthesis batch changeovers and API margins at [Company Name]  
&gt; 
&gt; *Dear [First Name],*  
&gt; 
&gt; As chemical synthesis and API manufacturers across Sweden face escalating solvent costs and aggressive pricing pressure from Asian producers, maintaining 30%+ gross margins requires squeezing every hour of latent capacity out of multi-purpose synthesis reactors.  
&gt; 
&gt; 2S Consulting has extensive experience in chemical and pharmaceutical plant turnarounds (including published methodologies on *Optimizing Product and Customer Mix* in multi-product API plants and *Controlling MTM Losses*). In our recent work, we have compressed cleanroom sanitization changeovers by 25–40% and eliminated margin-dilutive product runs without adding capital expenditure.  
&gt; 
&gt; We are currently conducting executive briefing sessions for Nordic pharmaceutical manufacturers. Would you be open to a 20-minute discussion next Tuesday at 14:00 CET to review our benchmark data on Nordic chemical reactor utilization and our 30-Day Yield Diagnostic?  
&gt; 
&gt; *Best regards,*  
&gt; **Hichem Sellami**  
&gt; Co-Founder &amp; CEO, 2S Consulting AB  </x:v>
      </x:c>
      <x:c r="J334" s="5" t="str">
        <x:v>SOURCE QUOTE; unvalidated / superseded assessments</x:v>
      </x:c>
      <x:c r="L334" s="31" t="str">
        <x:v>D04, Markdown line 434; http://nas-1.tail55d152.ts.net:4100/static/2S_PHARMACEUTICALS_AND_CHEMICALS_SECTOR_DOSSIER.html</x:v>
      </x:c>
    </x:row>
    <x:row r="335" ht="56" customHeight="1">
      <x:c r="A335" s="5" t="str">
        <x:v>D04</x:v>
      </x:c>
      <x:c r="B335" s="5" t="str">
        <x:v>D04-L0448-1</x:v>
      </x:c>
      <x:c r="C335" s="5" t="str">
        <x:v>Outreach B: Target — Commercial Director / Head of Market Access (Specialty Pharma)</x:v>
      </x:c>
      <x:c r="D335" s="5" t="n">
        <x:v>448</x:v>
      </x:c>
      <x:c r="E335" s="5" t="n">
        <x:v>448</x:v>
      </x:c>
      <x:c r="F335" s="5" t="str">
        <x:v>heading</x:v>
      </x:c>
      <x:c r="G335" s="5" t="n">
        <x:v>1</x:v>
      </x:c>
      <x:c r="H335" s="5" t="n">
        <x:v>1</x:v>
      </x:c>
      <x:c r="I335" s="5" t="str">
        <x:v>#### Outreach B: Target — Commercial Director / Head of Market Access (Specialty Pharma)</x:v>
      </x:c>
      <x:c r="J335" s="5" t="str">
        <x:v>SOURCE QUOTE; unvalidated / superseded assessments</x:v>
      </x:c>
      <x:c r="L335" s="31" t="str">
        <x:v>D04, Markdown line 448; http://nas-1.tail55d152.ts.net:4100/static/2S_PHARMACEUTICALS_AND_CHEMICALS_SECTOR_DOSSIER.html</x:v>
      </x:c>
    </x:row>
    <x:row r="336" ht="322" customHeight="1">
      <x:c r="A336" s="5" t="str">
        <x:v>D04</x:v>
      </x:c>
      <x:c r="B336" s="5" t="str">
        <x:v>D04-L0449-1</x:v>
      </x:c>
      <x:c r="C336" s="5" t="str">
        <x:v>Outreach B: Target — Commercial Director / Head of Market Access (Specialty Pharma)</x:v>
      </x:c>
      <x:c r="D336" s="5" t="n">
        <x:v>449</x:v>
      </x:c>
      <x:c r="E336" s="5" t="n">
        <x:v>461</x:v>
      </x:c>
      <x:c r="F336" s="5" t="str">
        <x:v>text</x:v>
      </x:c>
      <x:c r="G336" s="5" t="n">
        <x:v>1</x:v>
      </x:c>
      <x:c r="H336" s="5" t="n">
        <x:v>1</x:v>
      </x:c>
      <x:c r="I336" s="5" t="str">
        <x:v>&gt; **Subject**: Halting tender margin leakage and wholesaler stockout penalties in the Nordics  
&gt; 
&gt; *Dear [First Name],*  
&gt; 
&gt; Managing hospital pharmaceutical sales across Sweden's 21 Regioner, Denmark's Medicinrådet, and Norway requires navigating severe gross-to-net tender erosion—where unmodeled wholesaler buffer delays and stockout penalties can erode 8–18% of contract value.  
&gt; 
&gt; 2S Consulting previously designed and deployed the enterprise Commercial S&amp;OP Portal for global pharmaceutical enterprises like Merck, unifying primary ERP billing, secondary stockist inventories (Tamro/Oriola), and tender penalty alerting into a single executive dashboard.  
&gt; 
&gt; We have engineered a 30-Day Gross-to-Net Diagnostic specifically for Nordic specialty pharma companies to identify rebate leakage and simulate tender bid margins. Could we schedule a brief 15-minute call this Thursday to share how our commercial portal safeguards regional tender profitability?  
&gt; 
&gt; *Sincerely,*  
&gt; **Safa Sellami**  
&gt; Co-Founder &amp; COO, 2S Consulting AB  </x:v>
      </x:c>
      <x:c r="J336" s="5" t="str">
        <x:v>SOURCE QUOTE; unvalidated / superseded assessments</x:v>
      </x:c>
      <x:c r="L336" s="31" t="str">
        <x:v>D04, Markdown line 449; http://nas-1.tail55d152.ts.net:4100/static/2S_PHARMACEUTICALS_AND_CHEMICALS_SECTOR_DOSSIER.html</x:v>
      </x:c>
    </x:row>
    <x:row r="337" ht="42" customHeight="1">
      <x:c r="A337" s="5" t="str">
        <x:v>D04</x:v>
      </x:c>
      <x:c r="B337" s="5" t="str">
        <x:v>D04-L0465-1</x:v>
      </x:c>
      <x:c r="C337" s="5" t="str">
        <x:v>8. Analysis of Competing Hypotheses (ACH) — Nordic Pharma Penetration</x:v>
      </x:c>
      <x:c r="D337" s="5" t="n">
        <x:v>465</x:v>
      </x:c>
      <x:c r="E337" s="5" t="n">
        <x:v>465</x:v>
      </x:c>
      <x:c r="F337" s="5" t="str">
        <x:v>heading</x:v>
      </x:c>
      <x:c r="G337" s="5" t="n">
        <x:v>1</x:v>
      </x:c>
      <x:c r="H337" s="5" t="n">
        <x:v>1</x:v>
      </x:c>
      <x:c r="I337" s="5" t="str">
        <x:v>## 8. Analysis of Competing Hypotheses (ACH) — Nordic Pharma Penetration</x:v>
      </x:c>
      <x:c r="J337" s="5" t="str">
        <x:v>SOURCE QUOTE; unvalidated / superseded assessments</x:v>
      </x:c>
      <x:c r="L337" s="31" t="str">
        <x:v>D04, Markdown line 465; http://nas-1.tail55d152.ts.net:4100/static/2S_PHARMACEUTICALS_AND_CHEMICALS_SECTOR_DOSSIER.html</x:v>
      </x:c>
    </x:row>
    <x:row r="338" ht="70" customHeight="1">
      <x:c r="A338" s="5" t="str">
        <x:v>D04</x:v>
      </x:c>
      <x:c r="B338" s="5" t="str">
        <x:v>D04-L0467-1</x:v>
      </x:c>
      <x:c r="C338" s="5" t="str">
        <x:v>8. Analysis of Competing Hypotheses (ACH) — Nordic Pharma Penetration</x:v>
      </x:c>
      <x:c r="D338" s="5" t="n">
        <x:v>467</x:v>
      </x:c>
      <x:c r="E338" s="5" t="n">
        <x:v>467</x:v>
      </x:c>
      <x:c r="F338" s="5" t="str">
        <x:v>text</x:v>
      </x:c>
      <x:c r="G338" s="5" t="n">
        <x:v>1</x:v>
      </x:c>
      <x:c r="H338" s="5" t="n">
        <x:v>1</x:v>
      </x:c>
      <x:c r="I338" s="5" t="str">
        <x:v>To evaluate the most effective commercial penetration strategy and mathematically eliminate confirmation bias, we evaluate three competing commercial hypotheses ($H_1, H_2, H_3$) under the formal **Richards J. Heuer Jr. Analysis of Competing Hypotheses (ACH)** framework:</x:v>
      </x:c>
      <x:c r="J338" s="5" t="str">
        <x:v>SOURCE QUOTE; unvalidated / superseded assessments</x:v>
      </x:c>
      <x:c r="L338" s="31" t="str">
        <x:v>D04, Markdown line 467; http://nas-1.tail55d152.ts.net:4100/static/2S_PHARMACEUTICALS_AND_CHEMICALS_SECTOR_DOSSIER.html</x:v>
      </x:c>
    </x:row>
    <x:row r="339" ht="154" customHeight="1">
      <x:c r="A339" s="5" t="str">
        <x:v>D04</x:v>
      </x:c>
      <x:c r="B339" s="5" t="str">
        <x:v>D04-L0469-1</x:v>
      </x:c>
      <x:c r="C339" s="5" t="str">
        <x:v>8. Analysis of Competing Hypotheses (ACH) — Nordic Pharma Penetration</x:v>
      </x:c>
      <x:c r="D339" s="5" t="n">
        <x:v>469</x:v>
      </x:c>
      <x:c r="E339" s="5" t="n">
        <x:v>471</x:v>
      </x:c>
      <x:c r="F339" s="5" t="str">
        <x:v>text</x:v>
      </x:c>
      <x:c r="G339" s="5" t="n">
        <x:v>1</x:v>
      </x:c>
      <x:c r="H339" s="5" t="n">
        <x:v>1</x:v>
      </x:c>
      <x:c r="I339" s="5" t="str">
        <x:v>* **$H_1$ (Enterprise Software Vendor)**: 2S Consulting and Numantra attempt to sell HCare360 and S&amp;OP portals as standalone, self-serve software licenses competing against Veeva Systems, SAP IBP, and Benchling.
* **$H_2$ (Traditional Hourly Staffing &amp; Advisory Boutique)**: 2S Consulting enters as a conventional hourly management consultancy, competing on billable consultant rates against domestic Swedish engineering and QA firms (Plantvision, Knightec, Prevas).
* **$H_3$ (Asymmetric Hybrid Value-Engineering &amp; Sovereign Tech Enabler — CONFIRMED)**: 2S Consulting positions as an elite specialist enabler—deploying fixed-price 30-day diagnostic wedges (€28k–€35k), co-developing commercial portals backed by Finnish sovereign GxP cloud hosting, and co-opetition subcontracts with Nordic engineering firms.</x:v>
      </x:c>
      <x:c r="J339" s="5" t="str">
        <x:v>SOURCE QUOTE; unvalidated / superseded assessments</x:v>
      </x:c>
      <x:c r="L339" s="31" t="str">
        <x:v>D04, Markdown line 469; http://nas-1.tail55d152.ts.net:4100/static/2S_PHARMACEUTICALS_AND_CHEMICALS_SECTOR_DOSSIER.html</x:v>
      </x:c>
    </x:row>
    <x:row r="340" ht="42" customHeight="1">
      <x:c r="A340" s="5" t="str">
        <x:v>D04</x:v>
      </x:c>
      <x:c r="B340" s="5" t="str">
        <x:v>D04-L0473-1</x:v>
      </x:c>
      <x:c r="C340" s="5" t="str">
        <x:v>8.1 ACH Diagnostic Disconfirmation Matrix</x:v>
      </x:c>
      <x:c r="D340" s="5" t="n">
        <x:v>473</x:v>
      </x:c>
      <x:c r="E340" s="5" t="n">
        <x:v>473</x:v>
      </x:c>
      <x:c r="F340" s="5" t="str">
        <x:v>heading</x:v>
      </x:c>
      <x:c r="G340" s="5" t="n">
        <x:v>1</x:v>
      </x:c>
      <x:c r="H340" s="5" t="n">
        <x:v>1</x:v>
      </x:c>
      <x:c r="I340" s="5" t="str">
        <x:v>### 8.1 ACH Diagnostic Disconfirmation Matrix</x:v>
      </x:c>
      <x:c r="J340" s="5" t="str">
        <x:v>SOURCE QUOTE; unvalidated / superseded assessments</x:v>
      </x:c>
      <x:c r="L340" s="31" t="str">
        <x:v>D04, Markdown line 473; http://nas-1.tail55d152.ts.net:4100/static/2S_PHARMACEUTICALS_AND_CHEMICALS_SECTOR_DOSSIER.html</x:v>
      </x:c>
    </x:row>
    <x:row r="341" ht="56" customHeight="1">
      <x:c r="A341" s="5" t="str">
        <x:v>D04</x:v>
      </x:c>
      <x:c r="B341" s="5" t="str">
        <x:v>D04-L0484-1</x:v>
      </x:c>
      <x:c r="C341" s="5" t="str">
        <x:v>8.1 ACH Diagnostic Disconfirmation Matrix</x:v>
      </x:c>
      <x:c r="D341" s="5" t="n">
        <x:v>484</x:v>
      </x:c>
      <x:c r="E341" s="5" t="n">
        <x:v>484</x:v>
      </x:c>
      <x:c r="F341" s="5" t="str">
        <x:v>text</x:v>
      </x:c>
      <x:c r="G341" s="5" t="n">
        <x:v>1</x:v>
      </x:c>
      <x:c r="H341" s="5" t="n">
        <x:v>1</x:v>
      </x:c>
      <x:c r="I341" s="5" t="str">
        <x:v>*Conclusion*: $H_3$ is mathematically confirmed with **zero diagnostic inconsistencies**, establishing that the asymmetric hybrid enabler model is the only commercially viable market entry strategy for 2S Consulting.</x:v>
      </x:c>
      <x:c r="J341" s="5" t="str">
        <x:v>SOURCE QUOTE; unvalidated / superseded assessments</x:v>
      </x:c>
      <x:c r="L341" s="31" t="str">
        <x:v>D04, Markdown line 484; http://nas-1.tail55d152.ts.net:4100/static/2S_PHARMACEUTICALS_AND_CHEMICALS_SECTOR_DOSSIER.html</x:v>
      </x:c>
    </x:row>
    <x:row r="342" ht="42" customHeight="1">
      <x:c r="A342" s="5" t="str">
        <x:v>D04</x:v>
      </x:c>
      <x:c r="B342" s="5" t="str">
        <x:v>D04-L0488-1</x:v>
      </x:c>
      <x:c r="C342" s="5" t="str">
        <x:v>9. NATO STANAG 2017/2018 Admiralty Protocol Evaluation Matrix</x:v>
      </x:c>
      <x:c r="D342" s="5" t="n">
        <x:v>488</x:v>
      </x:c>
      <x:c r="E342" s="5" t="n">
        <x:v>488</x:v>
      </x:c>
      <x:c r="F342" s="5" t="str">
        <x:v>heading</x:v>
      </x:c>
      <x:c r="G342" s="5" t="n">
        <x:v>1</x:v>
      </x:c>
      <x:c r="H342" s="5" t="n">
        <x:v>1</x:v>
      </x:c>
      <x:c r="I342" s="5" t="str">
        <x:v>## 9. NATO STANAG 2017/2018 Admiralty Protocol Evaluation Matrix</x:v>
      </x:c>
      <x:c r="J342" s="5" t="str">
        <x:v>SOURCE QUOTE; unvalidated / superseded assessments</x:v>
      </x:c>
      <x:c r="L342" s="31" t="str">
        <x:v>D04, Markdown line 488; http://nas-1.tail55d152.ts.net:4100/static/2S_PHARMACEUTICALS_AND_CHEMICALS_SECTOR_DOSSIER.html</x:v>
      </x:c>
    </x:row>
    <x:row r="343" ht="70" customHeight="1">
      <x:c r="A343" s="5" t="str">
        <x:v>D04</x:v>
      </x:c>
      <x:c r="B343" s="5" t="str">
        <x:v>D04-L0490-1</x:v>
      </x:c>
      <x:c r="C343" s="5" t="str">
        <x:v>9. NATO STANAG 2017/2018 Admiralty Protocol Evaluation Matrix</x:v>
      </x:c>
      <x:c r="D343" s="5" t="n">
        <x:v>490</x:v>
      </x:c>
      <x:c r="E343" s="5" t="n">
        <x:v>490</x:v>
      </x:c>
      <x:c r="F343" s="5" t="str">
        <x:v>text</x:v>
      </x:c>
      <x:c r="G343" s="5" t="n">
        <x:v>1</x:v>
      </x:c>
      <x:c r="H343" s="5" t="n">
        <x:v>1</x:v>
      </x:c>
      <x:c r="I343" s="5" t="str">
        <x:v>All corporate, financial, clinical, and regulatory claims cited throughout this dossier have been verified against the **NATO STANAG 2017/2018 Admiralty System** (Source Reliability $A\text{--}F$, Information Credibility $1\text{--}6$). Admissibility threshold $\ge \text{B2}$ is strictly enforced across all 10 intelligence targets:</x:v>
      </x:c>
      <x:c r="J343" s="5" t="str">
        <x:v>SOURCE QUOTE; unvalidated / superseded assessments</x:v>
      </x:c>
      <x:c r="L343" s="31" t="str">
        <x:v>D04, Markdown line 490; http://nas-1.tail55d152.ts.net:4100/static/2S_PHARMACEUTICALS_AND_CHEMICALS_SECTOR_DOSSIER.html</x:v>
      </x:c>
    </x:row>
    <x:row r="344" ht="56" customHeight="1">
      <x:c r="A344" s="5" t="str">
        <x:v>D04</x:v>
      </x:c>
      <x:c r="B344" s="5" t="str">
        <x:v>D04-L0505-1</x:v>
      </x:c>
      <x:c r="C344" s="5" t="str">
        <x:v>9. NATO STANAG 2017/2018 Admiralty Protocol Evaluation Matrix</x:v>
      </x:c>
      <x:c r="D344" s="5" t="n">
        <x:v>505</x:v>
      </x:c>
      <x:c r="E344" s="5" t="n">
        <x:v>505</x:v>
      </x:c>
      <x:c r="F344" s="5" t="str">
        <x:v>text</x:v>
      </x:c>
      <x:c r="G344" s="5" t="n">
        <x:v>1</x:v>
      </x:c>
      <x:c r="H344" s="5" t="n">
        <x:v>1</x:v>
      </x:c>
      <x:c r="I344" s="5" t="str">
        <x:v>*Admissibility Summary*: 10/10 intelligence claims pass the UOS $\ge \text{B2}$ admissibility gate (8 Grade A1, 2 Grade A2, 1 Grade B2). Zero claims rely on unverified anecdotal claims.</x:v>
      </x:c>
      <x:c r="J344" s="5" t="str">
        <x:v>SOURCE QUOTE; unvalidated / superseded assessments</x:v>
      </x:c>
      <x:c r="L344" s="31" t="str">
        <x:v>D04, Markdown line 505; http://nas-1.tail55d152.ts.net:4100/static/2S_PHARMACEUTICALS_AND_CHEMICALS_SECTOR_DOSSIER.html</x:v>
      </x:c>
    </x:row>
    <x:row r="345" ht="42" customHeight="1">
      <x:c r="A345" s="5" t="str">
        <x:v>D04</x:v>
      </x:c>
      <x:c r="B345" s="5" t="str">
        <x:v>D04-L0509-1</x:v>
      </x:c>
      <x:c r="C345" s="5" t="str">
        <x:v>10. Devil's Advocate &amp; Tenth Man Falsification Protocol</x:v>
      </x:c>
      <x:c r="D345" s="5" t="n">
        <x:v>509</x:v>
      </x:c>
      <x:c r="E345" s="5" t="n">
        <x:v>509</x:v>
      </x:c>
      <x:c r="F345" s="5" t="str">
        <x:v>heading</x:v>
      </x:c>
      <x:c r="G345" s="5" t="n">
        <x:v>1</x:v>
      </x:c>
      <x:c r="H345" s="5" t="n">
        <x:v>1</x:v>
      </x:c>
      <x:c r="I345" s="5" t="str">
        <x:v>## 10. Devil's Advocate &amp; Tenth Man Falsification Protocol</x:v>
      </x:c>
      <x:c r="J345" s="5" t="str">
        <x:v>SOURCE QUOTE; unvalidated / superseded assessments</x:v>
      </x:c>
      <x:c r="L345" s="31" t="str">
        <x:v>D04, Markdown line 509; http://nas-1.tail55d152.ts.net:4100/static/2S_PHARMACEUTICALS_AND_CHEMICALS_SECTOR_DOSSIER.html</x:v>
      </x:c>
    </x:row>
    <x:row r="346" ht="70" customHeight="1">
      <x:c r="A346" s="5" t="str">
        <x:v>D04</x:v>
      </x:c>
      <x:c r="B346" s="5" t="str">
        <x:v>D04-L0511-1</x:v>
      </x:c>
      <x:c r="C346" s="5" t="str">
        <x:v>10. Devil's Advocate &amp; Tenth Man Falsification Protocol</x:v>
      </x:c>
      <x:c r="D346" s="5" t="n">
        <x:v>511</x:v>
      </x:c>
      <x:c r="E346" s="5" t="n">
        <x:v>511</x:v>
      </x:c>
      <x:c r="F346" s="5" t="str">
        <x:v>text</x:v>
      </x:c>
      <x:c r="G346" s="5" t="n">
        <x:v>1</x:v>
      </x:c>
      <x:c r="H346" s="5" t="n">
        <x:v>1</x:v>
      </x:c>
      <x:c r="I346" s="5" t="str">
        <x:v>To enforce strict intellectual rigor and prevent strategic overconfidence (`SC-AVP-005` &amp; UOS `INV-JRN-04`), we formulate the **Tenth Man adversarial challenge**: *"Why will 2S Consulting fail to penetrate the Nordic pharmaceuticals and chemicals market, and what empirical evidence would prove the commercial strategy wrong?"*</x:v>
      </x:c>
      <x:c r="J346" s="5" t="str">
        <x:v>SOURCE QUOTE; unvalidated / superseded assessments</x:v>
      </x:c>
      <x:c r="L346" s="31" t="str">
        <x:v>D04, Markdown line 511; http://nas-1.tail55d152.ts.net:4100/static/2S_PHARMACEUTICALS_AND_CHEMICALS_SECTOR_DOSSIER.html</x:v>
      </x:c>
    </x:row>
    <x:row r="347" ht="42" customHeight="1">
      <x:c r="A347" s="5" t="str">
        <x:v>D04</x:v>
      </x:c>
      <x:c r="B347" s="5" t="str">
        <x:v>D04-L0513-1</x:v>
      </x:c>
      <x:c r="C347" s="5" t="str">
        <x:v>10.1 The Adversarial Vectors &amp; TPS Countermeasures</x:v>
      </x:c>
      <x:c r="D347" s="5" t="n">
        <x:v>513</x:v>
      </x:c>
      <x:c r="E347" s="5" t="n">
        <x:v>513</x:v>
      </x:c>
      <x:c r="F347" s="5" t="str">
        <x:v>heading</x:v>
      </x:c>
      <x:c r="G347" s="5" t="n">
        <x:v>1</x:v>
      </x:c>
      <x:c r="H347" s="5" t="n">
        <x:v>1</x:v>
      </x:c>
      <x:c r="I347" s="5" t="str">
        <x:v>### 10.1 The Adversarial Vectors &amp; TPS Countermeasures</x:v>
      </x:c>
      <x:c r="J347" s="5" t="str">
        <x:v>SOURCE QUOTE; unvalidated / superseded assessments</x:v>
      </x:c>
      <x:c r="L347" s="31" t="str">
        <x:v>D04, Markdown line 513; http://nas-1.tail55d152.ts.net:4100/static/2S_PHARMACEUTICALS_AND_CHEMICALS_SECTOR_DOSSIER.html</x:v>
      </x:c>
    </x:row>
    <x:row r="348" ht="56" customHeight="1">
      <x:c r="A348" s="5" t="str">
        <x:v>D04</x:v>
      </x:c>
      <x:c r="B348" s="5" t="str">
        <x:v>D04-L0515-1</x:v>
      </x:c>
      <x:c r="C348" s="5" t="str">
        <x:v>Adversarial Vector 1: Big Pharma Internal Excellence Hubs &amp; "Not-Invented-Here" Syndrome</x:v>
      </x:c>
      <x:c r="D348" s="5" t="n">
        <x:v>515</x:v>
      </x:c>
      <x:c r="E348" s="5" t="n">
        <x:v>515</x:v>
      </x:c>
      <x:c r="F348" s="5" t="str">
        <x:v>heading</x:v>
      </x:c>
      <x:c r="G348" s="5" t="n">
        <x:v>1</x:v>
      </x:c>
      <x:c r="H348" s="5" t="n">
        <x:v>1</x:v>
      </x:c>
      <x:c r="I348" s="5" t="str">
        <x:v>#### Adversarial Vector 1: Big Pharma Internal Excellence Hubs &amp; "Not-Invented-Here" Syndrome</x:v>
      </x:c>
      <x:c r="J348" s="5" t="str">
        <x:v>SOURCE QUOTE; unvalidated / superseded assessments</x:v>
      </x:c>
      <x:c r="L348" s="31" t="str">
        <x:v>D04, Markdown line 515; http://nas-1.tail55d152.ts.net:4100/static/2S_PHARMACEUTICALS_AND_CHEMICALS_SECTOR_DOSSIER.html</x:v>
      </x:c>
    </x:row>
    <x:row r="349" ht="154" customHeight="1">
      <x:c r="A349" s="5" t="str">
        <x:v>D04</x:v>
      </x:c>
      <x:c r="B349" s="5" t="str">
        <x:v>D04-L0516-1</x:v>
      </x:c>
      <x:c r="C349" s="5" t="str">
        <x:v>Adversarial Vector 1: Big Pharma Internal Excellence Hubs &amp; "Not-Invented-Here" Syndrome</x:v>
      </x:c>
      <x:c r="D349" s="5" t="n">
        <x:v>516</x:v>
      </x:c>
      <x:c r="E349" s="5" t="n">
        <x:v>517</x:v>
      </x:c>
      <x:c r="F349" s="5" t="str">
        <x:v>text</x:v>
      </x:c>
      <x:c r="G349" s="5" t="n">
        <x:v>1</x:v>
      </x:c>
      <x:c r="H349" s="5" t="n">
        <x:v>1</x:v>
      </x:c>
      <x:c r="I349" s="5" t="str">
        <x:v>* *The Counter-Case*: Large-cap pharmaceutical enterprises like Novo Nordisk and AstraZeneca have internal "Global Business Services" (GBS) and massive digital transformation teams in Copenhagen, Gothenburg, and India. They routinely reject external boutique consultants, viewing internal teams as cheaper and more culturally aligned.
* *Systemic TPS Countermeasure*: 2S Consulting does not pitch broad, generalist digital transformation to Tier-1 pharma corporate HQs. We target **local manufacturing plant managers and commercial affiliate heads** at specific operating sites (e.g., Södertälje plant packaging lines, Karlskoga synthesis reactors) with specialized, localized problems (cleanroom batch changeover bottlenecks, regional hospital tender GTN erosion) that corporate GBS teams are too detached to solve.</x:v>
      </x:c>
      <x:c r="J349" s="5" t="str">
        <x:v>SOURCE QUOTE; unvalidated / superseded assessments</x:v>
      </x:c>
      <x:c r="L349" s="31" t="str">
        <x:v>D04, Markdown line 516; http://nas-1.tail55d152.ts.net:4100/static/2S_PHARMACEUTICALS_AND_CHEMICALS_SECTOR_DOSSIER.html</x:v>
      </x:c>
    </x:row>
    <x:row r="350" ht="56" customHeight="1">
      <x:c r="A350" s="5" t="str">
        <x:v>D04</x:v>
      </x:c>
      <x:c r="B350" s="5" t="str">
        <x:v>D04-L0519-1</x:v>
      </x:c>
      <x:c r="C350" s="5" t="str">
        <x:v>Adversarial Vector 2: Entrenched Relationships with Big-4 and Domestic QA Boutiques</x:v>
      </x:c>
      <x:c r="D350" s="5" t="n">
        <x:v>519</x:v>
      </x:c>
      <x:c r="E350" s="5" t="n">
        <x:v>519</x:v>
      </x:c>
      <x:c r="F350" s="5" t="str">
        <x:v>heading</x:v>
      </x:c>
      <x:c r="G350" s="5" t="n">
        <x:v>1</x:v>
      </x:c>
      <x:c r="H350" s="5" t="n">
        <x:v>1</x:v>
      </x:c>
      <x:c r="I350" s="5" t="str">
        <x:v>#### Adversarial Vector 2: Entrenched Relationships with Big-4 and Domestic QA Boutiques</x:v>
      </x:c>
      <x:c r="J350" s="5" t="str">
        <x:v>SOURCE QUOTE; unvalidated / superseded assessments</x:v>
      </x:c>
      <x:c r="L350" s="31" t="str">
        <x:v>D04, Markdown line 519; http://nas-1.tail55d152.ts.net:4100/static/2S_PHARMACEUTICALS_AND_CHEMICALS_SECTOR_DOSSIER.html</x:v>
      </x:c>
    </x:row>
    <x:row r="351" ht="140" customHeight="1">
      <x:c r="A351" s="5" t="str">
        <x:v>D04</x:v>
      </x:c>
      <x:c r="B351" s="5" t="str">
        <x:v>D04-L0520-1</x:v>
      </x:c>
      <x:c r="C351" s="5" t="str">
        <x:v>Adversarial Vector 2: Entrenched Relationships with Big-4 and Domestic QA Boutiques</x:v>
      </x:c>
      <x:c r="D351" s="5" t="n">
        <x:v>520</x:v>
      </x:c>
      <x:c r="E351" s="5" t="n">
        <x:v>521</x:v>
      </x:c>
      <x:c r="F351" s="5" t="str">
        <x:v>text</x:v>
      </x:c>
      <x:c r="G351" s="5" t="n">
        <x:v>1</x:v>
      </x:c>
      <x:c r="H351" s="5" t="n">
        <x:v>1</x:v>
      </x:c>
      <x:c r="I351" s="5" t="str">
        <x:v>* *The Counter-Case*: Mid-sized Nordic biopharmas rely heavily on domestic consultancies like Plantvision and Knightec for GxP validation and QA staffing due to long-standing personal relationships. A Swiss-based firm will struggle to win work without established local Swedish-speaking partners.
* *Systemic TPS Countermeasure*: We deploy the **Co-Opetition Strategic Subcontracting Alliance**. 2S does not displace Plantvision or Knightec; we provide them with high-tech software and algorithmic capabilities (HCare360 NLP, EU AI Act compliance engines, mathematical S&amp;OP modeling) that their human-hour staffing models lack, offering them a 20% billing margin for fronting the account.</x:v>
      </x:c>
      <x:c r="J351" s="5" t="str">
        <x:v>SOURCE QUOTE; unvalidated / superseded assessments</x:v>
      </x:c>
      <x:c r="L351" s="31" t="str">
        <x:v>D04, Markdown line 520; http://nas-1.tail55d152.ts.net:4100/static/2S_PHARMACEUTICALS_AND_CHEMICALS_SECTOR_DOSSIER.html</x:v>
      </x:c>
    </x:row>
    <x:row r="352" ht="56" customHeight="1">
      <x:c r="A352" s="5" t="str">
        <x:v>D04</x:v>
      </x:c>
      <x:c r="B352" s="5" t="str">
        <x:v>D04-L0523-1</x:v>
      </x:c>
      <x:c r="C352" s="5" t="str">
        <x:v>Adversarial Vector 3: Clinical Biopharma Capital Conservation During Financing Droughts</x:v>
      </x:c>
      <x:c r="D352" s="5" t="n">
        <x:v>523</x:v>
      </x:c>
      <x:c r="E352" s="5" t="n">
        <x:v>523</x:v>
      </x:c>
      <x:c r="F352" s="5" t="str">
        <x:v>heading</x:v>
      </x:c>
      <x:c r="G352" s="5" t="n">
        <x:v>1</x:v>
      </x:c>
      <x:c r="H352" s="5" t="n">
        <x:v>1</x:v>
      </x:c>
      <x:c r="I352" s="5" t="str">
        <x:v>#### Adversarial Vector 3: Clinical Biopharma Capital Conservation During Financing Droughts</x:v>
      </x:c>
      <x:c r="J352" s="5" t="str">
        <x:v>SOURCE QUOTE; unvalidated / superseded assessments</x:v>
      </x:c>
      <x:c r="L352" s="31" t="str">
        <x:v>D04, Markdown line 523; http://nas-1.tail55d152.ts.net:4100/static/2S_PHARMACEUTICALS_AND_CHEMICALS_SECTOR_DOSSIER.html</x:v>
      </x:c>
    </x:row>
    <x:row r="353" ht="140" customHeight="1">
      <x:c r="A353" s="5" t="str">
        <x:v>D04</x:v>
      </x:c>
      <x:c r="B353" s="5" t="str">
        <x:v>D04-L0524-1</x:v>
      </x:c>
      <x:c r="C353" s="5" t="str">
        <x:v>Adversarial Vector 3: Clinical Biopharma Capital Conservation During Financing Droughts</x:v>
      </x:c>
      <x:c r="D353" s="5" t="n">
        <x:v>524</x:v>
      </x:c>
      <x:c r="E353" s="5" t="n">
        <x:v>525</x:v>
      </x:c>
      <x:c r="F353" s="5" t="str">
        <x:v>text</x:v>
      </x:c>
      <x:c r="G353" s="5" t="n">
        <x:v>1</x:v>
      </x:c>
      <x:c r="H353" s="5" t="n">
        <x:v>1</x:v>
      </x:c>
      <x:c r="I353" s="5" t="str">
        <x:v>* *The Counter-Case*: Nordic clinical-stage biotechs on Nasdaq First North and Nasdaq Stockholm face a depressed life sciences financing market. With declining share prices and difficult secondary rights issues, boards will veto any external consulting expenditures to preserve cash runway for clinical trials.
* *Systemic TPS Countermeasure*: Our clinical offering is explicitly structured as an **Immediate Cash-Runway Preserver**. By proving that the HCare360 NLP Patient Screening Engine shortens trial recruitment by 3–6 months, we demonstrate that a €35,000 diagnostic sprint saves €1.5M–€4.5M in direct clinical trial burn, making the engagement self-funding.</x:v>
      </x:c>
      <x:c r="J353" s="5" t="str">
        <x:v>SOURCE QUOTE; unvalidated / superseded assessments</x:v>
      </x:c>
      <x:c r="L353" s="31" t="str">
        <x:v>D04, Markdown line 524; http://nas-1.tail55d152.ts.net:4100/static/2S_PHARMACEUTICALS_AND_CHEMICALS_SECTOR_DOSSIER.html</x:v>
      </x:c>
    </x:row>
    <x:row r="354" ht="56" customHeight="1">
      <x:c r="A354" s="5" t="str">
        <x:v>D04</x:v>
      </x:c>
      <x:c r="B354" s="5" t="str">
        <x:v>D04-L0527-1</x:v>
      </x:c>
      <x:c r="C354" s="5" t="str">
        <x:v>10.2 Empirical Falsification Criteria ($C_{\text{false}}$) &amp; 30-Day Tripwires</x:v>
      </x:c>
      <x:c r="D354" s="5" t="n">
        <x:v>527</x:v>
      </x:c>
      <x:c r="E354" s="5" t="n">
        <x:v>527</x:v>
      </x:c>
      <x:c r="F354" s="5" t="str">
        <x:v>heading</x:v>
      </x:c>
      <x:c r="G354" s="5" t="n">
        <x:v>1</x:v>
      </x:c>
      <x:c r="H354" s="5" t="n">
        <x:v>1</x:v>
      </x:c>
      <x:c r="I354" s="5" t="str">
        <x:v>### 10.2 Empirical Falsification Criteria ($C_{\text{false}}$) &amp; 30-Day Tripwires</x:v>
      </x:c>
      <x:c r="J354" s="5" t="str">
        <x:v>SOURCE QUOTE; unvalidated / superseded assessments</x:v>
      </x:c>
      <x:c r="L354" s="31" t="str">
        <x:v>D04, Markdown line 527; http://nas-1.tail55d152.ts.net:4100/static/2S_PHARMACEUTICALS_AND_CHEMICALS_SECTOR_DOSSIER.html</x:v>
      </x:c>
    </x:row>
    <x:row r="355" ht="56" customHeight="1">
      <x:c r="A355" s="5" t="str">
        <x:v>D04</x:v>
      </x:c>
      <x:c r="B355" s="5" t="str">
        <x:v>D04-L0529-1</x:v>
      </x:c>
      <x:c r="C355" s="5" t="str">
        <x:v>10.2 Empirical Falsification Criteria ($C_{\text{false}}$) &amp; 30-Day Tripwires</x:v>
      </x:c>
      <x:c r="D355" s="5" t="n">
        <x:v>529</x:v>
      </x:c>
      <x:c r="E355" s="5" t="n">
        <x:v>529</x:v>
      </x:c>
      <x:c r="F355" s="5" t="str">
        <x:v>text</x:v>
      </x:c>
      <x:c r="G355" s="5" t="n">
        <x:v>1</x:v>
      </x:c>
      <x:c r="H355" s="5" t="n">
        <x:v>1</x:v>
      </x:c>
      <x:c r="I355" s="5" t="str">
        <x:v>The Nordic pharmaceutical and chemical expansion strategy must be formally revised or terminated if any of the following empirical tripwires are triggered:</x:v>
      </x:c>
      <x:c r="J355" s="5" t="str">
        <x:v>SOURCE QUOTE; unvalidated / superseded assessments</x:v>
      </x:c>
      <x:c r="L355" s="31" t="str">
        <x:v>D04, Markdown line 529; http://nas-1.tail55d152.ts.net:4100/static/2S_PHARMACEUTICALS_AND_CHEMICALS_SECTOR_DOSSIER.html</x:v>
      </x:c>
    </x:row>
    <x:row r="356" ht="182" customHeight="1">
      <x:c r="A356" s="5" t="str">
        <x:v>D04</x:v>
      </x:c>
      <x:c r="B356" s="5" t="str">
        <x:v>D04-L0531-1</x:v>
      </x:c>
      <x:c r="C356" s="5" t="str">
        <x:v>10.2 Empirical Falsification Criteria ($C_{\text{false}}$) &amp; 30-Day Tripwires</x:v>
      </x:c>
      <x:c r="D356" s="5" t="n">
        <x:v>531</x:v>
      </x:c>
      <x:c r="E356" s="5" t="n">
        <x:v>534</x:v>
      </x:c>
      <x:c r="F356" s="5" t="str">
        <x:v>text</x:v>
      </x:c>
      <x:c r="G356" s="5" t="n">
        <x:v>1</x:v>
      </x:c>
      <x:c r="H356" s="5" t="n">
        <x:v>1</x:v>
      </x:c>
      <x:c r="I356" s="5" t="str">
        <x:v>* **Tripwire 1 (Cold Outreach Conversion Failure)**: If 35 direct, personalized outreach touches across Tier-1/Tier-2/Tier-3 VP of Operations and Heads of Market Access yield **$&lt; 2$ exploratory executive meetings** within 45 days.
* **Tripwire 2 (Diagnostic Pricing Rejection)**: If prospective clients in exploratory meetings uniformly demand full contingency-fee models or refuse the €28,000 – €35,000 fixed-fee diagnostic structure.
* **Tripwire 3 (Partner Channel Blockade)**: If exploratory discussions with Alliance Directors at Plantvision, Knightec, or Semcon fail to generate at least **1 mutual NDA or joint-proposal opportunity** within 60 days.
* **Tripwire 4 (Regulatory Inaction)**: If European competent authorities (EMA, national agencies) permanently pause enforcement of the EU AI Act on predictive discovery algorithms and drop security-of-supply criteria from the Critical Medicines Act.</x:v>
      </x:c>
      <x:c r="J356" s="5" t="str">
        <x:v>SOURCE QUOTE; unvalidated / superseded assessments</x:v>
      </x:c>
      <x:c r="L356" s="31" t="str">
        <x:v>D04, Markdown line 531; http://nas-1.tail55d152.ts.net:4100/static/2S_PHARMACEUTICALS_AND_CHEMICALS_SECTOR_DOSSIER.html</x:v>
      </x:c>
    </x:row>
    <x:row r="357" ht="42" customHeight="1">
      <x:c r="A357" s="5" t="str">
        <x:v>D04</x:v>
      </x:c>
      <x:c r="B357" s="5" t="str">
        <x:v>D04-L0538-1</x:v>
      </x:c>
      <x:c r="C357" s="5" t="str">
        <x:v>11. Artifact Reference &amp; Cross-Links</x:v>
      </x:c>
      <x:c r="D357" s="5" t="n">
        <x:v>538</x:v>
      </x:c>
      <x:c r="E357" s="5" t="n">
        <x:v>538</x:v>
      </x:c>
      <x:c r="F357" s="5" t="str">
        <x:v>heading</x:v>
      </x:c>
      <x:c r="G357" s="5" t="n">
        <x:v>1</x:v>
      </x:c>
      <x:c r="H357" s="5" t="n">
        <x:v>1</x:v>
      </x:c>
      <x:c r="I357" s="5" t="str">
        <x:v>## 11. Artifact Reference &amp; Cross-Links</x:v>
      </x:c>
      <x:c r="J357" s="5" t="str">
        <x:v>SOURCE QUOTE; unvalidated / superseded assessments</x:v>
      </x:c>
      <x:c r="L357" s="31" t="str">
        <x:v>D04, Markdown line 538; http://nas-1.tail55d152.ts.net:4100/static/2S_PHARMACEUTICALS_AND_CHEMICALS_SECTOR_DOSSIER.html</x:v>
      </x:c>
    </x:row>
    <x:row r="358" ht="238" customHeight="1">
      <x:c r="A358" s="5" t="str">
        <x:v>D04</x:v>
      </x:c>
      <x:c r="B358" s="5" t="str">
        <x:v>D04-L0540-1</x:v>
      </x:c>
      <x:c r="C358" s="5" t="str">
        <x:v>11. Artifact Reference &amp; Cross-Links</x:v>
      </x:c>
      <x:c r="D358" s="5" t="n">
        <x:v>540</x:v>
      </x:c>
      <x:c r="E358" s="5" t="n">
        <x:v>547</x:v>
      </x:c>
      <x:c r="F358" s="5" t="str">
        <x:v>text</x:v>
      </x:c>
      <x:c r="G358" s="5" t="n">
        <x:v>1</x:v>
      </x:c>
      <x:c r="H358" s="5" t="n">
        <x:v>2</x:v>
      </x:c>
      <x:c r="I358" s="5" t="str">
        <x:v>- **Dedicated Operational Blueprint (The Three Pillars)**: [`2S_PHARMA_THREE_PILLARS_OPERATIONAL_BLUEPRINT.md`](http://nas-1.tail55d152.ts.net:4100/static/2S_PHARMA_THREE_PILLARS_OPERATIONAL_BLUEPRINT.html) *(Comprehensive operational architecture for Sales Force Excellence, R&amp;D Productivity Monitoring, and API Margin Defense)*
- **Parent Enterprise Dossier**: [`2S_CONSULTING_COMPREHENSIVE_DOSSIER.md`](http://nas-1.tail55d152.ts.net:4100/static/2S_CONSULTING_COMPREHENSIVE_DOSSIER.html)
- **Nordic Outreach Playbook**: [`2S_CONSULTING_NORDIC_OUTREACH_STRATEGY.md`](http://nas-1.tail55d152.ts.net:4100/static/2S_CONSULTING_NORDIC_OUTREACH_STRATEGY.html)
- **Nordic Competitor Landscape**: [`NORDIC_MEDTECH_COMPETITIVE_LANDSCAPE_AND_PEER_DOSSIER.md`](http://nas-1.tail55d152.ts.net:4100/static/NORDIC_MEDTECH_COMPETITIVE_LANDSCAPE_AND_PEER_DOSSIER.html)
- **Skills &amp; Superpowers Sovereign Catalog**: [`SKILLS_AND_SUPERPOWERS_CATALOG.md`](http://nas-1.tail55d152.ts.net:4100/static/SKILLS_AND_SUPERPOWERS_CATALOG.html)
- **Master Projects Index**: [`PROJECTS_INDEX.md`](http://nas-1.tail55d152.ts.net:4100/static/PROJECTS_INDEX.html)
- **Financial Dataset**: [`master_financials.json`](http://nas-1.</x:v>
      </x:c>
      <x:c r="J358" s="5" t="str">
        <x:v>SOURCE QUOTE; unvalidated / superseded assessments</x:v>
      </x:c>
      <x:c r="L358" s="31" t="str">
        <x:v>D04, Markdown line 540; http://nas-1.tail55d152.ts.net:4100/static/2S_PHARMACEUTICALS_AND_CHEMICALS_SECTOR_DOSSIER.html</x:v>
      </x:c>
    </x:row>
    <x:row r="359" ht="70" customHeight="1">
      <x:c r="A359" s="5" t="str">
        <x:v>D04</x:v>
      </x:c>
      <x:c r="B359" s="5" t="str">
        <x:v>D04-L0540-2</x:v>
      </x:c>
      <x:c r="C359" s="5" t="str">
        <x:v>11. Artifact Reference &amp; Cross-Links</x:v>
      </x:c>
      <x:c r="D359" s="5" t="n">
        <x:v>540</x:v>
      </x:c>
      <x:c r="E359" s="5" t="n">
        <x:v>547</x:v>
      </x:c>
      <x:c r="F359" s="5" t="str">
        <x:v>text</x:v>
      </x:c>
      <x:c r="G359" s="5" t="n">
        <x:v>2</x:v>
      </x:c>
      <x:c r="H359" s="5" t="n">
        <x:v>2</x:v>
      </x:c>
      <x:c r="I359" s="5" t="str">
        <x:v>tail55d152.ts.net:4100/static/master_financials.json) &amp; [`Medical-Nordics-1.xlsx`](http://nas-1.tail55d152.ts.net:4100/static/Medical-Nordics-1.xlsx)
- **Sovereign Epistemic Engine**: [`ach_admiralty_engine.ml`](http://nas-1.tail55d152.ts.net:4100/static/ach_admiralty_engine.ml)</x:v>
      </x:c>
      <x:c r="J359" s="5" t="str">
        <x:v>SOURCE QUOTE; unvalidated / superseded assessments</x:v>
      </x:c>
      <x:c r="L359" s="31" t="str">
        <x:v>D04, Markdown line 540; http://nas-1.tail55d152.ts.net:4100/static/2S_PHARMACEUTICALS_AND_CHEMICALS_SECTOR_DOSSIER.html</x:v>
      </x:c>
    </x:row>
    <x:row r="360" ht="42" customHeight="1">
      <x:c r="A360" s="5" t="str">
        <x:v>D04</x:v>
      </x:c>
      <x:c r="B360" s="5" t="str">
        <x:v>D04-L0550-1</x:v>
      </x:c>
      <x:c r="C360" s="5" t="str">
        <x:v>11. Artifact Reference &amp; Cross-Links</x:v>
      </x:c>
      <x:c r="D360" s="5" t="n">
        <x:v>550</x:v>
      </x:c>
      <x:c r="E360" s="5" t="n">
        <x:v>550</x:v>
      </x:c>
      <x:c r="F360" s="5" t="str">
        <x:v>text</x:v>
      </x:c>
      <x:c r="G360" s="5" t="n">
        <x:v>1</x:v>
      </x:c>
      <x:c r="H360" s="5" t="n">
        <x:v>1</x:v>
      </x:c>
      <x:c r="I360" s="5" t="str">
        <x:v>*Governed by L0-codex-gpt-6-astra Sovereign Architecture • C3I &amp; UOS Mesh Operational Document*</x:v>
      </x:c>
      <x:c r="J360" s="5" t="str">
        <x:v>SOURCE QUOTE; unvalidated / superseded assessments</x:v>
      </x:c>
      <x:c r="L360" s="31" t="str">
        <x:v>D04, Markdown line 550; http://nas-1.tail55d152.ts.net:4100/static/2S_PHARMACEUTICALS_AND_CHEMICALS_SECTOR_DOSSIER.html</x:v>
      </x:c>
    </x:row>
    <x:row r="361" ht="84" customHeight="1">
      <x:c r="A361" s="5" t="str">
        <x:v>D05</x:v>
      </x:c>
      <x:c r="B361" s="5" t="str">
        <x:v>D05-L0001-1</x:v>
      </x:c>
      <x:c r="C361" s="5" t="str">
        <x:v>Document preamble</x:v>
      </x:c>
      <x:c r="D361" s="5" t="n">
        <x:v>1</x:v>
      </x:c>
      <x:c r="E361" s="5" t="n">
        <x:v>1</x:v>
      </x:c>
      <x:c r="F361" s="5" t="str">
        <x:v>text</x:v>
      </x:c>
      <x:c r="G361" s="5" t="n">
        <x:v>1</x:v>
      </x:c>
      <x:c r="H361" s="5" t="n">
        <x:v>1</x:v>
      </x:c>
      <x:c r="I361"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361" s="5" t="str">
        <x:v>SOURCE QUOTE; unvalidated / superseded assessments</x:v>
      </x:c>
      <x:c r="L361" s="31" t="str">
        <x:v>D05, Markdown line 1; http://nas-1.tail55d152.ts.net:4100/static/2S_PHARMA_THREE_PILLARS_OPERATIONAL_BLUEPRINT.html</x:v>
      </x:c>
    </x:row>
    <x:row r="362" ht="70" customHeight="1">
      <x:c r="A362" s="5" t="str">
        <x:v>D05</x:v>
      </x:c>
      <x:c r="B362" s="5" t="str">
        <x:v>D05-L0003-1</x:v>
      </x:c>
      <x:c r="C362" s="5" t="str">
        <x:v>Bountytek AB • 2S Consulting &amp; Numantra Technologies — The Three Pillars of Pharmaceutical &amp; Chemical Excellence</x:v>
      </x:c>
      <x:c r="D362" s="5" t="n">
        <x:v>3</x:v>
      </x:c>
      <x:c r="E362" s="5" t="n">
        <x:v>3</x:v>
      </x:c>
      <x:c r="F362" s="5" t="str">
        <x:v>heading</x:v>
      </x:c>
      <x:c r="G362" s="5" t="n">
        <x:v>1</x:v>
      </x:c>
      <x:c r="H362" s="5" t="n">
        <x:v>1</x:v>
      </x:c>
      <x:c r="I362" s="5" t="str">
        <x:v># Bountytek AB • 2S Consulting &amp; Numantra Technologies — The Three Pillars of Pharmaceutical &amp; Chemical Excellence</x:v>
      </x:c>
      <x:c r="J362" s="5" t="str">
        <x:v>SOURCE QUOTE; unvalidated / superseded assessments</x:v>
      </x:c>
      <x:c r="L362" s="31" t="str">
        <x:v>D05, Markdown line 3; http://nas-1.tail55d152.ts.net:4100/static/2S_PHARMA_THREE_PILLARS_OPERATIONAL_BLUEPRINT.html</x:v>
      </x:c>
    </x:row>
    <x:row r="363" ht="294" customHeight="1">
      <x:c r="A363" s="5" t="str">
        <x:v>D05</x:v>
      </x:c>
      <x:c r="B363" s="5" t="str">
        <x:v>D05-L0005-1</x:v>
      </x:c>
      <x:c r="C363" s="5" t="str">
        <x:v>Bountytek AB • 2S Consulting &amp; Numantra Technologies — The Three Pillars of Pharmaceutical &amp; Chemical Excellence</x:v>
      </x:c>
      <x:c r="D363" s="5" t="n">
        <x:v>5</x:v>
      </x:c>
      <x:c r="E363" s="5" t="n">
        <x:v>18</x:v>
      </x:c>
      <x:c r="F363" s="5" t="str">
        <x:v>text</x:v>
      </x:c>
      <x:c r="G363" s="5" t="n">
        <x:v>1</x:v>
      </x:c>
      <x:c r="H363" s="5" t="n">
        <x:v>2</x:v>
      </x:c>
      <x:c r="I363" s="5" t="str">
        <x:v>**Deep Operational Blueprint, Architectural Framework &amp; Implementation Playbook**  
**Document Series**: 2S Enterprise Strategy • Section 6.1 Operational Execution Core  
**Classification**: Sovereign Commercial Blueprint | Codex Astra Ratified | SIL-6 Epistemic Standard  
**Exclusive Nordic Commercial Agent**: **Bountytek AB** (Sweden — Domestic Swedish Prime Contractor, Bolagsverket &amp; F-skatt)  
**Represented Principals**:
- **2S Consulting** ([https://www.2sconsulting.com/](https://www.2sconsulting.com/)) — Strategic Life Sciences &amp; Chemical Advisory (Hichem Sellami, CEO; Safa Sellami, COO)
- **Numantra Technologies** ([https://www.numantratech.ai/](https://www.numantratech.ai/)) — Deep-Tech Healthcare Cognitive Platform &amp; Sovereign Cloud
**Target Capabilities**: 
1. **Sales Force Excellence** (Unified Primary/Secondary/CRM Visibility Console &amp; Tender GTN Management)
2. **R&amp;D Productivity Monitoring** (NCE Milestone Governance, Daily Burn Optimization &amp; HCare360 NLP Screening)
3. **API Margin Defense** (Chemical Yield Maximization, Multi-Product Reactor Scheduling &amp; Mix Optimization)  
**Primary Host FQDN**: [http://nas-1.tail55d152.ts.net:4100/static/2S_PHARMA_THREE_PILLARS_OPE</x:v>
      </x:c>
      <x:c r="J363" s="5" t="str">
        <x:v>SOURCE QUOTE; unvalidated / superseded assessments</x:v>
      </x:c>
      <x:c r="L363" s="31" t="str">
        <x:v>D05, Markdown line 5; http://nas-1.tail55d152.ts.net:4100/static/2S_PHARMA_THREE_PILLARS_OPERATIONAL_BLUEPRINT.html</x:v>
      </x:c>
    </x:row>
    <x:row r="364" ht="126" customHeight="1">
      <x:c r="A364" s="5" t="str">
        <x:v>D05</x:v>
      </x:c>
      <x:c r="B364" s="5" t="str">
        <x:v>D05-L0005-2</x:v>
      </x:c>
      <x:c r="C364" s="5" t="str">
        <x:v>Bountytek AB • 2S Consulting &amp; Numantra Technologies — The Three Pillars of Pharmaceutical &amp; Chemical Excellence</x:v>
      </x:c>
      <x:c r="D364" s="5" t="n">
        <x:v>5</x:v>
      </x:c>
      <x:c r="E364" s="5" t="n">
        <x:v>18</x:v>
      </x:c>
      <x:c r="F364" s="5" t="str">
        <x:v>text</x:v>
      </x:c>
      <x:c r="G364" s="5" t="n">
        <x:v>2</x:v>
      </x:c>
      <x:c r="H364" s="5" t="n">
        <x:v>2</x:v>
      </x:c>
      <x:c r="I364" s="5" t="str">
        <x:v>RATIONAL_BLUEPRINT.html](http://nas-1.tail55d152.ts.net:4100/static/2S_PHARMA_THREE_PILLARS_OPERATIONAL_BLUEPRINT.html)  
**Parent Sector Dossier**: [http://nas-1.tail55d152.ts.net:4100/static/2S_PHARMACEUTICALS_AND_CHEMICALS_SECTOR_DOSSIER.html](http://nas-1.tail55d152.ts.net:4100/static/2S_PHARMACEUTICALS_AND_CHEMICALS_SECTOR_DOSSIER.html)  
**Parent Enterprise Dossier**: [http://nas-1.tail55d152.ts.net:4100/static/2S_CONSULTING_COMPREHENSIVE_DOSSIER.html](http://nas-1.tail55d152.ts.net:4100/static/2S_CONSULTING_COMPREHENSIVE_DOSSIER.html)  </x:v>
      </x:c>
      <x:c r="J364" s="5" t="str">
        <x:v>SOURCE QUOTE; unvalidated / superseded assessments</x:v>
      </x:c>
      <x:c r="L364" s="31" t="str">
        <x:v>D05, Markdown line 5; http://nas-1.tail55d152.ts.net:4100/static/2S_PHARMA_THREE_PILLARS_OPERATIONAL_BLUEPRINT.html</x:v>
      </x:c>
    </x:row>
    <x:row r="365" ht="42" customHeight="1">
      <x:c r="A365" s="5" t="str">
        <x:v>D05</x:v>
      </x:c>
      <x:c r="B365" s="5" t="str">
        <x:v>D05-L0022-1</x:v>
      </x:c>
      <x:c r="C365" s="5" t="str">
        <x:v>1. Executive Summary &amp; Strategic Genesis</x:v>
      </x:c>
      <x:c r="D365" s="5" t="n">
        <x:v>22</x:v>
      </x:c>
      <x:c r="E365" s="5" t="n">
        <x:v>22</x:v>
      </x:c>
      <x:c r="F365" s="5" t="str">
        <x:v>heading</x:v>
      </x:c>
      <x:c r="G365" s="5" t="n">
        <x:v>1</x:v>
      </x:c>
      <x:c r="H365" s="5" t="n">
        <x:v>1</x:v>
      </x:c>
      <x:c r="I365" s="5" t="str">
        <x:v>## 1. Executive Summary &amp; Strategic Genesis</x:v>
      </x:c>
      <x:c r="J365" s="5" t="str">
        <x:v>SOURCE QUOTE; unvalidated / superseded assessments</x:v>
      </x:c>
      <x:c r="L365" s="31" t="str">
        <x:v>D05, Markdown line 22; http://nas-1.tail55d152.ts.net:4100/static/2S_PHARMA_THREE_PILLARS_OPERATIONAL_BLUEPRINT.html</x:v>
      </x:c>
    </x:row>
    <x:row r="366" ht="70" customHeight="1">
      <x:c r="A366" s="5" t="str">
        <x:v>D05</x:v>
      </x:c>
      <x:c r="B366" s="5" t="str">
        <x:v>D05-L0024-1</x:v>
      </x:c>
      <x:c r="C366" s="5" t="str">
        <x:v>1. Executive Summary &amp; Strategic Genesis</x:v>
      </x:c>
      <x:c r="D366" s="5" t="n">
        <x:v>24</x:v>
      </x:c>
      <x:c r="E366" s="5" t="n">
        <x:v>24</x:v>
      </x:c>
      <x:c r="F366" s="5" t="str">
        <x:v>text</x:v>
      </x:c>
      <x:c r="G366" s="5" t="n">
        <x:v>1</x:v>
      </x:c>
      <x:c r="H366" s="5" t="n">
        <x:v>1</x:v>
      </x:c>
      <x:c r="I366" s="5" t="str">
        <x:v>Within the master corporate monograph of **2S Consulting**, represented in the Nordic territory exclusively by **Bountytek AB** (Sweden), Section 6.1 defines three foundational value propositions for the pharmaceutical, biotechnology, and chemical synthesis sectors:</x:v>
      </x:c>
      <x:c r="J366" s="5" t="str">
        <x:v>SOURCE QUOTE; unvalidated / superseded assessments</x:v>
      </x:c>
      <x:c r="L366" s="31" t="str">
        <x:v>D05, Markdown line 24; http://nas-1.tail55d152.ts.net:4100/static/2S_PHARMA_THREE_PILLARS_OPERATIONAL_BLUEPRINT.html</x:v>
      </x:c>
    </x:row>
    <x:row r="367" ht="126" customHeight="1">
      <x:c r="A367" s="5" t="str">
        <x:v>D05</x:v>
      </x:c>
      <x:c r="B367" s="5" t="str">
        <x:v>D05-L0026-1</x:v>
      </x:c>
      <x:c r="C367" s="5" t="str">
        <x:v>1. Executive Summary &amp; Strategic Genesis</x:v>
      </x:c>
      <x:c r="D367" s="5" t="n">
        <x:v>26</x:v>
      </x:c>
      <x:c r="E367" s="5" t="n">
        <x:v>28</x:v>
      </x:c>
      <x:c r="F367" s="5" t="str">
        <x:v>text</x:v>
      </x:c>
      <x:c r="G367" s="5" t="n">
        <x:v>1</x:v>
      </x:c>
      <x:c r="H367" s="5" t="n">
        <x:v>1</x:v>
      </x:c>
      <x:c r="I367" s="5" t="str">
        <x:v>&gt; 1. **Sales Force Excellence**: *Unifying fragmented data streams (primary sales from SAP/Oracle ERP, secondary stockist sales, CRM field activity) into a unified executive visibility console.*  
&gt; 2. **R&amp;D Productivity Monitoring**: *Tracking milestone progress and cost burn across New Chemical Entity (NCE) and generic clinical trial phases.*  
&gt; 3. **API Margin Defense**: *Protecting active pharmaceutical ingredient (API) manufacturers facing severe Chinese cost competition by optimizing product-customer yield and chemical synthesis costs.*  </x:v>
      </x:c>
      <x:c r="J367" s="5" t="str">
        <x:v>SOURCE QUOTE; unvalidated / superseded assessments</x:v>
      </x:c>
      <x:c r="L367" s="31" t="str">
        <x:v>D05, Markdown line 26; http://nas-1.tail55d152.ts.net:4100/static/2S_PHARMA_THREE_PILLARS_OPERATIONAL_BLUEPRINT.html</x:v>
      </x:c>
    </x:row>
    <x:row r="368" ht="140" customHeight="1">
      <x:c r="A368" s="5" t="str">
        <x:v>D05</x:v>
      </x:c>
      <x:c r="B368" s="5" t="str">
        <x:v>D05-L0030-1</x:v>
      </x:c>
      <x:c r="C368" s="5" t="str">
        <x:v>1. Executive Summary &amp; Strategic Genesis</x:v>
      </x:c>
      <x:c r="D368" s="5" t="n">
        <x:v>30</x:v>
      </x:c>
      <x:c r="E368" s="5" t="n">
        <x:v>34</x:v>
      </x:c>
      <x:c r="F368" s="5" t="str">
        <x:v>text</x:v>
      </x:c>
      <x:c r="G368" s="5" t="n">
        <x:v>1</x:v>
      </x:c>
      <x:c r="H368" s="5" t="n">
        <x:v>1</x:v>
      </x:c>
      <x:c r="I368" s="5" t="str">
        <x:v>These three pillars are not abstract marketing concepts; they are **battle-tested operational frameworks** rooted in 2S Consulting's direct enterprise engagements with global pharmaceutical conglomerates (including Merck, top-tier Indian API synthesis giants, and European specialty pharma enterprises) and backed by 2S's authoritative thought leadership archive:
- *2S Perspectives: Optimizing Product and Customer Mix*
- *White Paper: Pharma NCE R&amp;D Productivity Monitoring*
- *2S Perspectives: MTM Losses in Indian Pharma*
- *2S POV: Executive Dashboards in Pharma &amp; Chemicals*</x:v>
      </x:c>
      <x:c r="J368" s="5" t="str">
        <x:v>SOURCE QUOTE; unvalidated / superseded assessments</x:v>
      </x:c>
      <x:c r="L368" s="31" t="str">
        <x:v>D05, Markdown line 30; http://nas-1.tail55d152.ts.net:4100/static/2S_PHARMA_THREE_PILLARS_OPERATIONAL_BLUEPRINT.html</x:v>
      </x:c>
    </x:row>
    <x:row r="369" ht="70" customHeight="1">
      <x:c r="A369" s="5" t="str">
        <x:v>D05</x:v>
      </x:c>
      <x:c r="B369" s="5" t="str">
        <x:v>D05-L0036-1</x:v>
      </x:c>
      <x:c r="C369" s="5" t="str">
        <x:v>1. Executive Summary &amp; Strategic Genesis</x:v>
      </x:c>
      <x:c r="D369" s="5" t="n">
        <x:v>36</x:v>
      </x:c>
      <x:c r="E369" s="5" t="n">
        <x:v>36</x:v>
      </x:c>
      <x:c r="F369" s="5" t="str">
        <x:v>text</x:v>
      </x:c>
      <x:c r="G369" s="5" t="n">
        <x:v>1</x:v>
      </x:c>
      <x:c r="H369" s="5" t="n">
        <x:v>1</x:v>
      </x:c>
      <x:c r="I369" s="5" t="str">
        <x:v>This operational blueprint provides the comprehensive technical architecture, mathematical formulations, data integration pipelines, and implementation playbooks for deploying these three pillars across the Nordic and European life sciences industry via **Bountytek AB**'s domestic Swedish commercial contracting.</x:v>
      </x:c>
      <x:c r="J369" s="5" t="str">
        <x:v>SOURCE QUOTE; unvalidated / superseded assessments</x:v>
      </x:c>
      <x:c r="L369" s="31" t="str">
        <x:v>D05, Markdown line 36; http://nas-1.tail55d152.ts.net:4100/static/2S_PHARMA_THREE_PILLARS_OPERATIONAL_BLUEPRINT.html</x:v>
      </x:c>
    </x:row>
    <x:row r="370" ht="42" customHeight="1">
      <x:c r="A370" s="5" t="str">
        <x:v>D05</x:v>
      </x:c>
      <x:c r="B370" s="5" t="str">
        <x:v>D05-L0040-1</x:v>
      </x:c>
      <x:c r="C370" s="5" t="str">
        <x:v>2. Pillar 1: Sales Force Excellence &amp; Commercial Visibility Console</x:v>
      </x:c>
      <x:c r="D370" s="5" t="n">
        <x:v>40</x:v>
      </x:c>
      <x:c r="E370" s="5" t="n">
        <x:v>40</x:v>
      </x:c>
      <x:c r="F370" s="5" t="str">
        <x:v>heading</x:v>
      </x:c>
      <x:c r="G370" s="5" t="n">
        <x:v>1</x:v>
      </x:c>
      <x:c r="H370" s="5" t="n">
        <x:v>1</x:v>
      </x:c>
      <x:c r="I370" s="5" t="str">
        <x:v>## 2. Pillar 1: Sales Force Excellence &amp; Commercial Visibility Console</x:v>
      </x:c>
      <x:c r="J370" s="5" t="str">
        <x:v>SOURCE QUOTE; unvalidated / superseded assessments</x:v>
      </x:c>
      <x:c r="L370" s="31" t="str">
        <x:v>D05, Markdown line 40; http://nas-1.tail55d152.ts.net:4100/static/2S_PHARMA_THREE_PILLARS_OPERATIONAL_BLUEPRINT.html</x:v>
      </x:c>
    </x:row>
    <x:row r="371" ht="308" customHeight="1">
      <x:c r="A371" s="5" t="str">
        <x:v>D05</x:v>
      </x:c>
      <x:c r="B371" s="5" t="str">
        <x:v>D05-L0042-1</x:v>
      </x:c>
      <x:c r="C371" s="5" t="str">
        <x:v>2. Pillar 1: Sales Force Excellence &amp; Commercial Visibility Console</x:v>
      </x:c>
      <x:c r="D371" s="5" t="n">
        <x:v>42</x:v>
      </x:c>
      <x:c r="E371" s="5" t="n">
        <x:v>69</x:v>
      </x:c>
      <x:c r="F371" s="5" t="str">
        <x:v>diagram / code</x:v>
      </x:c>
      <x:c r="G371" s="5" t="n">
        <x:v>1</x:v>
      </x:c>
      <x:c r="H371" s="5" t="n">
        <x:v>2</x:v>
      </x:c>
      <x:c r="I371" s="5" t="str">
        <x:v>```
┌──────────────────────────────────────────────────────────────────────────────────────────────────┐
│                   PILLAR 1: COMMERCIAL S&amp;OP &amp; TENDER GOVERNANCE PIPELINE                         │
└──────────────────────────────────────────────────────────────────────────────────────────────────┘
 ┌────────────────────────┐  ┌────────────────────────┐  ┌────────────────────────┐
 │ PRIMARY ERP SALES      │  │ SECONDARY STOCKISTS    │  │ TERTIARY FIELD CRM     │
 │ • SAP S/4HANA / Oracle │  │ • Tamro / Oriola / NMD │  │ • Veeva CRM / SFDC     │
 │ • Factory Invoicing    │  │ • Wholesaler Shipments │  │ • Hospital Detailing   │
 │ • Contract Master Data │  │ • Days-on-Hand (DOH)   │  │ • Doctor Call Coverage │
 └───────────┬────────────┘  └───────────┬────────────┘  └───────────┬────────────┘
             │                           │                           │
             └───────────────────┐       │       ┌───────────────────┘
                                 │       │       │
 ┌───────────────────────────────▼───────▼───────▼────────────────────────────────────────────────┐
 │ 2S CANONICAL COMMERCIAL HARMONIZATION ENGINE                                                </x:v>
      </x:c>
      <x:c r="J371" s="5" t="str">
        <x:v>SOURCE QUOTE; unvalidated / superseded assessments</x:v>
      </x:c>
      <x:c r="L371" s="31" t="str">
        <x:v>D05, Markdown line 42; http://nas-1.tail55d152.ts.net:4100/static/2S_PHARMA_THREE_PILLARS_OPERATIONAL_BLUEPRINT.html</x:v>
      </x:c>
    </x:row>
    <x:row r="372" ht="336" customHeight="1">
      <x:c r="A372" s="5" t="str">
        <x:v>D05</x:v>
      </x:c>
      <x:c r="B372" s="5" t="str">
        <x:v>D05-L0042-2</x:v>
      </x:c>
      <x:c r="C372" s="5" t="str">
        <x:v>2. Pillar 1: Sales Force Excellence &amp; Commercial Visibility Console</x:v>
      </x:c>
      <x:c r="D372" s="5" t="n">
        <x:v>42</x:v>
      </x:c>
      <x:c r="E372" s="5" t="n">
        <x:v>69</x:v>
      </x:c>
      <x:c r="F372" s="5" t="str">
        <x:v>diagram / code</x:v>
      </x:c>
      <x:c r="G372" s="5" t="n">
        <x:v>2</x:v>
      </x:c>
      <x:c r="H372" s="5" t="n">
        <x:v>2</x:v>
      </x:c>
      <x:c r="I372" s="5" t="str">
        <x:v>   │
 │ • Product Master Harmonization (ATC Codes, VNR Numbers, Nordic Pack IDs)                       │
 │ • Gross-to-Net (GTN) Waterfall Deductions: Statutory Rebates, Wholesale Fees, Tender Discounts │
 │ • Wholesaler Stockout Early Warning &amp; Hospital Run-Rate Tracker                                │
 └───────────────────────────────────────────────┬────────────────────────────────────────────────┘
                                                 │
 ┌───────────────────────────────────────────────▼────────────────────────────────────────────────┐
 │ 2S EXECUTIVE COMMERCIAL COCKPIT &amp; TENDER SIMULATOR                                             │
 │ • Real-Time C-Suite Visibility Console (Revenue Realization, Net Margin, Inventory DOH)        │
 │ • Dynamic Tender Bid Pricing Simulator (Penalty-for-Stockout Risk vs Expected Net Return)     │
 │ • Field Rep Target ROI &amp; Incentive Alignment Matrix                                            │
 └────────────────────────────────────────────────────────────────────────────────────────────────┘
```</x:v>
      </x:c>
      <x:c r="J372" s="5" t="str">
        <x:v>SOURCE QUOTE; unvalidated / superseded assessments</x:v>
      </x:c>
      <x:c r="L372" s="31" t="str">
        <x:v>D05, Markdown line 42; http://nas-1.tail55d152.ts.net:4100/static/2S_PHARMA_THREE_PILLARS_OPERATIONAL_BLUEPRINT.html</x:v>
      </x:c>
    </x:row>
    <x:row r="373" ht="42" customHeight="1">
      <x:c r="A373" s="5" t="str">
        <x:v>D05</x:v>
      </x:c>
      <x:c r="B373" s="5" t="str">
        <x:v>D05-L0071-1</x:v>
      </x:c>
      <x:c r="C373" s="5" t="str">
        <x:v>2.1 The Tripartite Data Fragmentation Challenge</x:v>
      </x:c>
      <x:c r="D373" s="5" t="n">
        <x:v>71</x:v>
      </x:c>
      <x:c r="E373" s="5" t="n">
        <x:v>71</x:v>
      </x:c>
      <x:c r="F373" s="5" t="str">
        <x:v>heading</x:v>
      </x:c>
      <x:c r="G373" s="5" t="n">
        <x:v>1</x:v>
      </x:c>
      <x:c r="H373" s="5" t="n">
        <x:v>1</x:v>
      </x:c>
      <x:c r="I373" s="5" t="str">
        <x:v>### 2.1 The Tripartite Data Fragmentation Challenge</x:v>
      </x:c>
      <x:c r="J373" s="5" t="str">
        <x:v>SOURCE QUOTE; unvalidated / superseded assessments</x:v>
      </x:c>
      <x:c r="L373" s="31" t="str">
        <x:v>D05, Markdown line 71; http://nas-1.tail55d152.ts.net:4100/static/2S_PHARMA_THREE_PILLARS_OPERATIONAL_BLUEPRINT.html</x:v>
      </x:c>
    </x:row>
    <x:row r="374" ht="210" customHeight="1">
      <x:c r="A374" s="5" t="str">
        <x:v>D05</x:v>
      </x:c>
      <x:c r="B374" s="5" t="str">
        <x:v>D05-L0072-1</x:v>
      </x:c>
      <x:c r="C374" s="5" t="str">
        <x:v>2.1 The Tripartite Data Fragmentation Challenge</x:v>
      </x:c>
      <x:c r="D374" s="5" t="n">
        <x:v>72</x:v>
      </x:c>
      <x:c r="E374" s="5" t="n">
        <x:v>75</x:v>
      </x:c>
      <x:c r="F374" s="5" t="str">
        <x:v>text</x:v>
      </x:c>
      <x:c r="G374" s="5" t="n">
        <x:v>1</x:v>
      </x:c>
      <x:c r="H374" s="5" t="n">
        <x:v>1</x:v>
      </x:c>
      <x:c r="I374" s="5" t="str">
        <x:v>In pharmaceutical commercial operations, decision-makers are crippled by structural information latency caused by three disconnected data silos:
1. **Primary Sales (Factory Gate Invoicing)**: Stored in corporate ERPs (SAP S/4HANA, Oracle ERP Cloud). Reflects bulk shipments and revenue recognition to national wholesalers. It provides zero visibility into whether medicine is sitting in a distributor warehouse or being dispensed to patients.
2. **Secondary Sales (Wholesaler-to-Pharmacy Sell-Through)**: Managed by monopoly or duopoly pharmaceutical wholesalers (e.g., *Tamro AB* and *Oriola Corporation* in Sweden/Finland; *Norsk Medisinaldepot* in Norway). Delivered via asynchronous weekly/monthly EDIFACT, AS2, or flat-file exports with varying product identifiers.
3. **Tertiary Field Activity (HCP Detailing &amp; Territory Coverage)**: Captured in customer relationship management tools (Veeva CRM, Salesforce Life Sciences Cloud). Tracks medical science liaison (MSL) visits, detailing frequency, Key Opinion Leader (KOL) engagement, and advisory board feedback.</x:v>
      </x:c>
      <x:c r="J374" s="5" t="str">
        <x:v>SOURCE QUOTE; unvalidated / superseded assessments</x:v>
      </x:c>
      <x:c r="L374" s="31" t="str">
        <x:v>D05, Markdown line 72; http://nas-1.tail55d152.ts.net:4100/static/2S_PHARMA_THREE_PILLARS_OPERATIONAL_BLUEPRINT.html</x:v>
      </x:c>
    </x:row>
    <x:row r="375" ht="168" customHeight="1">
      <x:c r="A375" s="5" t="str">
        <x:v>D05</x:v>
      </x:c>
      <x:c r="B375" s="5" t="str">
        <x:v>D05-L0077-1</x:v>
      </x:c>
      <x:c r="C375" s="5" t="str">
        <x:v>2.1 The Tripartite Data Fragmentation Challenge</x:v>
      </x:c>
      <x:c r="D375" s="5" t="n">
        <x:v>77</x:v>
      </x:c>
      <x:c r="E375" s="5" t="n">
        <x:v>80</x:v>
      </x:c>
      <x:c r="F375" s="5" t="str">
        <x:v>text</x:v>
      </x:c>
      <x:c r="G375" s="5" t="n">
        <x:v>1</x:v>
      </x:c>
      <x:c r="H375" s="5" t="n">
        <x:v>1</x:v>
      </x:c>
      <x:c r="I375" s="5" t="str">
        <x:v>**The Financial Consequence**: Because these systems do not communicate in real time, pharmaceutical commercial teams suffer:
- **Wholesaler Bullwhip Effect**: Distributors over-order or de-stock unpredictably, causing sudden factory stockouts or costly inventory write-offs.
- **Gross-to-Net (GTN) Revenue Leakage**: 8% to 18% of gross contract value is lost across statutory rebates, wholesaler distribution markups (2.5–5%), uncalculated prompt-payment discounts, and hospital tender penalties.
- **Stockout Penalties**: Nordic public hospital contracts enforce severe penalty clauses—if a supplier fails to deliver within 48–72 hours, the regional council (*Region Stockholm*, *Danske Regioner*, *Sykehusinnkjøp*) procures substitute products from competitors at spot prices and bills the winning contractor 100% of the price differential.</x:v>
      </x:c>
      <x:c r="J375" s="5" t="str">
        <x:v>SOURCE QUOTE; unvalidated / superseded assessments</x:v>
      </x:c>
      <x:c r="L375" s="31" t="str">
        <x:v>D05, Markdown line 77; http://nas-1.tail55d152.ts.net:4100/static/2S_PHARMA_THREE_PILLARS_OPERATIONAL_BLUEPRINT.html</x:v>
      </x:c>
    </x:row>
    <x:row r="376" ht="42" customHeight="1">
      <x:c r="A376" s="5" t="str">
        <x:v>D05</x:v>
      </x:c>
      <x:c r="B376" s="5" t="str">
        <x:v>D05-L0082-1</x:v>
      </x:c>
      <x:c r="C376" s="5" t="str">
        <x:v>2.2 The 2S Commercial S&amp;OP Portal Architecture (Merck-Proven)</x:v>
      </x:c>
      <x:c r="D376" s="5" t="n">
        <x:v>82</x:v>
      </x:c>
      <x:c r="E376" s="5" t="n">
        <x:v>82</x:v>
      </x:c>
      <x:c r="F376" s="5" t="str">
        <x:v>heading</x:v>
      </x:c>
      <x:c r="G376" s="5" t="n">
        <x:v>1</x:v>
      </x:c>
      <x:c r="H376" s="5" t="n">
        <x:v>1</x:v>
      </x:c>
      <x:c r="I376" s="5" t="str">
        <x:v>### 2.2 The 2S Commercial S&amp;OP Portal Architecture (Merck-Proven)</x:v>
      </x:c>
      <x:c r="J376" s="5" t="str">
        <x:v>SOURCE QUOTE; unvalidated / superseded assessments</x:v>
      </x:c>
      <x:c r="L376" s="31" t="str">
        <x:v>D05, Markdown line 82; http://nas-1.tail55d152.ts.net:4100/static/2S_PHARMA_THREE_PILLARS_OPERATIONAL_BLUEPRINT.html</x:v>
      </x:c>
    </x:row>
    <x:row r="377" ht="42" customHeight="1">
      <x:c r="A377" s="5" t="str">
        <x:v>D05</x:v>
      </x:c>
      <x:c r="B377" s="5" t="str">
        <x:v>D05-L0083-1</x:v>
      </x:c>
      <x:c r="C377" s="5" t="str">
        <x:v>2.2 The 2S Commercial S&amp;OP Portal Architecture (Merck-Proven)</x:v>
      </x:c>
      <x:c r="D377" s="5" t="n">
        <x:v>83</x:v>
      </x:c>
      <x:c r="E377" s="5" t="n">
        <x:v>83</x:v>
      </x:c>
      <x:c r="F377" s="5" t="str">
        <x:v>text</x:v>
      </x:c>
      <x:c r="G377" s="5" t="n">
        <x:v>1</x:v>
      </x:c>
      <x:c r="H377" s="5" t="n">
        <x:v>1</x:v>
      </x:c>
      <x:c r="I377" s="5" t="str">
        <x:v>2S Consulting deploys an integrated commercial data pipeline that reconciles these streams into a single sovereign visibility console:</x:v>
      </x:c>
      <x:c r="J377" s="5" t="str">
        <x:v>SOURCE QUOTE; unvalidated / superseded assessments</x:v>
      </x:c>
      <x:c r="L377" s="31" t="str">
        <x:v>D05, Markdown line 83; http://nas-1.tail55d152.ts.net:4100/static/2S_PHARMA_THREE_PILLARS_OPERATIONAL_BLUEPRINT.html</x:v>
      </x:c>
    </x:row>
    <x:row r="378" ht="42" customHeight="1">
      <x:c r="A378" s="5" t="str">
        <x:v>D05</x:v>
      </x:c>
      <x:c r="B378" s="5" t="str">
        <x:v>D05-L0085-1</x:v>
      </x:c>
      <x:c r="C378" s="5" t="str">
        <x:v>A. Data Harmonization &amp; Ingestion Layer</x:v>
      </x:c>
      <x:c r="D378" s="5" t="n">
        <x:v>85</x:v>
      </x:c>
      <x:c r="E378" s="5" t="n">
        <x:v>85</x:v>
      </x:c>
      <x:c r="F378" s="5" t="str">
        <x:v>heading</x:v>
      </x:c>
      <x:c r="G378" s="5" t="n">
        <x:v>1</x:v>
      </x:c>
      <x:c r="H378" s="5" t="n">
        <x:v>1</x:v>
      </x:c>
      <x:c r="I378" s="5" t="str">
        <x:v>#### A. Data Harmonization &amp; Ingestion Layer</x:v>
      </x:c>
      <x:c r="J378" s="5" t="str">
        <x:v>SOURCE QUOTE; unvalidated / superseded assessments</x:v>
      </x:c>
      <x:c r="L378" s="31" t="str">
        <x:v>D05, Markdown line 85; http://nas-1.tail55d152.ts.net:4100/static/2S_PHARMA_THREE_PILLARS_OPERATIONAL_BLUEPRINT.html</x:v>
      </x:c>
    </x:row>
    <x:row r="379" ht="126" customHeight="1">
      <x:c r="A379" s="5" t="str">
        <x:v>D05</x:v>
      </x:c>
      <x:c r="B379" s="5" t="str">
        <x:v>D05-L0086-1</x:v>
      </x:c>
      <x:c r="C379" s="5" t="str">
        <x:v>A. Data Harmonization &amp; Ingestion Layer</x:v>
      </x:c>
      <x:c r="D379" s="5" t="n">
        <x:v>86</x:v>
      </x:c>
      <x:c r="E379" s="5" t="n">
        <x:v>90</x:v>
      </x:c>
      <x:c r="F379" s="5" t="str">
        <x:v>text</x:v>
      </x:c>
      <x:c r="G379" s="5" t="n">
        <x:v>1</x:v>
      </x:c>
      <x:c r="H379" s="5" t="n">
        <x:v>1</x:v>
      </x:c>
      <x:c r="I379" s="5" t="str">
        <x:v>- **Automated Connectors**: Pre-built ETL/ELT pipelines ingesting SAP IDocs (ORDERS, INVOIC), Oracle OData feeds, Veeva CRM REST endpoints, and wholesaler EDI files (EDIFACT INVRPT, ORDERS, DESADV).
- **Universal Article Master (UAM)**: Automatic translation across national drug coding taxonomies:
  - WHO Anatomical Therapeutic Chemical (ATC) classification.
  - Nordic Article Number (*Nordiskt varunummer / VNR*).
  - National drug codes (Sweden: *NPL-ID*, Denmark: *Varenummer*, Norway: *Farmalogg*).</x:v>
      </x:c>
      <x:c r="J379" s="5" t="str">
        <x:v>SOURCE QUOTE; unvalidated / superseded assessments</x:v>
      </x:c>
      <x:c r="L379" s="31" t="str">
        <x:v>D05, Markdown line 86; http://nas-1.tail55d152.ts.net:4100/static/2S_PHARMA_THREE_PILLARS_OPERATIONAL_BLUEPRINT.html</x:v>
      </x:c>
    </x:row>
    <x:row r="380" ht="42" customHeight="1">
      <x:c r="A380" s="5" t="str">
        <x:v>D05</x:v>
      </x:c>
      <x:c r="B380" s="5" t="str">
        <x:v>D05-L0092-1</x:v>
      </x:c>
      <x:c r="C380" s="5" t="str">
        <x:v>B. The Gross-to-Net (GTN) Waterfall Calculator</x:v>
      </x:c>
      <x:c r="D380" s="5" t="n">
        <x:v>92</x:v>
      </x:c>
      <x:c r="E380" s="5" t="n">
        <x:v>92</x:v>
      </x:c>
      <x:c r="F380" s="5" t="str">
        <x:v>heading</x:v>
      </x:c>
      <x:c r="G380" s="5" t="n">
        <x:v>1</x:v>
      </x:c>
      <x:c r="H380" s="5" t="n">
        <x:v>1</x:v>
      </x:c>
      <x:c r="I380" s="5" t="str">
        <x:v>#### B. The Gross-to-Net (GTN) Waterfall Calculator</x:v>
      </x:c>
      <x:c r="J380" s="5" t="str">
        <x:v>SOURCE QUOTE; unvalidated / superseded assessments</x:v>
      </x:c>
      <x:c r="L380" s="31" t="str">
        <x:v>D05, Markdown line 92; http://nas-1.tail55d152.ts.net:4100/static/2S_PHARMA_THREE_PILLARS_OPERATIONAL_BLUEPRINT.html</x:v>
      </x:c>
    </x:row>
    <x:row r="381" ht="42" customHeight="1">
      <x:c r="A381" s="5" t="str">
        <x:v>D05</x:v>
      </x:c>
      <x:c r="B381" s="5" t="str">
        <x:v>D05-L0093-1</x:v>
      </x:c>
      <x:c r="C381" s="5" t="str">
        <x:v>B. The Gross-to-Net (GTN) Waterfall Calculator</x:v>
      </x:c>
      <x:c r="D381" s="5" t="n">
        <x:v>93</x:v>
      </x:c>
      <x:c r="E381" s="5" t="n">
        <x:v>93</x:v>
      </x:c>
      <x:c r="F381" s="5" t="str">
        <x:v>text</x:v>
      </x:c>
      <x:c r="G381" s="5" t="n">
        <x:v>1</x:v>
      </x:c>
      <x:c r="H381" s="5" t="n">
        <x:v>1</x:v>
      </x:c>
      <x:c r="I381" s="5" t="str">
        <x:v>To determine true marginal profitability per product and territory, the engine calculates the net price across eight deduction tiers:</x:v>
      </x:c>
      <x:c r="J381" s="5" t="str">
        <x:v>SOURCE QUOTE; unvalidated / superseded assessments</x:v>
      </x:c>
      <x:c r="L381" s="31" t="str">
        <x:v>D05, Markdown line 93; http://nas-1.tail55d152.ts.net:4100/static/2S_PHARMA_THREE_PILLARS_OPERATIONAL_BLUEPRINT.html</x:v>
      </x:c>
    </x:row>
    <x:row r="382" ht="42" customHeight="1">
      <x:c r="A382" s="5" t="str">
        <x:v>D05</x:v>
      </x:c>
      <x:c r="B382" s="5" t="str">
        <x:v>D05-L0095-1</x:v>
      </x:c>
      <x:c r="C382" s="5" t="str">
        <x:v>B. The Gross-to-Net (GTN) Waterfall Calculator</x:v>
      </x:c>
      <x:c r="D382" s="5" t="n">
        <x:v>95</x:v>
      </x:c>
      <x:c r="E382" s="5" t="n">
        <x:v>95</x:v>
      </x:c>
      <x:c r="F382" s="5" t="str">
        <x:v>text</x:v>
      </x:c>
      <x:c r="G382" s="5" t="n">
        <x:v>1</x:v>
      </x:c>
      <x:c r="H382" s="5" t="n">
        <x:v>1</x:v>
      </x:c>
      <x:c r="I382" s="5" t="str">
        <x:v>$$\text{Net Revenue} = \text{Gross Invoice Price} - \sum_{k=1}^{8} \text{Deduction}_k$$</x:v>
      </x:c>
      <x:c r="J382" s="5" t="str">
        <x:v>SOURCE QUOTE; unvalidated / superseded assessments</x:v>
      </x:c>
      <x:c r="L382" s="31" t="str">
        <x:v>D05, Markdown line 95; http://nas-1.tail55d152.ts.net:4100/static/2S_PHARMA_THREE_PILLARS_OPERATIONAL_BLUEPRINT.html</x:v>
      </x:c>
    </x:row>
    <x:row r="383" ht="154" customHeight="1">
      <x:c r="A383" s="5" t="str">
        <x:v>D05</x:v>
      </x:c>
      <x:c r="B383" s="5" t="str">
        <x:v>D05-L0097-1</x:v>
      </x:c>
      <x:c r="C383" s="5" t="str">
        <x:v>B. The Gross-to-Net (GTN) Waterfall Calculator</x:v>
      </x:c>
      <x:c r="D383" s="5" t="n">
        <x:v>97</x:v>
      </x:c>
      <x:c r="E383" s="5" t="n">
        <x:v>105</x:v>
      </x:c>
      <x:c r="F383" s="5" t="str">
        <x:v>text</x:v>
      </x:c>
      <x:c r="G383" s="5" t="n">
        <x:v>1</x:v>
      </x:c>
      <x:c r="H383" s="5" t="n">
        <x:v>1</x:v>
      </x:c>
      <x:c r="I383" s="5" t="str">
        <x:v>Where deductions encompass:
1. $\text{D}_1$: Mandatory Statutory Rebates (national health insurance discounts).
2. $\text{D}_2$: Regional Hospital Tender Contract Discounts (bidded discount off list price).
3. $\text{D}_3$: Wholesaler Distribution &amp; Handling Fees (Tamro/Oriola fee schedules).
4. $\text{D}_4$: Prompt Payment &amp; Early Settlement Cash Discounts.
5. $\text{D}_5$: Performance-Based Volume &amp; Market-Share Rebates.
6. $\text{D}_6$: Returned Goods &amp; Expired Stock Provisions (typically 0.75–1.5%).
7. $\text{D}_7$: Co-Pay Assistance &amp; Patient Access Program Subsidies.
8. $\text{D}_8$: Accrued Reserve for Potential Tender Stockout Penalties.</x:v>
      </x:c>
      <x:c r="J383" s="5" t="str">
        <x:v>SOURCE QUOTE; unvalidated / superseded assessments</x:v>
      </x:c>
      <x:c r="L383" s="31" t="str">
        <x:v>D05, Markdown line 97; http://nas-1.tail55d152.ts.net:4100/static/2S_PHARMA_THREE_PILLARS_OPERATIONAL_BLUEPRINT.html</x:v>
      </x:c>
    </x:row>
    <x:row r="384" ht="42" customHeight="1">
      <x:c r="A384" s="5" t="str">
        <x:v>D05</x:v>
      </x:c>
      <x:c r="B384" s="5" t="str">
        <x:v>D05-L0107-1</x:v>
      </x:c>
      <x:c r="C384" s="5" t="str">
        <x:v>C. Wholesaler Stockist &amp; Tender Early-Warning Radar</x:v>
      </x:c>
      <x:c r="D384" s="5" t="n">
        <x:v>107</x:v>
      </x:c>
      <x:c r="E384" s="5" t="n">
        <x:v>107</x:v>
      </x:c>
      <x:c r="F384" s="5" t="str">
        <x:v>heading</x:v>
      </x:c>
      <x:c r="G384" s="5" t="n">
        <x:v>1</x:v>
      </x:c>
      <x:c r="H384" s="5" t="n">
        <x:v>1</x:v>
      </x:c>
      <x:c r="I384" s="5" t="str">
        <x:v>#### C. Wholesaler Stockist &amp; Tender Early-Warning Radar</x:v>
      </x:c>
      <x:c r="J384" s="5" t="str">
        <x:v>SOURCE QUOTE; unvalidated / superseded assessments</x:v>
      </x:c>
      <x:c r="L384" s="31" t="str">
        <x:v>D05, Markdown line 107; http://nas-1.tail55d152.ts.net:4100/static/2S_PHARMA_THREE_PILLARS_OPERATIONAL_BLUEPRINT.html</x:v>
      </x:c>
    </x:row>
    <x:row r="385" ht="112" customHeight="1">
      <x:c r="A385" s="5" t="str">
        <x:v>D05</x:v>
      </x:c>
      <x:c r="B385" s="5" t="str">
        <x:v>D05-L0108-1</x:v>
      </x:c>
      <x:c r="C385" s="5" t="str">
        <x:v>C. Wholesaler Stockist &amp; Tender Early-Warning Radar</x:v>
      </x:c>
      <x:c r="D385" s="5" t="n">
        <x:v>108</x:v>
      </x:c>
      <x:c r="E385" s="5" t="n">
        <x:v>110</x:v>
      </x:c>
      <x:c r="F385" s="5" t="str">
        <x:v>text</x:v>
      </x:c>
      <x:c r="G385" s="5" t="n">
        <x:v>1</x:v>
      </x:c>
      <x:c r="H385" s="5" t="n">
        <x:v>1</x:v>
      </x:c>
      <x:c r="I385" s="5" t="str">
        <x:v>- **Days-on-Hand (DOH) Calculation**: Dynamically measures distributor inventory against trailing 30-day hospital prescription velocity:
  $$\text{DOH} = \frac{\text{Wholesaler Stock on Hand (Units)}}{\text{Average Daily Dispensing Rate (Units/Day)}}$$
- **Automated Buffer Breach Alerting**: When DOH falls below 28 days in public hospital tender accounts, the console triggers automated replenishment orders to the primary manufacturing site, preventing tender stockout defaults.</x:v>
      </x:c>
      <x:c r="J385" s="5" t="str">
        <x:v>SOURCE QUOTE; unvalidated / superseded assessments</x:v>
      </x:c>
      <x:c r="L385" s="31" t="str">
        <x:v>D05, Markdown line 108; http://nas-1.tail55d152.ts.net:4100/static/2S_PHARMA_THREE_PILLARS_OPERATIONAL_BLUEPRINT.html</x:v>
      </x:c>
    </x:row>
    <x:row r="386" ht="56" customHeight="1">
      <x:c r="A386" s="5" t="str">
        <x:v>D05</x:v>
      </x:c>
      <x:c r="B386" s="5" t="str">
        <x:v>D05-L0114-1</x:v>
      </x:c>
      <x:c r="C386" s="5" t="str">
        <x:v>3. Pillar 2: R&amp;D Productivity Monitoring &amp; NCE Clinical Trial Burn Cockpit</x:v>
      </x:c>
      <x:c r="D386" s="5" t="n">
        <x:v>114</x:v>
      </x:c>
      <x:c r="E386" s="5" t="n">
        <x:v>114</x:v>
      </x:c>
      <x:c r="F386" s="5" t="str">
        <x:v>heading</x:v>
      </x:c>
      <x:c r="G386" s="5" t="n">
        <x:v>1</x:v>
      </x:c>
      <x:c r="H386" s="5" t="n">
        <x:v>1</x:v>
      </x:c>
      <x:c r="I386" s="5" t="str">
        <x:v>## 3. Pillar 2: R&amp;D Productivity Monitoring &amp; NCE Clinical Trial Burn Cockpit</x:v>
      </x:c>
      <x:c r="J386" s="5" t="str">
        <x:v>SOURCE QUOTE; unvalidated / superseded assessments</x:v>
      </x:c>
      <x:c r="L386" s="31" t="str">
        <x:v>D05, Markdown line 114; http://nas-1.tail55d152.ts.net:4100/static/2S_PHARMA_THREE_PILLARS_OPERATIONAL_BLUEPRINT.html</x:v>
      </x:c>
    </x:row>
    <x:row r="387" ht="378" customHeight="1">
      <x:c r="A387" s="5" t="str">
        <x:v>D05</x:v>
      </x:c>
      <x:c r="B387" s="5" t="str">
        <x:v>D05-L0116-1</x:v>
      </x:c>
      <x:c r="C387" s="5" t="str">
        <x:v>3. Pillar 2: R&amp;D Productivity Monitoring &amp; NCE Clinical Trial Burn Cockpit</x:v>
      </x:c>
      <x:c r="D387" s="5" t="n">
        <x:v>116</x:v>
      </x:c>
      <x:c r="E387" s="5" t="n">
        <x:v>138</x:v>
      </x:c>
      <x:c r="F387" s="5" t="str">
        <x:v>diagram / code</x:v>
      </x:c>
      <x:c r="G387" s="5" t="n">
        <x:v>1</x:v>
      </x:c>
      <x:c r="H387" s="5" t="n">
        <x:v>2</x:v>
      </x:c>
      <x:c r="I387" s="5" t="str">
        <x:v>```
┌──────────────────────────────────────────────────────────────────────────────────────────────────┐
│                   PILLAR 2: NCE CLINICAL MILESTONE &amp; CASH-BURN ENGINE                            │
└──────────────────────────────────────────────────────────────────────────────────────────────────┘
 ┌────────────────────────────────────────────────────────────────────────────────────────────────┐
 │ CLINICAL DATA STREAMS: EDC (Medidata/Veeva) • CTMS • Hospital Site EHRs • CRO Timecards        │
 └───────────────────────────────────────────────┬────────────────────────────────────────────────┘
                                                 │
 ┌───────────────────────────────────────────────▼────────────────────────────────────────────────┐
 │ HCARE360 NLP PATIENT SCREENING ENGINE                                                          │
 │ • Unstructured Hospital Pathology, Genomic &amp; EHR Text Parsing (ICD-10, SNOMED, HLA Typing)    │
 │ • Real-Time Rare-Disease &amp; Oncology Trial Cohort Density Mapping                               │
 │ • Cuts Patient Enrollment Lead-Times by 30% to 50% across Nordic University Clinics            │
 └────────────────────────────────────────</x:v>
      </x:c>
      <x:c r="J387" s="5" t="str">
        <x:v>SOURCE QUOTE; unvalidated / superseded assessments</x:v>
      </x:c>
      <x:c r="L387" s="31" t="str">
        <x:v>D05, Markdown line 116; http://nas-1.tail55d152.ts.net:4100/static/2S_PHARMA_THREE_PILLARS_OPERATIONAL_BLUEPRINT.html</x:v>
      </x:c>
    </x:row>
    <x:row r="388" ht="224" customHeight="1">
      <x:c r="A388" s="5" t="str">
        <x:v>D05</x:v>
      </x:c>
      <x:c r="B388" s="5" t="str">
        <x:v>D05-L0116-2</x:v>
      </x:c>
      <x:c r="C388" s="5" t="str">
        <x:v>3. Pillar 2: R&amp;D Productivity Monitoring &amp; NCE Clinical Trial Burn Cockpit</x:v>
      </x:c>
      <x:c r="D388" s="5" t="n">
        <x:v>116</x:v>
      </x:c>
      <x:c r="E388" s="5" t="n">
        <x:v>138</x:v>
      </x:c>
      <x:c r="F388" s="5" t="str">
        <x:v>diagram / code</x:v>
      </x:c>
      <x:c r="G388" s="5" t="n">
        <x:v>2</x:v>
      </x:c>
      <x:c r="H388" s="5" t="n">
        <x:v>2</x:v>
      </x:c>
      <x:c r="I388" s="5" t="str">
        <x:v>───────┬────────────────────────────────────────────────┘
                                                 │
 ┌───────────────────────────────────────────────▼────────────────────────────────────────────────┐
 │ NCE MILESTONE GOVERNANCE &amp; CAPITAL ALLOCATION CONSOLE                                          │
 │ • Stage-Gate Capital Rationing: Candidate Selection ➔ Phase I ➔ Phase II ➔ Phase III ➔ MAA    │
 │ • Daily Cash-Burn Simulator (€25,000/Day Delay Cost Modeling &amp; Runway Projection)              │
 │ • Multi-Currency Clinical Investigator Grant Touchless Reconciliation                          │
 └────────────────────────────────────────────────────────────────────────────────────────────────┘
```</x:v>
      </x:c>
      <x:c r="J388" s="5" t="str">
        <x:v>SOURCE QUOTE; unvalidated / superseded assessments</x:v>
      </x:c>
      <x:c r="L388" s="31" t="str">
        <x:v>D05, Markdown line 116; http://nas-1.tail55d152.ts.net:4100/static/2S_PHARMA_THREE_PILLARS_OPERATIONAL_BLUEPRINT.html</x:v>
      </x:c>
    </x:row>
    <x:row r="389" ht="42" customHeight="1">
      <x:c r="A389" s="5" t="str">
        <x:v>D05</x:v>
      </x:c>
      <x:c r="B389" s="5" t="str">
        <x:v>D05-L0140-1</x:v>
      </x:c>
      <x:c r="C389" s="5" t="str">
        <x:v>3.1 The High-Burn Clinical Development Dilemma</x:v>
      </x:c>
      <x:c r="D389" s="5" t="n">
        <x:v>140</x:v>
      </x:c>
      <x:c r="E389" s="5" t="n">
        <x:v>140</x:v>
      </x:c>
      <x:c r="F389" s="5" t="str">
        <x:v>heading</x:v>
      </x:c>
      <x:c r="G389" s="5" t="n">
        <x:v>1</x:v>
      </x:c>
      <x:c r="H389" s="5" t="n">
        <x:v>1</x:v>
      </x:c>
      <x:c r="I389" s="5" t="str">
        <x:v>### 3.1 The High-Burn Clinical Development Dilemma</x:v>
      </x:c>
      <x:c r="J389" s="5" t="str">
        <x:v>SOURCE QUOTE; unvalidated / superseded assessments</x:v>
      </x:c>
      <x:c r="L389" s="31" t="str">
        <x:v>D05, Markdown line 140; http://nas-1.tail55d152.ts.net:4100/static/2S_PHARMA_THREE_PILLARS_OPERATIONAL_BLUEPRINT.html</x:v>
      </x:c>
    </x:row>
    <x:row r="390" ht="182" customHeight="1">
      <x:c r="A390" s="5" t="str">
        <x:v>D05</x:v>
      </x:c>
      <x:c r="B390" s="5" t="str">
        <x:v>D05-L0141-1</x:v>
      </x:c>
      <x:c r="C390" s="5" t="str">
        <x:v>3.1 The High-Burn Clinical Development Dilemma</x:v>
      </x:c>
      <x:c r="D390" s="5" t="n">
        <x:v>141</x:v>
      </x:c>
      <x:c r="E390" s="5" t="n">
        <x:v>144</x:v>
      </x:c>
      <x:c r="F390" s="5" t="str">
        <x:v>text</x:v>
      </x:c>
      <x:c r="G390" s="5" t="n">
        <x:v>1</x:v>
      </x:c>
      <x:c r="H390" s="5" t="n">
        <x:v>1</x:v>
      </x:c>
      <x:c r="I390" s="5" t="str">
        <x:v>The development of a New Chemical Entity (NCE) or novel biologic therapy is characterized by intense capital concentration and extreme milestone risk:
- **Capital Intensity**: Phase I safety/PK trials cost €3M–€8M; Phase II proof-of-concept/dose-finding trials cost €12M–€35M; Phase III registrational studies exceed €50M–€150M.
- **The Cost of Time**: Mid-stage clinical trials operate at a fixed burn rate of **€15,000 to €35,000 per calendar day** (averaging **€25,000/day** in the Nordics). A 4-month delay in patient enrollment results in a **€3.0 Million cash drain**, frequently exhausting cash runways and forcing dilutive equity financings.
- **Patient Recruitment Stalls**: More than 80% of European clinical trials fail to meet initial enrollment targets on time, especially in rare genetic diseases, biomarker-selected oncology, and specialized immunology.</x:v>
      </x:c>
      <x:c r="J390" s="5" t="str">
        <x:v>SOURCE QUOTE; unvalidated / superseded assessments</x:v>
      </x:c>
      <x:c r="L390" s="31" t="str">
        <x:v>D05, Markdown line 141; http://nas-1.tail55d152.ts.net:4100/static/2S_PHARMA_THREE_PILLARS_OPERATIONAL_BLUEPRINT.html</x:v>
      </x:c>
    </x:row>
    <x:row r="391" ht="42" customHeight="1">
      <x:c r="A391" s="5" t="str">
        <x:v>D05</x:v>
      </x:c>
      <x:c r="B391" s="5" t="str">
        <x:v>D05-L0146-1</x:v>
      </x:c>
      <x:c r="C391" s="5" t="str">
        <x:v>3.2 2S R&amp;D Productivity Architecture</x:v>
      </x:c>
      <x:c r="D391" s="5" t="n">
        <x:v>146</x:v>
      </x:c>
      <x:c r="E391" s="5" t="n">
        <x:v>146</x:v>
      </x:c>
      <x:c r="F391" s="5" t="str">
        <x:v>heading</x:v>
      </x:c>
      <x:c r="G391" s="5" t="n">
        <x:v>1</x:v>
      </x:c>
      <x:c r="H391" s="5" t="n">
        <x:v>1</x:v>
      </x:c>
      <x:c r="I391" s="5" t="str">
        <x:v>### 3.2 2S R&amp;D Productivity Architecture</x:v>
      </x:c>
      <x:c r="J391" s="5" t="str">
        <x:v>SOURCE QUOTE; unvalidated / superseded assessments</x:v>
      </x:c>
      <x:c r="L391" s="31" t="str">
        <x:v>D05, Markdown line 146; http://nas-1.tail55d152.ts.net:4100/static/2S_PHARMA_THREE_PILLARS_OPERATIONAL_BLUEPRINT.html</x:v>
      </x:c>
    </x:row>
    <x:row r="392" ht="42" customHeight="1">
      <x:c r="A392" s="5" t="str">
        <x:v>D05</x:v>
      </x:c>
      <x:c r="B392" s="5" t="str">
        <x:v>D05-L0147-1</x:v>
      </x:c>
      <x:c r="C392" s="5" t="str">
        <x:v>3.2 2S R&amp;D Productivity Architecture</x:v>
      </x:c>
      <x:c r="D392" s="5" t="n">
        <x:v>147</x:v>
      </x:c>
      <x:c r="E392" s="5" t="n">
        <x:v>147</x:v>
      </x:c>
      <x:c r="F392" s="5" t="str">
        <x:v>text</x:v>
      </x:c>
      <x:c r="G392" s="5" t="n">
        <x:v>1</x:v>
      </x:c>
      <x:c r="H392" s="5" t="n">
        <x:v>1</x:v>
      </x:c>
      <x:c r="I392" s="5" t="str">
        <x:v>2S Consulting deploys an end-to-end clinical milestone governance framework that couples capital allocation tracking with Numantra's proprietary clinical NLP engine:</x:v>
      </x:c>
      <x:c r="J392" s="5" t="str">
        <x:v>SOURCE QUOTE; unvalidated / superseded assessments</x:v>
      </x:c>
      <x:c r="L392" s="31" t="str">
        <x:v>D05, Markdown line 147; http://nas-1.tail55d152.ts.net:4100/static/2S_PHARMA_THREE_PILLARS_OPERATIONAL_BLUEPRINT.html</x:v>
      </x:c>
    </x:row>
    <x:row r="393" ht="42" customHeight="1">
      <x:c r="A393" s="5" t="str">
        <x:v>D05</x:v>
      </x:c>
      <x:c r="B393" s="5" t="str">
        <x:v>D05-L0149-1</x:v>
      </x:c>
      <x:c r="C393" s="5" t="str">
        <x:v>A. Stage-Gate Capital Rationing &amp; Milestone Governance</x:v>
      </x:c>
      <x:c r="D393" s="5" t="n">
        <x:v>149</x:v>
      </x:c>
      <x:c r="E393" s="5" t="n">
        <x:v>149</x:v>
      </x:c>
      <x:c r="F393" s="5" t="str">
        <x:v>heading</x:v>
      </x:c>
      <x:c r="G393" s="5" t="n">
        <x:v>1</x:v>
      </x:c>
      <x:c r="H393" s="5" t="n">
        <x:v>1</x:v>
      </x:c>
      <x:c r="I393" s="5" t="str">
        <x:v>#### A. Stage-Gate Capital Rationing &amp; Milestone Governance</x:v>
      </x:c>
      <x:c r="J393" s="5" t="str">
        <x:v>SOURCE QUOTE; unvalidated / superseded assessments</x:v>
      </x:c>
      <x:c r="L393" s="31" t="str">
        <x:v>D05, Markdown line 149; http://nas-1.tail55d152.ts.net:4100/static/2S_PHARMA_THREE_PILLARS_OPERATIONAL_BLUEPRINT.html</x:v>
      </x:c>
    </x:row>
    <x:row r="394" ht="42" customHeight="1">
      <x:c r="A394" s="5" t="str">
        <x:v>D05</x:v>
      </x:c>
      <x:c r="B394" s="5" t="str">
        <x:v>D05-L0150-1</x:v>
      </x:c>
      <x:c r="C394" s="5" t="str">
        <x:v>A. Stage-Gate Capital Rationing &amp; Milestone Governance</x:v>
      </x:c>
      <x:c r="D394" s="5" t="n">
        <x:v>150</x:v>
      </x:c>
      <x:c r="E394" s="5" t="n">
        <x:v>150</x:v>
      </x:c>
      <x:c r="F394" s="5" t="str">
        <x:v>text</x:v>
      </x:c>
      <x:c r="G394" s="5" t="n">
        <x:v>1</x:v>
      </x:c>
      <x:c r="H394" s="5" t="n">
        <x:v>1</x:v>
      </x:c>
      <x:c r="I394" s="5" t="str">
        <x:v>The console establishes formal mathematical stage-gates across the NCE development lifecycle:</x:v>
      </x:c>
      <x:c r="J394" s="5" t="str">
        <x:v>SOURCE QUOTE; unvalidated / superseded assessments</x:v>
      </x:c>
      <x:c r="L394" s="31" t="str">
        <x:v>D05, Markdown line 150; http://nas-1.tail55d152.ts.net:4100/static/2S_PHARMA_THREE_PILLARS_OPERATIONAL_BLUEPRINT.html</x:v>
      </x:c>
    </x:row>
    <x:row r="395" ht="42" customHeight="1">
      <x:c r="A395" s="5" t="str">
        <x:v>D05</x:v>
      </x:c>
      <x:c r="B395" s="5" t="str">
        <x:v>D05-L0160-1</x:v>
      </x:c>
      <x:c r="C395" s="5" t="str">
        <x:v>B. The Clinical Trial Burn &amp; Runway Mathematical Model</x:v>
      </x:c>
      <x:c r="D395" s="5" t="n">
        <x:v>160</x:v>
      </x:c>
      <x:c r="E395" s="5" t="n">
        <x:v>160</x:v>
      </x:c>
      <x:c r="F395" s="5" t="str">
        <x:v>heading</x:v>
      </x:c>
      <x:c r="G395" s="5" t="n">
        <x:v>1</x:v>
      </x:c>
      <x:c r="H395" s="5" t="n">
        <x:v>1</x:v>
      </x:c>
      <x:c r="I395" s="5" t="str">
        <x:v>#### B. The Clinical Trial Burn &amp; Runway Mathematical Model</x:v>
      </x:c>
      <x:c r="J395" s="5" t="str">
        <x:v>SOURCE QUOTE; unvalidated / superseded assessments</x:v>
      </x:c>
      <x:c r="L395" s="31" t="str">
        <x:v>D05, Markdown line 160; http://nas-1.tail55d152.ts.net:4100/static/2S_PHARMA_THREE_PILLARS_OPERATIONAL_BLUEPRINT.html</x:v>
      </x:c>
    </x:row>
    <x:row r="396" ht="56" customHeight="1">
      <x:c r="A396" s="5" t="str">
        <x:v>D05</x:v>
      </x:c>
      <x:c r="B396" s="5" t="str">
        <x:v>D05-L0161-1</x:v>
      </x:c>
      <x:c r="C396" s="5" t="str">
        <x:v>B. The Clinical Trial Burn &amp; Runway Mathematical Model</x:v>
      </x:c>
      <x:c r="D396" s="5" t="n">
        <x:v>161</x:v>
      </x:c>
      <x:c r="E396" s="5" t="n">
        <x:v>161</x:v>
      </x:c>
      <x:c r="F396" s="5" t="str">
        <x:v>text</x:v>
      </x:c>
      <x:c r="G396" s="5" t="n">
        <x:v>1</x:v>
      </x:c>
      <x:c r="H396" s="5" t="n">
        <x:v>1</x:v>
      </x:c>
      <x:c r="I396" s="5" t="str">
        <x:v>To safeguard biotech cash reserves, the cockpit continuously computes the **Milestone Completion Probability ($P_{\text{mile}}$)** and **Dynamic Runway Expiry Date ($T_{\text{exhaust}}$)**:</x:v>
      </x:c>
      <x:c r="J396" s="5" t="str">
        <x:v>SOURCE QUOTE; unvalidated / superseded assessments</x:v>
      </x:c>
      <x:c r="L396" s="31" t="str">
        <x:v>D05, Markdown line 161; http://nas-1.tail55d152.ts.net:4100/static/2S_PHARMA_THREE_PILLARS_OPERATIONAL_BLUEPRINT.html</x:v>
      </x:c>
    </x:row>
    <x:row r="397" ht="70" customHeight="1">
      <x:c r="A397" s="5" t="str">
        <x:v>D05</x:v>
      </x:c>
      <x:c r="B397" s="5" t="str">
        <x:v>D05-L0163-1</x:v>
      </x:c>
      <x:c r="C397" s="5" t="str">
        <x:v>B. The Clinical Trial Burn &amp; Runway Mathematical Model</x:v>
      </x:c>
      <x:c r="D397" s="5" t="n">
        <x:v>163</x:v>
      </x:c>
      <x:c r="E397" s="5" t="n">
        <x:v>163</x:v>
      </x:c>
      <x:c r="F397" s="5" t="str">
        <x:v>text</x:v>
      </x:c>
      <x:c r="G397" s="5" t="n">
        <x:v>1</x:v>
      </x:c>
      <x:c r="H397" s="5" t="n">
        <x:v>1</x:v>
      </x:c>
      <x:c r="I397" s="5" t="str">
        <x:v>$$T_{\text{exhaust}} = \frac{\text{Liquid Cash Reserves} - \text{Committed Fixed Liabilities}}{\text{Base Operational Burn} + \sum_{j=1}^{M} \left( \text{Active Sites}_j \times C_{\text{site}} \right) + \left( \text{Enrolled Patients} \times C_{\text{patient}} \right)}$$</x:v>
      </x:c>
      <x:c r="J397" s="5" t="str">
        <x:v>SOURCE QUOTE; unvalidated / superseded assessments</x:v>
      </x:c>
      <x:c r="L397" s="31" t="str">
        <x:v>D05, Markdown line 163; http://nas-1.tail55d152.ts.net:4100/static/2S_PHARMA_THREE_PILLARS_OPERATIONAL_BLUEPRINT.html</x:v>
      </x:c>
    </x:row>
    <x:row r="398" ht="98" customHeight="1">
      <x:c r="A398" s="5" t="str">
        <x:v>D05</x:v>
      </x:c>
      <x:c r="B398" s="5" t="str">
        <x:v>D05-L0165-1</x:v>
      </x:c>
      <x:c r="C398" s="5" t="str">
        <x:v>B. The Clinical Trial Burn &amp; Runway Mathematical Model</x:v>
      </x:c>
      <x:c r="D398" s="5" t="n">
        <x:v>165</x:v>
      </x:c>
      <x:c r="E398" s="5" t="n">
        <x:v>168</x:v>
      </x:c>
      <x:c r="F398" s="5" t="str">
        <x:v>text</x:v>
      </x:c>
      <x:c r="G398" s="5" t="n">
        <x:v>1</x:v>
      </x:c>
      <x:c r="H398" s="5" t="n">
        <x:v>1</x:v>
      </x:c>
      <x:c r="I398" s="5" t="str">
        <x:v>When enrollment delays occur, the system runs stochastic Monte Carlo iterations simulating the cost-benefit of:
1. Adding new clinical trial sites (capital cost vs time compression).
2. Deploying HCare360 NLP patient screening at existing sites.
3. Pausing non-essential discovery exploratory chemistry to conserve cash for pivotal trial readouts.</x:v>
      </x:c>
      <x:c r="J398" s="5" t="str">
        <x:v>SOURCE QUOTE; unvalidated / superseded assessments</x:v>
      </x:c>
      <x:c r="L398" s="31" t="str">
        <x:v>D05, Markdown line 165; http://nas-1.tail55d152.ts.net:4100/static/2S_PHARMA_THREE_PILLARS_OPERATIONAL_BLUEPRINT.html</x:v>
      </x:c>
    </x:row>
    <x:row r="399" ht="42" customHeight="1">
      <x:c r="A399" s="5" t="str">
        <x:v>D05</x:v>
      </x:c>
      <x:c r="B399" s="5" t="str">
        <x:v>D05-L0170-1</x:v>
      </x:c>
      <x:c r="C399" s="5" t="str">
        <x:v>C. HCare360 NLP Patient Screening Engine</x:v>
      </x:c>
      <x:c r="D399" s="5" t="n">
        <x:v>170</x:v>
      </x:c>
      <x:c r="E399" s="5" t="n">
        <x:v>170</x:v>
      </x:c>
      <x:c r="F399" s="5" t="str">
        <x:v>heading</x:v>
      </x:c>
      <x:c r="G399" s="5" t="n">
        <x:v>1</x:v>
      </x:c>
      <x:c r="H399" s="5" t="n">
        <x:v>1</x:v>
      </x:c>
      <x:c r="I399" s="5" t="str">
        <x:v>#### C. HCare360 NLP Patient Screening Engine</x:v>
      </x:c>
      <x:c r="J399" s="5" t="str">
        <x:v>SOURCE QUOTE; unvalidated / superseded assessments</x:v>
      </x:c>
      <x:c r="L399" s="31" t="str">
        <x:v>D05, Markdown line 170; http://nas-1.tail55d152.ts.net:4100/static/2S_PHARMA_THREE_PILLARS_OPERATIONAL_BLUEPRINT.html</x:v>
      </x:c>
    </x:row>
    <x:row r="400" ht="140" customHeight="1">
      <x:c r="A400" s="5" t="str">
        <x:v>D05</x:v>
      </x:c>
      <x:c r="B400" s="5" t="str">
        <x:v>D05-L0171-1</x:v>
      </x:c>
      <x:c r="C400" s="5" t="str">
        <x:v>C. HCare360 NLP Patient Screening Engine</x:v>
      </x:c>
      <x:c r="D400" s="5" t="n">
        <x:v>171</x:v>
      </x:c>
      <x:c r="E400" s="5" t="n">
        <x:v>173</x:v>
      </x:c>
      <x:c r="F400" s="5" t="str">
        <x:v>text</x:v>
      </x:c>
      <x:c r="G400" s="5" t="n">
        <x:v>1</x:v>
      </x:c>
      <x:c r="H400" s="5" t="n">
        <x:v>1</x:v>
      </x:c>
      <x:c r="I400" s="5" t="str">
        <x:v>- **Clinical Data Ingestion**: Deployed within hospital IT boundaries under strict GDPR and EU data sovereignty rules.
- **Unstructured Text Parsing**: Uses domain-trained biomedical natural language processing models to extract clinical features from unstructured EHR notes, pathology reports, laboratory biomarker tests, and genomic sequencing data.
- **Trial Inclusion/Exclusion Matching**: Automatically compares patient profiles against clinical protocol criteria (e.g., specific HLA genotypes, previous line therapies, organ function parameters), surfacing qualified candidates directly to the principal investigator.</x:v>
      </x:c>
      <x:c r="J400" s="5" t="str">
        <x:v>SOURCE QUOTE; unvalidated / superseded assessments</x:v>
      </x:c>
      <x:c r="L400" s="31" t="str">
        <x:v>D05, Markdown line 171; http://nas-1.tail55d152.ts.net:4100/static/2S_PHARMA_THREE_PILLARS_OPERATIONAL_BLUEPRINT.html</x:v>
      </x:c>
    </x:row>
    <x:row r="401" ht="42" customHeight="1">
      <x:c r="A401" s="5" t="str">
        <x:v>D05</x:v>
      </x:c>
      <x:c r="B401" s="5" t="str">
        <x:v>D05-L0175-1</x:v>
      </x:c>
      <x:c r="C401" s="5" t="str">
        <x:v>D. Touchless Investigator Grant Accounting</x:v>
      </x:c>
      <x:c r="D401" s="5" t="n">
        <x:v>175</x:v>
      </x:c>
      <x:c r="E401" s="5" t="n">
        <x:v>175</x:v>
      </x:c>
      <x:c r="F401" s="5" t="str">
        <x:v>heading</x:v>
      </x:c>
      <x:c r="G401" s="5" t="n">
        <x:v>1</x:v>
      </x:c>
      <x:c r="H401" s="5" t="n">
        <x:v>1</x:v>
      </x:c>
      <x:c r="I401" s="5" t="str">
        <x:v>#### D. Touchless Investigator Grant Accounting</x:v>
      </x:c>
      <x:c r="J401" s="5" t="str">
        <x:v>SOURCE QUOTE; unvalidated / superseded assessments</x:v>
      </x:c>
      <x:c r="L401" s="31" t="str">
        <x:v>D05, Markdown line 175; http://nas-1.tail55d152.ts.net:4100/static/2S_PHARMA_THREE_PILLARS_OPERATIONAL_BLUEPRINT.html</x:v>
      </x:c>
    </x:row>
    <x:row r="402" ht="98" customHeight="1">
      <x:c r="A402" s="5" t="str">
        <x:v>D05</x:v>
      </x:c>
      <x:c r="B402" s="5" t="str">
        <x:v>D05-L0176-1</x:v>
      </x:c>
      <x:c r="C402" s="5" t="str">
        <x:v>D. Touchless Investigator Grant Accounting</x:v>
      </x:c>
      <x:c r="D402" s="5" t="n">
        <x:v>176</x:v>
      </x:c>
      <x:c r="E402" s="5" t="n">
        <x:v>178</x:v>
      </x:c>
      <x:c r="F402" s="5" t="str">
        <x:v>text</x:v>
      </x:c>
      <x:c r="G402" s="5" t="n">
        <x:v>1</x:v>
      </x:c>
      <x:c r="H402" s="5" t="n">
        <x:v>1</x:v>
      </x:c>
      <x:c r="I402" s="5" t="str">
        <x:v>- Eliminates manual quarterly reconciliation marathons between biopharma sponsors, CROs, and hospital finance offices.
- Automatically calculates site payments based on verified patient visit completion in the Electronic Data Capture (EDC) system.
- Executes automated multi-currency foreign exchange reconciliation across EUR, SEK, DKK, NOK, and USD.</x:v>
      </x:c>
      <x:c r="J402" s="5" t="str">
        <x:v>SOURCE QUOTE; unvalidated / superseded assessments</x:v>
      </x:c>
      <x:c r="L402" s="31" t="str">
        <x:v>D05, Markdown line 176; http://nas-1.tail55d152.ts.net:4100/static/2S_PHARMA_THREE_PILLARS_OPERATIONAL_BLUEPRINT.html</x:v>
      </x:c>
    </x:row>
    <x:row r="403" ht="42" customHeight="1">
      <x:c r="A403" s="5" t="str">
        <x:v>D05</x:v>
      </x:c>
      <x:c r="B403" s="5" t="str">
        <x:v>D05-L0182-1</x:v>
      </x:c>
      <x:c r="C403" s="5" t="str">
        <x:v>4. Pillar 3: API Margin Defense &amp; Chemical Yield Optimization</x:v>
      </x:c>
      <x:c r="D403" s="5" t="n">
        <x:v>182</x:v>
      </x:c>
      <x:c r="E403" s="5" t="n">
        <x:v>182</x:v>
      </x:c>
      <x:c r="F403" s="5" t="str">
        <x:v>heading</x:v>
      </x:c>
      <x:c r="G403" s="5" t="n">
        <x:v>1</x:v>
      </x:c>
      <x:c r="H403" s="5" t="n">
        <x:v>1</x:v>
      </x:c>
      <x:c r="I403" s="5" t="str">
        <x:v>## 4. Pillar 3: API Margin Defense &amp; Chemical Yield Optimization</x:v>
      </x:c>
      <x:c r="J403" s="5" t="str">
        <x:v>SOURCE QUOTE; unvalidated / superseded assessments</x:v>
      </x:c>
      <x:c r="L403" s="31" t="str">
        <x:v>D05, Markdown line 182; http://nas-1.tail55d152.ts.net:4100/static/2S_PHARMA_THREE_PILLARS_OPERATIONAL_BLUEPRINT.html</x:v>
      </x:c>
    </x:row>
    <x:row r="404" ht="378" customHeight="1">
      <x:c r="A404" s="5" t="str">
        <x:v>D05</x:v>
      </x:c>
      <x:c r="B404" s="5" t="str">
        <x:v>D05-L0184-1</x:v>
      </x:c>
      <x:c r="C404" s="5" t="str">
        <x:v>4. Pillar 3: API Margin Defense &amp; Chemical Yield Optimization</x:v>
      </x:c>
      <x:c r="D404" s="5" t="n">
        <x:v>184</x:v>
      </x:c>
      <x:c r="E404" s="5" t="n">
        <x:v>208</x:v>
      </x:c>
      <x:c r="F404" s="5" t="str">
        <x:v>diagram / code</x:v>
      </x:c>
      <x:c r="G404" s="5" t="n">
        <x:v>1</x:v>
      </x:c>
      <x:c r="H404" s="5" t="n">
        <x:v>2</x:v>
      </x:c>
      <x:c r="I404" s="5" t="str">
        <x:v>```
┌──────────────────────────────────────────────────────────────────────────────────────────────────┐
│                   PILLAR 3: CHEMICAL SYNTHESIS YIELD &amp; MARGIN DEFENSE                            │
└──────────────────────────────────────────────────────────────────────────────────────────────────┘
 ┌────────────────────────────────────────────────────────────────────────────────────────────────┐
 │ CHEMICAL PLANT OPERATIONAL INPUTS                                                              │
 │ • Multi-Purpose Reactor Logs • Solvent Consumption (DCM, DMF, ACN) • Hazardous Waste Surpluses │
 │ • Cleanroom Sanitization CIP/SIP Times • Raw Material Invoices &amp; KSM Procurement Costs          │
 └───────────────────────────────────────────────┬────────────────────────────────────────────────┘
                                                 │
 ┌───────────────────────────────────────────────▼────────────────────────────────────────────────┐
 │ 2S ACTIVITY-BASED PRODUCT &amp; CUSTOMER MIX RATIONALIZATION                                       │
 │ • True Batch Costing: Allocating Reactor Occupancy, Solvent Recovery, and Waste Disposal      │
 │ • Profitability Quadrant Matrix: Pruni</x:v>
      </x:c>
      <x:c r="J404" s="5" t="str">
        <x:v>SOURCE QUOTE; unvalidated / superseded assessments</x:v>
      </x:c>
      <x:c r="L404" s="31" t="str">
        <x:v>D05, Markdown line 184; http://nas-1.tail55d152.ts.net:4100/static/2S_PHARMA_THREE_PILLARS_OPERATIONAL_BLUEPRINT.html</x:v>
      </x:c>
    </x:row>
    <x:row r="405" ht="280" customHeight="1">
      <x:c r="A405" s="5" t="str">
        <x:v>D05</x:v>
      </x:c>
      <x:c r="B405" s="5" t="str">
        <x:v>D05-L0184-2</x:v>
      </x:c>
      <x:c r="C405" s="5" t="str">
        <x:v>4. Pillar 3: API Margin Defense &amp; Chemical Yield Optimization</x:v>
      </x:c>
      <x:c r="D405" s="5" t="n">
        <x:v>184</x:v>
      </x:c>
      <x:c r="E405" s="5" t="n">
        <x:v>208</x:v>
      </x:c>
      <x:c r="F405" s="5" t="str">
        <x:v>diagram / code</x:v>
      </x:c>
      <x:c r="G405" s="5" t="n">
        <x:v>2</x:v>
      </x:c>
      <x:c r="H405" s="5" t="n">
        <x:v>2</x:v>
      </x:c>
      <x:c r="I405" s="5" t="str">
        <x:v>ng Negative-Contribution Chemical SKUs                   │
 │ • Chemical Plant Turnaround Playbook (Unimark / Matix Operational Benchmarking)                │
 └───────────────────────────────────────────────┬────────────────────────────────────────────────┘
                                                 │
 ┌───────────────────────────────────────────────▼────────────────────────────────────────────────┐
 │ CHEMICAL SYNTHESIS ADVANCEMENT &amp; MARGIN DEFENSE DEPLOYMENT                                     │
 │ • Cleanroom Sanitization Cycle Compression (Slashing Changeover Downtime by 25% to 40%)        │
 │ • Continuous Flow Synthesis Transition (40–60% Solvent Reduction &amp; Stoichiometric Yield Gains) │
 │ • Raw Material Price Variance &amp; Key Starting Material (KSM) Hedging Governance                │
 └────────────────────────────────────────────────────────────────────────────────────────────────┘
```</x:v>
      </x:c>
      <x:c r="J405" s="5" t="str">
        <x:v>SOURCE QUOTE; unvalidated / superseded assessments</x:v>
      </x:c>
      <x:c r="L405" s="31" t="str">
        <x:v>D05, Markdown line 184; http://nas-1.tail55d152.ts.net:4100/static/2S_PHARMA_THREE_PILLARS_OPERATIONAL_BLUEPRINT.html</x:v>
      </x:c>
    </x:row>
    <x:row r="406" ht="42" customHeight="1">
      <x:c r="A406" s="5" t="str">
        <x:v>D05</x:v>
      </x:c>
      <x:c r="B406" s="5" t="str">
        <x:v>D05-L0210-1</x:v>
      </x:c>
      <x:c r="C406" s="5" t="str">
        <x:v>4.1 The Asian Price Dumping Threat to European Chemical Synthesis</x:v>
      </x:c>
      <x:c r="D406" s="5" t="n">
        <x:v>210</x:v>
      </x:c>
      <x:c r="E406" s="5" t="n">
        <x:v>210</x:v>
      </x:c>
      <x:c r="F406" s="5" t="str">
        <x:v>heading</x:v>
      </x:c>
      <x:c r="G406" s="5" t="n">
        <x:v>1</x:v>
      </x:c>
      <x:c r="H406" s="5" t="n">
        <x:v>1</x:v>
      </x:c>
      <x:c r="I406" s="5" t="str">
        <x:v>### 4.1 The Asian Price Dumping Threat to European Chemical Synthesis</x:v>
      </x:c>
      <x:c r="J406" s="5" t="str">
        <x:v>SOURCE QUOTE; unvalidated / superseded assessments</x:v>
      </x:c>
      <x:c r="L406" s="31" t="str">
        <x:v>D05, Markdown line 210; http://nas-1.tail55d152.ts.net:4100/static/2S_PHARMA_THREE_PILLARS_OPERATIONAL_BLUEPRINT.html</x:v>
      </x:c>
    </x:row>
    <x:row r="407" ht="210" customHeight="1">
      <x:c r="A407" s="5" t="str">
        <x:v>D05</x:v>
      </x:c>
      <x:c r="B407" s="5" t="str">
        <x:v>D05-L0211-1</x:v>
      </x:c>
      <x:c r="C407" s="5" t="str">
        <x:v>4.1 The Asian Price Dumping Threat to European Chemical Synthesis</x:v>
      </x:c>
      <x:c r="D407" s="5" t="n">
        <x:v>211</x:v>
      </x:c>
      <x:c r="E407" s="5" t="n">
        <x:v>214</x:v>
      </x:c>
      <x:c r="F407" s="5" t="str">
        <x:v>text</x:v>
      </x:c>
      <x:c r="G407" s="5" t="n">
        <x:v>1</x:v>
      </x:c>
      <x:c r="H407" s="5" t="n">
        <x:v>1</x:v>
      </x:c>
      <x:c r="I407" s="5" t="str">
        <x:v>Nordic and European Active Pharmaceutical Ingredient (API) manufacturers and chemical CDMOs (e.g., *Cambrex Karlskoga*, *PolyPeptide Group Malmö*, *Magle Chemoswed*, *Syntagon*) are trapped in an asymmetric competitive vice:
- **Asian Cost Advantage**: Manufacturers in China and India benefit from subsidized electricity, lower environmental and occupational safety expenditures, state-backed capital loans, and integrated domestic supply chains for basic petrochemicals. Raw small-molecule APIs from Asia are routinely priced **30% to 50% below European production costs**.
- **European Regulatory &amp; Input Cost Inflation**: European chemical synthesis plants face soaring electricity and natural gas tariffs, stringent REACH chemical regulations banning or restricting common processing solvents (dichloromethane, NMP, dimethylformamide), and high Nordic skilled chemical operator wages.
- **The Financial Impact**: Gross margins for small-molecule chemical synthesis have collapsed from historic levels of 40–50% to **18%–30%**, leaving facilities vulnerable to operational disruption or plant closure.</x:v>
      </x:c>
      <x:c r="J407" s="5" t="str">
        <x:v>SOURCE QUOTE; unvalidated / superseded assessments</x:v>
      </x:c>
      <x:c r="L407" s="31" t="str">
        <x:v>D05, Markdown line 211; http://nas-1.tail55d152.ts.net:4100/static/2S_PHARMA_THREE_PILLARS_OPERATIONAL_BLUEPRINT.html</x:v>
      </x:c>
    </x:row>
    <x:row r="408" ht="42" customHeight="1">
      <x:c r="A408" s="5" t="str">
        <x:v>D05</x:v>
      </x:c>
      <x:c r="B408" s="5" t="str">
        <x:v>D05-L0216-1</x:v>
      </x:c>
      <x:c r="C408" s="5" t="str">
        <x:v>4.2 2S API Margin Defense Architecture</x:v>
      </x:c>
      <x:c r="D408" s="5" t="n">
        <x:v>216</x:v>
      </x:c>
      <x:c r="E408" s="5" t="n">
        <x:v>216</x:v>
      </x:c>
      <x:c r="F408" s="5" t="str">
        <x:v>heading</x:v>
      </x:c>
      <x:c r="G408" s="5" t="n">
        <x:v>1</x:v>
      </x:c>
      <x:c r="H408" s="5" t="n">
        <x:v>1</x:v>
      </x:c>
      <x:c r="I408" s="5" t="str">
        <x:v>### 4.2 2S API Margin Defense Architecture</x:v>
      </x:c>
      <x:c r="J408" s="5" t="str">
        <x:v>SOURCE QUOTE; unvalidated / superseded assessments</x:v>
      </x:c>
      <x:c r="L408" s="31" t="str">
        <x:v>D05, Markdown line 216; http://nas-1.tail55d152.ts.net:4100/static/2S_PHARMA_THREE_PILLARS_OPERATIONAL_BLUEPRINT.html</x:v>
      </x:c>
    </x:row>
    <x:row r="409" ht="56" customHeight="1">
      <x:c r="A409" s="5" t="str">
        <x:v>D05</x:v>
      </x:c>
      <x:c r="B409" s="5" t="str">
        <x:v>D05-L0217-1</x:v>
      </x:c>
      <x:c r="C409" s="5" t="str">
        <x:v>4.2 2S API Margin Defense Architecture</x:v>
      </x:c>
      <x:c r="D409" s="5" t="n">
        <x:v>217</x:v>
      </x:c>
      <x:c r="E409" s="5" t="n">
        <x:v>217</x:v>
      </x:c>
      <x:c r="F409" s="5" t="str">
        <x:v>text</x:v>
      </x:c>
      <x:c r="G409" s="5" t="n">
        <x:v>1</x:v>
      </x:c>
      <x:c r="H409" s="5" t="n">
        <x:v>1</x:v>
      </x:c>
      <x:c r="I409" s="5" t="str">
        <x:v>2S Consulting deploys a specialized chemical manufacturing transformation framework derived from its authoritative published methodology (*2S Perspectives: Optimizing Product and Customer Mix*) and chemical plant turnaround track record:</x:v>
      </x:c>
      <x:c r="J409" s="5" t="str">
        <x:v>SOURCE QUOTE; unvalidated / superseded assessments</x:v>
      </x:c>
      <x:c r="L409" s="31" t="str">
        <x:v>D05, Markdown line 217; http://nas-1.tail55d152.ts.net:4100/static/2S_PHARMA_THREE_PILLARS_OPERATIONAL_BLUEPRINT.html</x:v>
      </x:c>
    </x:row>
    <x:row r="410" ht="42" customHeight="1">
      <x:c r="A410" s="5" t="str">
        <x:v>D05</x:v>
      </x:c>
      <x:c r="B410" s="5" t="str">
        <x:v>D05-L0219-1</x:v>
      </x:c>
      <x:c r="C410" s="5" t="str">
        <x:v>A. True Activity-Based Chemical Batch Costing</x:v>
      </x:c>
      <x:c r="D410" s="5" t="n">
        <x:v>219</x:v>
      </x:c>
      <x:c r="E410" s="5" t="n">
        <x:v>219</x:v>
      </x:c>
      <x:c r="F410" s="5" t="str">
        <x:v>heading</x:v>
      </x:c>
      <x:c r="G410" s="5" t="n">
        <x:v>1</x:v>
      </x:c>
      <x:c r="H410" s="5" t="n">
        <x:v>1</x:v>
      </x:c>
      <x:c r="I410" s="5" t="str">
        <x:v>#### A. True Activity-Based Chemical Batch Costing</x:v>
      </x:c>
      <x:c r="J410" s="5" t="str">
        <x:v>SOURCE QUOTE; unvalidated / superseded assessments</x:v>
      </x:c>
      <x:c r="L410" s="31" t="str">
        <x:v>D05, Markdown line 219; http://nas-1.tail55d152.ts.net:4100/static/2S_PHARMA_THREE_PILLARS_OPERATIONAL_BLUEPRINT.html</x:v>
      </x:c>
    </x:row>
    <x:row r="411" ht="56" customHeight="1">
      <x:c r="A411" s="5" t="str">
        <x:v>D05</x:v>
      </x:c>
      <x:c r="B411" s="5" t="str">
        <x:v>D05-L0220-1</x:v>
      </x:c>
      <x:c r="C411" s="5" t="str">
        <x:v>A. True Activity-Based Chemical Batch Costing</x:v>
      </x:c>
      <x:c r="D411" s="5" t="n">
        <x:v>220</x:v>
      </x:c>
      <x:c r="E411" s="5" t="n">
        <x:v>220</x:v>
      </x:c>
      <x:c r="F411" s="5" t="str">
        <x:v>text</x:v>
      </x:c>
      <x:c r="G411" s="5" t="n">
        <x:v>1</x:v>
      </x:c>
      <x:c r="H411" s="5" t="n">
        <x:v>1</x:v>
      </x:c>
      <x:c r="I411" s="5" t="str">
        <x:v>Traditional cost accounting severely distorts chemical manufacturing economics by allocating overhead based on simple machine hours or direct labor. 2S implements true chemical activity-based costing:</x:v>
      </x:c>
      <x:c r="J411" s="5" t="str">
        <x:v>SOURCE QUOTE; unvalidated / superseded assessments</x:v>
      </x:c>
      <x:c r="L411" s="31" t="str">
        <x:v>D05, Markdown line 220; http://nas-1.tail55d152.ts.net:4100/static/2S_PHARMA_THREE_PILLARS_OPERATIONAL_BLUEPRINT.html</x:v>
      </x:c>
    </x:row>
    <x:row r="412" ht="56" customHeight="1">
      <x:c r="A412" s="5" t="str">
        <x:v>D05</x:v>
      </x:c>
      <x:c r="B412" s="5" t="str">
        <x:v>D05-L0222-1</x:v>
      </x:c>
      <x:c r="C412" s="5" t="str">
        <x:v>A. True Activity-Based Chemical Batch Costing</x:v>
      </x:c>
      <x:c r="D412" s="5" t="n">
        <x:v>222</x:v>
      </x:c>
      <x:c r="E412" s="5" t="n">
        <x:v>222</x:v>
      </x:c>
      <x:c r="F412" s="5" t="str">
        <x:v>text</x:v>
      </x:c>
      <x:c r="G412" s="5" t="n">
        <x:v>1</x:v>
      </x:c>
      <x:c r="H412" s="5" t="n">
        <x:v>1</x:v>
      </x:c>
      <x:c r="I412" s="5" t="str">
        <x:v>$$\text{True Unit Batch Cost} = C_{\text{KSM}} + C_{\text{reagents}} + C_{\text{solvents\_net}} + C_{\text{reactor\_time}} + C_{\text{waste\_haz}} + C_{\text{clean\_change}} + C_{\text{QC\_release}}$$</x:v>
      </x:c>
      <x:c r="J412" s="5" t="str">
        <x:v>SOURCE QUOTE; unvalidated / superseded assessments</x:v>
      </x:c>
      <x:c r="L412" s="31" t="str">
        <x:v>D05, Markdown line 222; http://nas-1.tail55d152.ts.net:4100/static/2S_PHARMA_THREE_PILLARS_OPERATIONAL_BLUEPRINT.html</x:v>
      </x:c>
    </x:row>
    <x:row r="413" ht="140" customHeight="1">
      <x:c r="A413" s="5" t="str">
        <x:v>D05</x:v>
      </x:c>
      <x:c r="B413" s="5" t="str">
        <x:v>D05-L0224-1</x:v>
      </x:c>
      <x:c r="C413" s="5" t="str">
        <x:v>A. True Activity-Based Chemical Batch Costing</x:v>
      </x:c>
      <x:c r="D413" s="5" t="n">
        <x:v>224</x:v>
      </x:c>
      <x:c r="E413" s="5" t="n">
        <x:v>228</x:v>
      </x:c>
      <x:c r="F413" s="5" t="str">
        <x:v>text</x:v>
      </x:c>
      <x:c r="G413" s="5" t="n">
        <x:v>1</x:v>
      </x:c>
      <x:c r="H413" s="5" t="n">
        <x:v>1</x:v>
      </x:c>
      <x:c r="I413" s="5" t="str">
        <x:v>Where:
- $C_{\text{solvents\_net}}$: Total solvent purchased minus recycled solvent recovered via distillation columns.
- $C_{\text{reactor\_time}}$: Activity-based hourly cost of dedicated reactor occupancy (accounting for cryogenic cooling or high-pressure steam consumption).
- $C_{\text{waste\_haz}}$: Environmental disposal surcharges for heavy metals, chlorinated effluents, or hazardous aqueous streams.
- $C_{\text{clean\_change}}$: Total downtime cost of CIP/SIP cleanroom sanitization required between product campaigns.</x:v>
      </x:c>
      <x:c r="J413" s="5" t="str">
        <x:v>SOURCE QUOTE; unvalidated / superseded assessments</x:v>
      </x:c>
      <x:c r="L413" s="31" t="str">
        <x:v>D05, Markdown line 224; http://nas-1.tail55d152.ts.net:4100/static/2S_PHARMA_THREE_PILLARS_OPERATIONAL_BLUEPRINT.html</x:v>
      </x:c>
    </x:row>
    <x:row r="414" ht="42" customHeight="1">
      <x:c r="A414" s="5" t="str">
        <x:v>D05</x:v>
      </x:c>
      <x:c r="B414" s="5" t="str">
        <x:v>D05-L0230-1</x:v>
      </x:c>
      <x:c r="C414" s="5" t="str">
        <x:v>B. The Product and Customer Mix Profitability Quadrant</x:v>
      </x:c>
      <x:c r="D414" s="5" t="n">
        <x:v>230</x:v>
      </x:c>
      <x:c r="E414" s="5" t="n">
        <x:v>230</x:v>
      </x:c>
      <x:c r="F414" s="5" t="str">
        <x:v>heading</x:v>
      </x:c>
      <x:c r="G414" s="5" t="n">
        <x:v>1</x:v>
      </x:c>
      <x:c r="H414" s="5" t="n">
        <x:v>1</x:v>
      </x:c>
      <x:c r="I414" s="5" t="str">
        <x:v>#### B. The Product and Customer Mix Profitability Quadrant</x:v>
      </x:c>
      <x:c r="J414" s="5" t="str">
        <x:v>SOURCE QUOTE; unvalidated / superseded assessments</x:v>
      </x:c>
      <x:c r="L414" s="31" t="str">
        <x:v>D05, Markdown line 230; http://nas-1.tail55d152.ts.net:4100/static/2S_PHARMA_THREE_PILLARS_OPERATIONAL_BLUEPRINT.html</x:v>
      </x:c>
    </x:row>
    <x:row r="415" ht="42" customHeight="1">
      <x:c r="A415" s="5" t="str">
        <x:v>D05</x:v>
      </x:c>
      <x:c r="B415" s="5" t="str">
        <x:v>D05-L0231-1</x:v>
      </x:c>
      <x:c r="C415" s="5" t="str">
        <x:v>B. The Product and Customer Mix Profitability Quadrant</x:v>
      </x:c>
      <x:c r="D415" s="5" t="n">
        <x:v>231</x:v>
      </x:c>
      <x:c r="E415" s="5" t="n">
        <x:v>231</x:v>
      </x:c>
      <x:c r="F415" s="5" t="str">
        <x:v>text</x:v>
      </x:c>
      <x:c r="G415" s="5" t="n">
        <x:v>1</x:v>
      </x:c>
      <x:c r="H415" s="5" t="n">
        <x:v>1</x:v>
      </x:c>
      <x:c r="I415" s="5" t="str">
        <x:v>Using this activity-based costing data, every chemical product and customer contract is mapped onto 2S's **Profitability Quadrant Matrix**:</x:v>
      </x:c>
      <x:c r="J415" s="5" t="str">
        <x:v>SOURCE QUOTE; unvalidated / superseded assessments</x:v>
      </x:c>
      <x:c r="L415" s="31" t="str">
        <x:v>D05, Markdown line 231; http://nas-1.tail55d152.ts.net:4100/static/2S_PHARMA_THREE_PILLARS_OPERATIONAL_BLUEPRINT.html</x:v>
      </x:c>
    </x:row>
    <x:row r="416" ht="364" customHeight="1">
      <x:c r="A416" s="5" t="str">
        <x:v>D05</x:v>
      </x:c>
      <x:c r="B416" s="5" t="str">
        <x:v>D05-L0233-1</x:v>
      </x:c>
      <x:c r="C416" s="5" t="str">
        <x:v>B. The Product and Customer Mix Profitability Quadrant</x:v>
      </x:c>
      <x:c r="D416" s="5" t="n">
        <x:v>233</x:v>
      </x:c>
      <x:c r="E416" s="5" t="n">
        <x:v>252</x:v>
      </x:c>
      <x:c r="F416" s="5" t="str">
        <x:v>diagram / code</x:v>
      </x:c>
      <x:c r="G416" s="5" t="n">
        <x:v>1</x:v>
      </x:c>
      <x:c r="H416" s="5" t="n">
        <x:v>2</x:v>
      </x:c>
      <x:c r="I416" s="5" t="str">
        <x:v>```
      ▲ High
      │
      │   QUADRANT II: STRATEGIC GROWTH               QUADRANT I: CORE PROFIT DRIVERS
      │   • High Margin, Low Volume                   • High Margin, High Volume
      │   • Proprietary APIs, HPAPIs, Peptides        • Core Commercial Blockbusters
      │   • Action: Protect capacity; fast-track      • Action: Defend customer relationships;
      │     regulatory file filings                     maximize reactor uptime
GROSS │
MARGIN│───────────────────────────────────────────┬───────────────────────────────────────────
  (%) │   QUADRANT IV: MARGIN-DILUTIVE TRAPS          QUADRANT III: VOLUME FILLERS
      │   • Low Margin, Low Volume                    • Low Margin, High Volume
      │   • Complex legacy intermediates,             • Commoditized generic APIs
      │     onerous client QA audits                  • Action: Strict minimum batch sizes;
      │   • Action: IMMEDIATE PRUNING or +30%         pass through raw material inflation
      │     price increase
      │
      ▼ Low ──────────────────────────────────────────────────────────────────────────────►
        Low                              BATCH VOLUME                               High
``</x:v>
      </x:c>
      <x:c r="J416" s="5" t="str">
        <x:v>SOURCE QUOTE; unvalidated / superseded assessments</x:v>
      </x:c>
      <x:c r="L416" s="31" t="str">
        <x:v>D05, Markdown line 233; http://nas-1.tail55d152.ts.net:4100/static/2S_PHARMA_THREE_PILLARS_OPERATIONAL_BLUEPRINT.html</x:v>
      </x:c>
    </x:row>
    <x:row r="417" ht="42" customHeight="1">
      <x:c r="A417" s="5" t="str">
        <x:v>D05</x:v>
      </x:c>
      <x:c r="B417" s="5" t="str">
        <x:v>D05-L0233-2</x:v>
      </x:c>
      <x:c r="C417" s="5" t="str">
        <x:v>B. The Product and Customer Mix Profitability Quadrant</x:v>
      </x:c>
      <x:c r="D417" s="5" t="n">
        <x:v>233</x:v>
      </x:c>
      <x:c r="E417" s="5" t="n">
        <x:v>252</x:v>
      </x:c>
      <x:c r="F417" s="5" t="str">
        <x:v>diagram / code</x:v>
      </x:c>
      <x:c r="G417" s="5" t="n">
        <x:v>2</x:v>
      </x:c>
      <x:c r="H417" s="5" t="n">
        <x:v>2</x:v>
      </x:c>
      <x:c r="I417" s="5" t="str">
        <x:v>`</x:v>
      </x:c>
      <x:c r="J417" s="5" t="str">
        <x:v>SOURCE QUOTE; unvalidated / superseded assessments</x:v>
      </x:c>
      <x:c r="L417" s="31" t="str">
        <x:v>D05, Markdown line 233; http://nas-1.tail55d152.ts.net:4100/static/2S_PHARMA_THREE_PILLARS_OPERATIONAL_BLUEPRINT.html</x:v>
      </x:c>
    </x:row>
    <x:row r="418" ht="56" customHeight="1">
      <x:c r="A418" s="5" t="str">
        <x:v>D05</x:v>
      </x:c>
      <x:c r="B418" s="5" t="str">
        <x:v>D05-L0254-1</x:v>
      </x:c>
      <x:c r="C418" s="5" t="str">
        <x:v>B. The Product and Customer Mix Profitability Quadrant</x:v>
      </x:c>
      <x:c r="D418" s="5" t="n">
        <x:v>254</x:v>
      </x:c>
      <x:c r="E418" s="5" t="n">
        <x:v>254</x:v>
      </x:c>
      <x:c r="F418" s="5" t="str">
        <x:v>text</x:v>
      </x:c>
      <x:c r="G418" s="5" t="n">
        <x:v>1</x:v>
      </x:c>
      <x:c r="H418" s="5" t="n">
        <x:v>1</x:v>
      </x:c>
      <x:c r="I418" s="5" t="str">
        <x:v>- **Execution**: Chemical plants immediately terminate or renegotiate Quadrant IV products. Freeing reactor hours from margin-dilutive legacy intermediates releases high-value capacity for Quadrant I and II products without investing in new physical reactors.</x:v>
      </x:c>
      <x:c r="J418" s="5" t="str">
        <x:v>SOURCE QUOTE; unvalidated / superseded assessments</x:v>
      </x:c>
      <x:c r="L418" s="31" t="str">
        <x:v>D05, Markdown line 254; http://nas-1.tail55d152.ts.net:4100/static/2S_PHARMA_THREE_PILLARS_OPERATIONAL_BLUEPRINT.html</x:v>
      </x:c>
    </x:row>
    <x:row r="419" ht="42" customHeight="1">
      <x:c r="A419" s="5" t="str">
        <x:v>D05</x:v>
      </x:c>
      <x:c r="B419" s="5" t="str">
        <x:v>D05-L0256-1</x:v>
      </x:c>
      <x:c r="C419" s="5" t="str">
        <x:v>C. Cleanroom Sanitization Cycle Compression (The Turnaround Playbook)</x:v>
      </x:c>
      <x:c r="D419" s="5" t="n">
        <x:v>256</x:v>
      </x:c>
      <x:c r="E419" s="5" t="n">
        <x:v>256</x:v>
      </x:c>
      <x:c r="F419" s="5" t="str">
        <x:v>heading</x:v>
      </x:c>
      <x:c r="G419" s="5" t="n">
        <x:v>1</x:v>
      </x:c>
      <x:c r="H419" s="5" t="n">
        <x:v>1</x:v>
      </x:c>
      <x:c r="I419" s="5" t="str">
        <x:v>#### C. Cleanroom Sanitization Cycle Compression (The Turnaround Playbook)</x:v>
      </x:c>
      <x:c r="J419" s="5" t="str">
        <x:v>SOURCE QUOTE; unvalidated / superseded assessments</x:v>
      </x:c>
      <x:c r="L419" s="31" t="str">
        <x:v>D05, Markdown line 256; http://nas-1.tail55d152.ts.net:4100/static/2S_PHARMA_THREE_PILLARS_OPERATIONAL_BLUEPRINT.html</x:v>
      </x:c>
    </x:row>
    <x:row r="420" ht="98" customHeight="1">
      <x:c r="A420" s="5" t="str">
        <x:v>D05</x:v>
      </x:c>
      <x:c r="B420" s="5" t="str">
        <x:v>D05-L0257-1</x:v>
      </x:c>
      <x:c r="C420" s="5" t="str">
        <x:v>C. Cleanroom Sanitization Cycle Compression (The Turnaround Playbook)</x:v>
      </x:c>
      <x:c r="D420" s="5" t="n">
        <x:v>257</x:v>
      </x:c>
      <x:c r="E420" s="5" t="n">
        <x:v>259</x:v>
      </x:c>
      <x:c r="F420" s="5" t="str">
        <x:v>text</x:v>
      </x:c>
      <x:c r="G420" s="5" t="n">
        <x:v>1</x:v>
      </x:c>
      <x:c r="H420" s="5" t="n">
        <x:v>1</x:v>
      </x:c>
      <x:c r="I420" s="5" t="str">
        <x:v>- Standardizes multi-product wash workflows and Clean-In-Place / Steam-In-Place (CIP/SIP) procedures.
- Reduces cleanroom turnaround and reactor cleaning validation time from **96–120 hours down to 48–60 hours** (a 40–50% compression).
- Unlocks **15% to 25% additional annual batch capacity** across existing glass-lined and stainless-steel synthesis trains.</x:v>
      </x:c>
      <x:c r="J420" s="5" t="str">
        <x:v>SOURCE QUOTE; unvalidated / superseded assessments</x:v>
      </x:c>
      <x:c r="L420" s="31" t="str">
        <x:v>D05, Markdown line 257; http://nas-1.tail55d152.ts.net:4100/static/2S_PHARMA_THREE_PILLARS_OPERATIONAL_BLUEPRINT.html</x:v>
      </x:c>
    </x:row>
    <x:row r="421" ht="42" customHeight="1">
      <x:c r="A421" s="5" t="str">
        <x:v>D05</x:v>
      </x:c>
      <x:c r="B421" s="5" t="str">
        <x:v>D05-L0261-1</x:v>
      </x:c>
      <x:c r="C421" s="5" t="str">
        <x:v>D. Continuous Flow Synthesis Transition</x:v>
      </x:c>
      <x:c r="D421" s="5" t="n">
        <x:v>261</x:v>
      </x:c>
      <x:c r="E421" s="5" t="n">
        <x:v>261</x:v>
      </x:c>
      <x:c r="F421" s="5" t="str">
        <x:v>heading</x:v>
      </x:c>
      <x:c r="G421" s="5" t="n">
        <x:v>1</x:v>
      </x:c>
      <x:c r="H421" s="5" t="n">
        <x:v>1</x:v>
      </x:c>
      <x:c r="I421" s="5" t="str">
        <x:v>#### D. Continuous Flow Synthesis Transition</x:v>
      </x:c>
      <x:c r="J421" s="5" t="str">
        <x:v>SOURCE QUOTE; unvalidated / superseded assessments</x:v>
      </x:c>
      <x:c r="L421" s="31" t="str">
        <x:v>D05, Markdown line 261; http://nas-1.tail55d152.ts.net:4100/static/2S_PHARMA_THREE_PILLARS_OPERATIONAL_BLUEPRINT.html</x:v>
      </x:c>
    </x:row>
    <x:row r="422" ht="126" customHeight="1">
      <x:c r="A422" s="5" t="str">
        <x:v>D05</x:v>
      </x:c>
      <x:c r="B422" s="5" t="str">
        <x:v>D05-L0262-1</x:v>
      </x:c>
      <x:c r="C422" s="5" t="str">
        <x:v>D. Continuous Flow Synthesis Transition</x:v>
      </x:c>
      <x:c r="D422" s="5" t="n">
        <x:v>262</x:v>
      </x:c>
      <x:c r="E422" s="5" t="n">
        <x:v>265</x:v>
      </x:c>
      <x:c r="F422" s="5" t="str">
        <x:v>text</x:v>
      </x:c>
      <x:c r="G422" s="5" t="n">
        <x:v>1</x:v>
      </x:c>
      <x:c r="H422" s="5" t="n">
        <x:v>1</x:v>
      </x:c>
      <x:c r="I422" s="5" t="str">
        <x:v>- Assists chemical operators in transitioning hazardous or high-energy reaction steps (nitrations, azides, brominations, cryogenic organometallic steps) from traditional batch stirred-tank reactors to **continuous flow micro-reactors**:
  - Reduces solvent volume requirements by **40% to 60%**.
  - Improves stoichiometric yield by **8% to 15%** through precise residence time and heat transfer control.
  - Ensures compliance with European green chemistry mandates and the EU Critical Medicines Act.</x:v>
      </x:c>
      <x:c r="J422" s="5" t="str">
        <x:v>SOURCE QUOTE; unvalidated / superseded assessments</x:v>
      </x:c>
      <x:c r="L422" s="31" t="str">
        <x:v>D05, Markdown line 262; http://nas-1.tail55d152.ts.net:4100/static/2S_PHARMA_THREE_PILLARS_OPERATIONAL_BLUEPRINT.html</x:v>
      </x:c>
    </x:row>
    <x:row r="423" ht="42" customHeight="1">
      <x:c r="A423" s="5" t="str">
        <x:v>D05</x:v>
      </x:c>
      <x:c r="B423" s="5" t="str">
        <x:v>D05-L0267-1</x:v>
      </x:c>
      <x:c r="C423" s="5" t="str">
        <x:v>E. Raw Material Variance &amp; KSM Hedging Governance</x:v>
      </x:c>
      <x:c r="D423" s="5" t="n">
        <x:v>267</x:v>
      </x:c>
      <x:c r="E423" s="5" t="n">
        <x:v>267</x:v>
      </x:c>
      <x:c r="F423" s="5" t="str">
        <x:v>heading</x:v>
      </x:c>
      <x:c r="G423" s="5" t="n">
        <x:v>1</x:v>
      </x:c>
      <x:c r="H423" s="5" t="n">
        <x:v>1</x:v>
      </x:c>
      <x:c r="I423" s="5" t="str">
        <x:v>#### E. Raw Material Variance &amp; KSM Hedging Governance</x:v>
      </x:c>
      <x:c r="J423" s="5" t="str">
        <x:v>SOURCE QUOTE; unvalidated / superseded assessments</x:v>
      </x:c>
      <x:c r="L423" s="31" t="str">
        <x:v>D05, Markdown line 267; http://nas-1.tail55d152.ts.net:4100/static/2S_PHARMA_THREE_PILLARS_OPERATIONAL_BLUEPRINT.html</x:v>
      </x:c>
    </x:row>
    <x:row r="424" ht="84" customHeight="1">
      <x:c r="A424" s="5" t="str">
        <x:v>D05</x:v>
      </x:c>
      <x:c r="B424" s="5" t="str">
        <x:v>D05-L0268-1</x:v>
      </x:c>
      <x:c r="C424" s="5" t="str">
        <x:v>E. Raw Material Variance &amp; KSM Hedging Governance</x:v>
      </x:c>
      <x:c r="D424" s="5" t="n">
        <x:v>268</x:v>
      </x:c>
      <x:c r="E424" s="5" t="n">
        <x:v>269</x:v>
      </x:c>
      <x:c r="F424" s="5" t="str">
        <x:v>text</x:v>
      </x:c>
      <x:c r="G424" s="5" t="n">
        <x:v>1</x:v>
      </x:c>
      <x:c r="H424" s="5" t="n">
        <x:v>1</x:v>
      </x:c>
      <x:c r="I424" s="5" t="str">
        <x:v>- Implements 2S's treasury and procurement governance frameworks (*2S Perspectives: MTM Losses in Indian Pharma*).
- Formulates multi-echelon safety stock algorithms and financial indexing contracts that automatically pass through chemical commodity price fluctuations to finished API buyers.</x:v>
      </x:c>
      <x:c r="J424" s="5" t="str">
        <x:v>SOURCE QUOTE; unvalidated / superseded assessments</x:v>
      </x:c>
      <x:c r="L424" s="31" t="str">
        <x:v>D05, Markdown line 268; http://nas-1.tail55d152.ts.net:4100/static/2S_PHARMA_THREE_PILLARS_OPERATIONAL_BLUEPRINT.html</x:v>
      </x:c>
    </x:row>
    <x:row r="425" ht="42" customHeight="1">
      <x:c r="A425" s="5" t="str">
        <x:v>D05</x:v>
      </x:c>
      <x:c r="B425" s="5" t="str">
        <x:v>D05-L0273-1</x:v>
      </x:c>
      <x:c r="C425" s="5" t="str">
        <x:v>5. Comparative Capability Matrix &amp; Enterprise Alignment</x:v>
      </x:c>
      <x:c r="D425" s="5" t="n">
        <x:v>273</x:v>
      </x:c>
      <x:c r="E425" s="5" t="n">
        <x:v>273</x:v>
      </x:c>
      <x:c r="F425" s="5" t="str">
        <x:v>heading</x:v>
      </x:c>
      <x:c r="G425" s="5" t="n">
        <x:v>1</x:v>
      </x:c>
      <x:c r="H425" s="5" t="n">
        <x:v>1</x:v>
      </x:c>
      <x:c r="I425" s="5" t="str">
        <x:v>## 5. Comparative Capability Matrix &amp; Enterprise Alignment</x:v>
      </x:c>
      <x:c r="J425" s="5" t="str">
        <x:v>SOURCE QUOTE; unvalidated / superseded assessments</x:v>
      </x:c>
      <x:c r="L425" s="31" t="str">
        <x:v>D05, Markdown line 273; http://nas-1.tail55d152.ts.net:4100/static/2S_PHARMA_THREE_PILLARS_OPERATIONAL_BLUEPRINT.html</x:v>
      </x:c>
    </x:row>
    <x:row r="426" ht="42" customHeight="1">
      <x:c r="A426" s="5" t="str">
        <x:v>D05</x:v>
      </x:c>
      <x:c r="B426" s="5" t="str">
        <x:v>D05-L0287-1</x:v>
      </x:c>
      <x:c r="C426" s="5" t="str">
        <x:v>6. Implementation Architecture &amp; Technology Stack</x:v>
      </x:c>
      <x:c r="D426" s="5" t="n">
        <x:v>287</x:v>
      </x:c>
      <x:c r="E426" s="5" t="n">
        <x:v>287</x:v>
      </x:c>
      <x:c r="F426" s="5" t="str">
        <x:v>heading</x:v>
      </x:c>
      <x:c r="G426" s="5" t="n">
        <x:v>1</x:v>
      </x:c>
      <x:c r="H426" s="5" t="n">
        <x:v>1</x:v>
      </x:c>
      <x:c r="I426" s="5" t="str">
        <x:v>## 6. Implementation Architecture &amp; Technology Stack</x:v>
      </x:c>
      <x:c r="J426" s="5" t="str">
        <x:v>SOURCE QUOTE; unvalidated / superseded assessments</x:v>
      </x:c>
      <x:c r="L426" s="31" t="str">
        <x:v>D05, Markdown line 287; http://nas-1.tail55d152.ts.net:4100/static/2S_PHARMA_THREE_PILLARS_OPERATIONAL_BLUEPRINT.html</x:v>
      </x:c>
    </x:row>
    <x:row r="427" ht="378" customHeight="1">
      <x:c r="A427" s="5" t="str">
        <x:v>D05</x:v>
      </x:c>
      <x:c r="B427" s="5" t="str">
        <x:v>D05-L0289-1</x:v>
      </x:c>
      <x:c r="C427" s="5" t="str">
        <x:v>6. Implementation Architecture &amp; Technology Stack</x:v>
      </x:c>
      <x:c r="D427" s="5" t="n">
        <x:v>289</x:v>
      </x:c>
      <x:c r="E427" s="5" t="n">
        <x:v>318</x:v>
      </x:c>
      <x:c r="F427" s="5" t="str">
        <x:v>diagram / code</x:v>
      </x:c>
      <x:c r="G427" s="5" t="n">
        <x:v>1</x:v>
      </x:c>
      <x:c r="H427" s="5" t="n">
        <x:v>2</x:v>
      </x:c>
      <x:c r="I427" s="5" t="str">
        <x:v>```
┌──────────────────────────────────────────────────────────────────────────────────────────────────┐
│                   2S ENTERPRISE PHARMA TECHNOLOGY DEPLOYMENT STACK                               │
└──────────────────────────────────────────────────────────────────────────────────────────────────┘
  LAYER 4: EXECUTIVE PRESENTATION &amp; DECISION COCKPITS
  ┌──────────────────────────────────────────────────────────────────────────────────────────────┐
  │ • Commercial S&amp;OP Executive Console • NCE R&amp;D Milestone Cockpit • API Margin Defense Console │
  │ • Real-time alerts, Gross-to-Net waterfall graphs, DOH inventory radars, Scenario simulators │
  └──────────────────────────────────────────────┬───────────────────────────────────────────────┘
                                                 │
  LAYER 3: SOVEREIGN REASONING &amp; ANALYTIC ENGINES
  ┌──────────────────────────────────────────────────────────────────────────────────────────────┐
  │ • HCare360 Biomedical NLP Engine (Unstructured EHR, Pathology, and Biomarker Parsing)        │
  │ • ProcessPrints Workflow Diagnostic Engine (ERP Transaction Log Graphing &amp; Bottleneck Trace) │
  │ • Chemical Activity-Based Costing &amp; Mix </x:v>
      </x:c>
      <x:c r="J427" s="5" t="str">
        <x:v>SOURCE QUOTE; unvalidated / superseded assessments</x:v>
      </x:c>
      <x:c r="L427" s="31" t="str">
        <x:v>D05, Markdown line 289; http://nas-1.tail55d152.ts.net:4100/static/2S_PHARMA_THREE_PILLARS_OPERATIONAL_BLUEPRINT.html</x:v>
      </x:c>
    </x:row>
    <x:row r="428" ht="350" customHeight="1">
      <x:c r="A428" s="5" t="str">
        <x:v>D05</x:v>
      </x:c>
      <x:c r="B428" s="5" t="str">
        <x:v>D05-L0289-2</x:v>
      </x:c>
      <x:c r="C428" s="5" t="str">
        <x:v>6. Implementation Architecture &amp; Technology Stack</x:v>
      </x:c>
      <x:c r="D428" s="5" t="n">
        <x:v>289</x:v>
      </x:c>
      <x:c r="E428" s="5" t="n">
        <x:v>318</x:v>
      </x:c>
      <x:c r="F428" s="5" t="str">
        <x:v>diagram / code</x:v>
      </x:c>
      <x:c r="G428" s="5" t="n">
        <x:v>2</x:v>
      </x:c>
      <x:c r="H428" s="5" t="n">
        <x:v>2</x:v>
      </x:c>
      <x:c r="I428" s="5" t="str">
        <x:v>Optimization Algorithms                              │
  └──────────────────────────────────────────────┬───────────────────────────────────────────────┘
                                                 │
  LAYER 2: DATA INTEGRATION &amp; HARMONIZATION CORE
  ┌──────────────────────────────────────────────────────────────────────────────────────────────┐
  │ • Universal Article Master (ATC, VNR, Nordic Pack Codes) • Multi-Currency FX Hedging Engine  │
  │ • GxP Audit Trail Logger (21 CFR Part 11 / EU Annex 11 Compliance) • EDIFACT/OData Pipelines  │
  └──────────────────────────────────────────────┬───────────────────────────────────────────────┘
                                                 │
  LAYER 1: ENTERPRISE DATA SOURCES &amp; SOVEREIGN CLOUD SUBSTRATE
  ┌──────────────────────────────────────────────────────────────────────────────────────────────┐
  │ • Enterprise ERPs (SAP S/4HANA, Oracle ERP) • Clinical EDC (Medidata, Veeva) • Wholesalers  │
  │ • Hosted on Numantra Sovereign Cloud (ISO 27001/27017/27018 Data Center in Helsinki, Finland)│
  └──────────────────────────────────────────────────────────────────────────────────────────────┘
```</x:v>
      </x:c>
      <x:c r="J428" s="5" t="str">
        <x:v>SOURCE QUOTE; unvalidated / superseded assessments</x:v>
      </x:c>
      <x:c r="L428" s="31" t="str">
        <x:v>D05, Markdown line 289; http://nas-1.tail55d152.ts.net:4100/static/2S_PHARMA_THREE_PILLARS_OPERATIONAL_BLUEPRINT.html</x:v>
      </x:c>
    </x:row>
    <x:row r="429" ht="42" customHeight="1">
      <x:c r="A429" s="5" t="str">
        <x:v>D05</x:v>
      </x:c>
      <x:c r="B429" s="5" t="str">
        <x:v>D05-L0322-1</x:v>
      </x:c>
      <x:c r="C429" s="5" t="str">
        <x:v>7. 90-Day Enterprise Execution Playbook for the Three Pillars</x:v>
      </x:c>
      <x:c r="D429" s="5" t="n">
        <x:v>322</x:v>
      </x:c>
      <x:c r="E429" s="5" t="n">
        <x:v>322</x:v>
      </x:c>
      <x:c r="F429" s="5" t="str">
        <x:v>heading</x:v>
      </x:c>
      <x:c r="G429" s="5" t="n">
        <x:v>1</x:v>
      </x:c>
      <x:c r="H429" s="5" t="n">
        <x:v>1</x:v>
      </x:c>
      <x:c r="I429" s="5" t="str">
        <x:v>## 7. 90-Day Enterprise Execution Playbook for the Three Pillars</x:v>
      </x:c>
      <x:c r="J429" s="5" t="str">
        <x:v>SOURCE QUOTE; unvalidated / superseded assessments</x:v>
      </x:c>
      <x:c r="L429" s="31" t="str">
        <x:v>D05, Markdown line 322; http://nas-1.tail55d152.ts.net:4100/static/2S_PHARMA_THREE_PILLARS_OPERATIONAL_BLUEPRINT.html</x:v>
      </x:c>
    </x:row>
    <x:row r="430" ht="378" customHeight="1">
      <x:c r="A430" s="5" t="str">
        <x:v>D05</x:v>
      </x:c>
      <x:c r="B430" s="5" t="str">
        <x:v>D05-L0324-1</x:v>
      </x:c>
      <x:c r="C430" s="5" t="str">
        <x:v>7. 90-Day Enterprise Execution Playbook for the Three Pillars</x:v>
      </x:c>
      <x:c r="D430" s="5" t="n">
        <x:v>324</x:v>
      </x:c>
      <x:c r="E430" s="5" t="n">
        <x:v>349</x:v>
      </x:c>
      <x:c r="F430" s="5" t="str">
        <x:v>diagram / code</x:v>
      </x:c>
      <x:c r="G430" s="5" t="n">
        <x:v>1</x:v>
      </x:c>
      <x:c r="H430" s="5" t="n">
        <x:v>2</x:v>
      </x:c>
      <x:c r="I430" s="5" t="str">
        <x:v>```
┌──────────────────────────────────────────────────────────────────────────────────────────────────┐
│                     90-DAY DEPLOYMENT SEQUENCE ACROSS THE THREE PILLARS                          │
└──────────────────────────────────────────────────────────────────────────────────────────────────┘
  PHASE 1: DAYS 1 - 30 (RAPID DIAGNOSTIC &amp; BASELINE INGESTION)
  ┌──────────────────────────────────────────────────────────────────────────────────────────────┐
  │ • Ingest 12–24 months of historical ERP, distributor sell-through, clinical, or batch data   │
  │ • Run 2S ProcessPrints diagnostic to generate visual operational graph of cash leakage       │
  │ • Deliverable: "30-Day Executive Findings &amp; Margin Leakage Heatmap"                          │
  └──────────────────────────────────────────────┬───────────────────────────────────────────────┘
                                                 │
  PHASE 2: DAYS 31 - 60 (ENGINEERING &amp; PILOT DEPLOYMENT)
  ┌──────────────────────────────────────────────────────────────────────────────────────────────┐
  │ • Configure Sovereign Cloud tenant on Numantra Finnish Infrastructure                        │
  │ • Stand up Universal Art</x:v>
      </x:c>
      <x:c r="J430" s="5" t="str">
        <x:v>SOURCE QUOTE; unvalidated / superseded assessments</x:v>
      </x:c>
      <x:c r="L430" s="31" t="str">
        <x:v>D05, Markdown line 324; http://nas-1.tail55d152.ts.net:4100/static/2S_PHARMA_THREE_PILLARS_OPERATIONAL_BLUEPRINT.html</x:v>
      </x:c>
    </x:row>
    <x:row r="431" ht="266" customHeight="1">
      <x:c r="A431" s="5" t="str">
        <x:v>D05</x:v>
      </x:c>
      <x:c r="B431" s="5" t="str">
        <x:v>D05-L0324-2</x:v>
      </x:c>
      <x:c r="C431" s="5" t="str">
        <x:v>7. 90-Day Enterprise Execution Playbook for the Three Pillars</x:v>
      </x:c>
      <x:c r="D431" s="5" t="n">
        <x:v>324</x:v>
      </x:c>
      <x:c r="E431" s="5" t="n">
        <x:v>349</x:v>
      </x:c>
      <x:c r="F431" s="5" t="str">
        <x:v>diagram / code</x:v>
      </x:c>
      <x:c r="G431" s="5" t="n">
        <x:v>2</x:v>
      </x:c>
      <x:c r="H431" s="5" t="n">
        <x:v>2</x:v>
      </x:c>
      <x:c r="I431" s="5" t="str">
        <x:v>icle Master mapping or deploy HCare360 NLP pilot at trial sites      │
  │ • Implement Cleanroom Sanitization SOP standardizations on pilot chemical reactor trains     │
  └──────────────────────────────────────────────┬───────────────────────────────────────────────┘
                                                 │
  PHASE 3: DAYS 61 - 90 (ENTERPRISE ACTIVATION &amp; S&amp;OP INTEGRATION)
  ┌──────────────────────────────────────────────────────────────────────────────────────────────┐
  │ • Roll out Executive Dashboards to C-Suite, Plant Managers, and Commercial Directors         │
  │ • Execute Product/Customer Mix Rationalization (pruning negative-contribution contracts)    │
  │ • Operational Handover: Institutionalizing monthly S&amp;OP governance and milestone tracking     │
  └──────────────────────────────────────────────────────────────────────────────────────────────┘
```</x:v>
      </x:c>
      <x:c r="J431" s="5" t="str">
        <x:v>SOURCE QUOTE; unvalidated / superseded assessments</x:v>
      </x:c>
      <x:c r="L431" s="31" t="str">
        <x:v>D05, Markdown line 324; http://nas-1.tail55d152.ts.net:4100/static/2S_PHARMA_THREE_PILLARS_OPERATIONAL_BLUEPRINT.html</x:v>
      </x:c>
    </x:row>
    <x:row r="432" ht="42" customHeight="1">
      <x:c r="A432" s="5" t="str">
        <x:v>D05</x:v>
      </x:c>
      <x:c r="B432" s="5" t="str">
        <x:v>D05-L0353-1</x:v>
      </x:c>
      <x:c r="C432" s="5" t="str">
        <x:v>8. Epistemic Validation: ACH, NATO Admiralty &amp; Devil's Advocate</x:v>
      </x:c>
      <x:c r="D432" s="5" t="n">
        <x:v>353</x:v>
      </x:c>
      <x:c r="E432" s="5" t="n">
        <x:v>353</x:v>
      </x:c>
      <x:c r="F432" s="5" t="str">
        <x:v>heading</x:v>
      </x:c>
      <x:c r="G432" s="5" t="n">
        <x:v>1</x:v>
      </x:c>
      <x:c r="H432" s="5" t="n">
        <x:v>1</x:v>
      </x:c>
      <x:c r="I432" s="5" t="str">
        <x:v>## 8. Epistemic Validation: ACH, NATO Admiralty &amp; Devil's Advocate</x:v>
      </x:c>
      <x:c r="J432" s="5" t="str">
        <x:v>SOURCE QUOTE; unvalidated / superseded assessments</x:v>
      </x:c>
      <x:c r="L432" s="31" t="str">
        <x:v>D05, Markdown line 353; http://nas-1.tail55d152.ts.net:4100/static/2S_PHARMA_THREE_PILLARS_OPERATIONAL_BLUEPRINT.html</x:v>
      </x:c>
    </x:row>
    <x:row r="433" ht="42" customHeight="1">
      <x:c r="A433" s="5" t="str">
        <x:v>D05</x:v>
      </x:c>
      <x:c r="B433" s="5" t="str">
        <x:v>D05-L0355-1</x:v>
      </x:c>
      <x:c r="C433" s="5" t="str">
        <x:v>8.1 Analysis of Competing Hypotheses (ACH) Matrix</x:v>
      </x:c>
      <x:c r="D433" s="5" t="n">
        <x:v>355</x:v>
      </x:c>
      <x:c r="E433" s="5" t="n">
        <x:v>355</x:v>
      </x:c>
      <x:c r="F433" s="5" t="str">
        <x:v>heading</x:v>
      </x:c>
      <x:c r="G433" s="5" t="n">
        <x:v>1</x:v>
      </x:c>
      <x:c r="H433" s="5" t="n">
        <x:v>1</x:v>
      </x:c>
      <x:c r="I433" s="5" t="str">
        <x:v>### 8.1 Analysis of Competing Hypotheses (ACH) Matrix</x:v>
      </x:c>
      <x:c r="J433" s="5" t="str">
        <x:v>SOURCE QUOTE; unvalidated / superseded assessments</x:v>
      </x:c>
      <x:c r="L433" s="31" t="str">
        <x:v>D05, Markdown line 355; http://nas-1.tail55d152.ts.net:4100/static/2S_PHARMA_THREE_PILLARS_OPERATIONAL_BLUEPRINT.html</x:v>
      </x:c>
    </x:row>
    <x:row r="434" ht="168" customHeight="1">
      <x:c r="A434" s="5" t="str">
        <x:v>D05</x:v>
      </x:c>
      <x:c r="B434" s="5" t="str">
        <x:v>D05-L0356-1</x:v>
      </x:c>
      <x:c r="C434" s="5" t="str">
        <x:v>8.1 Analysis of Competing Hypotheses (ACH) Matrix</x:v>
      </x:c>
      <x:c r="D434" s="5" t="n">
        <x:v>356</x:v>
      </x:c>
      <x:c r="E434" s="5" t="n">
        <x:v>359</x:v>
      </x:c>
      <x:c r="F434" s="5" t="str">
        <x:v>text</x:v>
      </x:c>
      <x:c r="G434" s="5" t="n">
        <x:v>1</x:v>
      </x:c>
      <x:c r="H434" s="5" t="n">
        <x:v>1</x:v>
      </x:c>
      <x:c r="I434" s="5" t="str">
        <x:v>Evaluating the three execution modalities for deploying the Three Pillars:
- **Hypothesis A (Out-of-the-Box Software Licensing)**: Refuted (**-5.5 score**). Off-the-shelf software tools cannot harmonize bespoke Nordic wholesaler feeds (Tamro/Oriola) or adapt to idiosyncratic chemical plant reactor configurations without massive custom engineering.
- **Hypothesis B (Conventional Billable-Hour Consulting)**: Refuted (**-3.2 score**). Pure management consultancies lack proprietary NLP codebases, sovereign GxP hosting, and chemical batch yield algorithms, leading to open-ended hourly cost blowouts.
- **Hypothesis C (2S Asymmetric Hybrid Value-Engineering Enabler)**: Decisively Confirmed (**0.0 score**). Pairs senior founder-led domain mastery with proprietary sovereign platform assets (HCare360, ProcessPrints, Finnish GxP cloud) in fixed-fee sprints.</x:v>
      </x:c>
      <x:c r="J434" s="5" t="str">
        <x:v>SOURCE QUOTE; unvalidated / superseded assessments</x:v>
      </x:c>
      <x:c r="L434" s="31" t="str">
        <x:v>D05, Markdown line 356; http://nas-1.tail55d152.ts.net:4100/static/2S_PHARMA_THREE_PILLARS_OPERATIONAL_BLUEPRINT.html</x:v>
      </x:c>
    </x:row>
    <x:row r="435" ht="42" customHeight="1">
      <x:c r="A435" s="5" t="str">
        <x:v>D05</x:v>
      </x:c>
      <x:c r="B435" s="5" t="str">
        <x:v>D05-L0361-1</x:v>
      </x:c>
      <x:c r="C435" s="5" t="str">
        <x:v>8.2 NATO STANAG 2017/2018 Admiralty Ratings</x:v>
      </x:c>
      <x:c r="D435" s="5" t="n">
        <x:v>361</x:v>
      </x:c>
      <x:c r="E435" s="5" t="n">
        <x:v>361</x:v>
      </x:c>
      <x:c r="F435" s="5" t="str">
        <x:v>heading</x:v>
      </x:c>
      <x:c r="G435" s="5" t="n">
        <x:v>1</x:v>
      </x:c>
      <x:c r="H435" s="5" t="n">
        <x:v>1</x:v>
      </x:c>
      <x:c r="I435" s="5" t="str">
        <x:v>### 8.2 NATO STANAG 2017/2018 Admiralty Ratings</x:v>
      </x:c>
      <x:c r="J435" s="5" t="str">
        <x:v>SOURCE QUOTE; unvalidated / superseded assessments</x:v>
      </x:c>
      <x:c r="L435" s="31" t="str">
        <x:v>D05, Markdown line 361; http://nas-1.tail55d152.ts.net:4100/static/2S_PHARMA_THREE_PILLARS_OPERATIONAL_BLUEPRINT.html</x:v>
      </x:c>
    </x:row>
    <x:row r="436" ht="84" customHeight="1">
      <x:c r="A436" s="5" t="str">
        <x:v>D05</x:v>
      </x:c>
      <x:c r="B436" s="5" t="str">
        <x:v>D05-L0362-1</x:v>
      </x:c>
      <x:c r="C436" s="5" t="str">
        <x:v>8.2 NATO STANAG 2017/2018 Admiralty Ratings</x:v>
      </x:c>
      <x:c r="D436" s="5" t="n">
        <x:v>362</x:v>
      </x:c>
      <x:c r="E436" s="5" t="n">
        <x:v>363</x:v>
      </x:c>
      <x:c r="F436" s="5" t="str">
        <x:v>text</x:v>
      </x:c>
      <x:c r="G436" s="5" t="n">
        <x:v>1</x:v>
      </x:c>
      <x:c r="H436" s="5" t="n">
        <x:v>1</x:v>
      </x:c>
      <x:c r="I436" s="5" t="str">
        <x:v>- All historical corporate monographs and case references validated at **Grade A1 to B2**.
- Financial benchmarks (gross margin compression, daily clinical burn rates, tender penalty clawbacks) audited against peer-reviewed health economics literature, EFPIA data, and Nordic regional procurement gazettes.</x:v>
      </x:c>
      <x:c r="J436" s="5" t="str">
        <x:v>SOURCE QUOTE; unvalidated / superseded assessments</x:v>
      </x:c>
      <x:c r="L436" s="31" t="str">
        <x:v>D05, Markdown line 362; http://nas-1.tail55d152.ts.net:4100/static/2S_PHARMA_THREE_PILLARS_OPERATIONAL_BLUEPRINT.html</x:v>
      </x:c>
    </x:row>
    <x:row r="437" ht="42" customHeight="1">
      <x:c r="A437" s="5" t="str">
        <x:v>D05</x:v>
      </x:c>
      <x:c r="B437" s="5" t="str">
        <x:v>D05-L0365-1</x:v>
      </x:c>
      <x:c r="C437" s="5" t="str">
        <x:v>8.3 Devil's Advocate / Tenth Man Falsification Tripwires</x:v>
      </x:c>
      <x:c r="D437" s="5" t="n">
        <x:v>365</x:v>
      </x:c>
      <x:c r="E437" s="5" t="n">
        <x:v>365</x:v>
      </x:c>
      <x:c r="F437" s="5" t="str">
        <x:v>heading</x:v>
      </x:c>
      <x:c r="G437" s="5" t="n">
        <x:v>1</x:v>
      </x:c>
      <x:c r="H437" s="5" t="n">
        <x:v>1</x:v>
      </x:c>
      <x:c r="I437" s="5" t="str">
        <x:v>### 8.3 Devil's Advocate / Tenth Man Falsification Tripwires</x:v>
      </x:c>
      <x:c r="J437" s="5" t="str">
        <x:v>SOURCE QUOTE; unvalidated / superseded assessments</x:v>
      </x:c>
      <x:c r="L437" s="31" t="str">
        <x:v>D05, Markdown line 365; http://nas-1.tail55d152.ts.net:4100/static/2S_PHARMA_THREE_PILLARS_OPERATIONAL_BLUEPRINT.html</x:v>
      </x:c>
    </x:row>
    <x:row r="438" ht="98" customHeight="1">
      <x:c r="A438" s="5" t="str">
        <x:v>D05</x:v>
      </x:c>
      <x:c r="B438" s="5" t="str">
        <x:v>D05-L0366-1</x:v>
      </x:c>
      <x:c r="C438" s="5" t="str">
        <x:v>8.3 Devil's Advocate / Tenth Man Falsification Tripwires</x:v>
      </x:c>
      <x:c r="D438" s="5" t="n">
        <x:v>366</x:v>
      </x:c>
      <x:c r="E438" s="5" t="n">
        <x:v>367</x:v>
      </x:c>
      <x:c r="F438" s="5" t="str">
        <x:v>text</x:v>
      </x:c>
      <x:c r="G438" s="5" t="n">
        <x:v>1</x:v>
      </x:c>
      <x:c r="H438" s="5" t="n">
        <x:v>1</x:v>
      </x:c>
      <x:c r="I438" s="5" t="str">
        <x:v>- **Tripwire 1**: If hospital EHR integration for HCare360 NLP encounters insurmountable local institutional data protection resistance exceeding 60 days, pivot immediately to deploying HCare360 on anonymized multicenter trial registries.
- **Tripwire 2**: If chemical plant operators refuse product mix pruning due to long-term commercial relationship commitments, mandate immediate contractual price increases (+20%) linking raw material and solvent indices to batch pricing.</x:v>
      </x:c>
      <x:c r="J438" s="5" t="str">
        <x:v>SOURCE QUOTE; unvalidated / superseded assessments</x:v>
      </x:c>
      <x:c r="L438" s="31" t="str">
        <x:v>D05, Markdown line 366; http://nas-1.tail55d152.ts.net:4100/static/2S_PHARMA_THREE_PILLARS_OPERATIONAL_BLUEPRINT.html</x:v>
      </x:c>
    </x:row>
    <x:row r="439" ht="42" customHeight="1">
      <x:c r="A439" s="5" t="str">
        <x:v>D05</x:v>
      </x:c>
      <x:c r="B439" s="5" t="str">
        <x:v>D05-L0371-1</x:v>
      </x:c>
      <x:c r="C439" s="5" t="str">
        <x:v>9. Artifact Cross-Links &amp; Navigational Manifest</x:v>
      </x:c>
      <x:c r="D439" s="5" t="n">
        <x:v>371</x:v>
      </x:c>
      <x:c r="E439" s="5" t="n">
        <x:v>371</x:v>
      </x:c>
      <x:c r="F439" s="5" t="str">
        <x:v>heading</x:v>
      </x:c>
      <x:c r="G439" s="5" t="n">
        <x:v>1</x:v>
      </x:c>
      <x:c r="H439" s="5" t="n">
        <x:v>1</x:v>
      </x:c>
      <x:c r="I439" s="5" t="str">
        <x:v>## 9. Artifact Cross-Links &amp; Navigational Manifest</x:v>
      </x:c>
      <x:c r="J439" s="5" t="str">
        <x:v>SOURCE QUOTE; unvalidated / superseded assessments</x:v>
      </x:c>
      <x:c r="L439" s="31" t="str">
        <x:v>D05, Markdown line 371; http://nas-1.tail55d152.ts.net:4100/static/2S_PHARMA_THREE_PILLARS_OPERATIONAL_BLUEPRINT.html</x:v>
      </x:c>
    </x:row>
    <x:row r="440" ht="224" customHeight="1">
      <x:c r="A440" s="5" t="str">
        <x:v>D05</x:v>
      </x:c>
      <x:c r="B440" s="5" t="str">
        <x:v>D05-L0373-1</x:v>
      </x:c>
      <x:c r="C440" s="5" t="str">
        <x:v>9. Artifact Cross-Links &amp; Navigational Manifest</x:v>
      </x:c>
      <x:c r="D440" s="5" t="n">
        <x:v>373</x:v>
      </x:c>
      <x:c r="E440" s="5" t="n">
        <x:v>379</x:v>
      </x:c>
      <x:c r="F440" s="5" t="str">
        <x:v>text</x:v>
      </x:c>
      <x:c r="G440" s="5" t="n">
        <x:v>1</x:v>
      </x:c>
      <x:c r="H440" s="5" t="n">
        <x:v>1</x:v>
      </x:c>
      <x:c r="I440" s="5" t="str">
        <x:v>- **Nordic Pharma &amp; Chemicals Master Dossier**: [`2S_PHARMACEUTICALS_AND_CHEMICALS_SECTOR_DOSSIER.md`](http://nas-1.tail55d152.ts.net:4100/static/2S_PHARMACEUTICALS_AND_CHEMICALS_SECTOR_DOSSIER.html)
- **Enterprise Comprehensive Dossier**: [`2S_CONSULTING_COMPREHENSIVE_DOSSIER.md`](http://nas-1.tail55d152.ts.net:4100/static/2S_CONSULTING_COMPREHENSIVE_DOSSIER.html)
- **Projects Directory Index**: [`PROJECTS_INDEX.md`](http://nas-1.tail55d152.ts.net:4100/static/PROJECTS_INDEX.html)
- **Skills &amp; Superpowers Sovereign Catalog**: [`SKILLS_AND_SUPERPOWERS_CATALOG.md`](http://nas-1.tail55d152.ts.net:4100/static/SKILLS_AND_SUPERPOWERS_CATALOG.html)
- **Financial Dataset**: [`master_financials.json`](http://nas-1.tail55d152.ts.net:4100/static/master_financials.json)
- **Mojo Systems Verification Suite**: [`verify_pharma_chemicals.mojo`](http://nas-1.tail55d152.ts.net:4100/static/verify_pharma_chemicals.mojo)
- **OCaml Epistemic Engine**: [`ach_admiralty_engine.ml`](http://nas-1.tail55d152.ts.net:4100/static/ach_admiralty_engine.ml)</x:v>
      </x:c>
      <x:c r="J440" s="5" t="str">
        <x:v>SOURCE QUOTE; unvalidated / superseded assessments</x:v>
      </x:c>
      <x:c r="L440" s="31" t="str">
        <x:v>D05, Markdown line 373; http://nas-1.tail55d152.ts.net:4100/static/2S_PHARMA_THREE_PILLARS_OPERATIONAL_BLUEPRINT.html</x:v>
      </x:c>
    </x:row>
    <x:row r="441" ht="42" customHeight="1">
      <x:c r="A441" s="5" t="str">
        <x:v>D05</x:v>
      </x:c>
      <x:c r="B441" s="5" t="str">
        <x:v>D05-L0382-1</x:v>
      </x:c>
      <x:c r="C441" s="5" t="str">
        <x:v>9. Artifact Cross-Links &amp; Navigational Manifest</x:v>
      </x:c>
      <x:c r="D441" s="5" t="n">
        <x:v>382</x:v>
      </x:c>
      <x:c r="E441" s="5" t="n">
        <x:v>382</x:v>
      </x:c>
      <x:c r="F441" s="5" t="str">
        <x:v>text</x:v>
      </x:c>
      <x:c r="G441" s="5" t="n">
        <x:v>1</x:v>
      </x:c>
      <x:c r="H441" s="5" t="n">
        <x:v>1</x:v>
      </x:c>
      <x:c r="I441" s="5" t="str">
        <x:v>*Governed by L0-codex-gpt-6-astra Sovereign Architecture • C3I &amp; UOS Mesh Operational Document*</x:v>
      </x:c>
      <x:c r="J441" s="5" t="str">
        <x:v>SOURCE QUOTE; unvalidated / superseded assessments</x:v>
      </x:c>
      <x:c r="L441" s="31" t="str">
        <x:v>D05, Markdown line 382; http://nas-1.tail55d152.ts.net:4100/static/2S_PHARMA_THREE_PILLARS_OPERATIONAL_BLUEPRINT.html</x:v>
      </x:c>
    </x:row>
    <x:row r="442" ht="84" customHeight="1">
      <x:c r="A442" s="5" t="str">
        <x:v>D06</x:v>
      </x:c>
      <x:c r="B442" s="5" t="str">
        <x:v>D06-L0001-1</x:v>
      </x:c>
      <x:c r="C442" s="5" t="str">
        <x:v>Document preamble</x:v>
      </x:c>
      <x:c r="D442" s="5" t="n">
        <x:v>1</x:v>
      </x:c>
      <x:c r="E442" s="5" t="n">
        <x:v>1</x:v>
      </x:c>
      <x:c r="F442" s="5" t="str">
        <x:v>text</x:v>
      </x:c>
      <x:c r="G442" s="5" t="n">
        <x:v>1</x:v>
      </x:c>
      <x:c r="H442" s="5" t="n">
        <x:v>1</x:v>
      </x:c>
      <x:c r="I442"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442" s="5" t="str">
        <x:v>SOURCE QUOTE; unvalidated / superseded assessments</x:v>
      </x:c>
      <x:c r="L442" s="31" t="str">
        <x:v>D06, Markdown line 1; http://nas-1.tail55d152.ts.net:4100/static/MEDICAL_NORDICS_FINANCIALS_DOSSIER.html</x:v>
      </x:c>
    </x:row>
    <x:row r="443" ht="56" customHeight="1">
      <x:c r="A443" s="5" t="str">
        <x:v>D06</x:v>
      </x:c>
      <x:c r="B443" s="5" t="str">
        <x:v>D06-L0003-1</x:v>
      </x:c>
      <x:c r="C443" s="5" t="str">
        <x:v>Nordic Life Sciences, MedTech &amp; Chemicals Directory — Financials &amp; Strategic R&amp;D Intelligence Dossier</x:v>
      </x:c>
      <x:c r="D443" s="5" t="n">
        <x:v>3</x:v>
      </x:c>
      <x:c r="E443" s="5" t="n">
        <x:v>3</x:v>
      </x:c>
      <x:c r="F443" s="5" t="str">
        <x:v>heading</x:v>
      </x:c>
      <x:c r="G443" s="5" t="n">
        <x:v>1</x:v>
      </x:c>
      <x:c r="H443" s="5" t="n">
        <x:v>1</x:v>
      </x:c>
      <x:c r="I443" s="5" t="str">
        <x:v># Nordic Life Sciences, MedTech &amp; Chemicals Directory — Financials &amp; Strategic R&amp;D Intelligence Dossier</x:v>
      </x:c>
      <x:c r="J443" s="5" t="str">
        <x:v>SOURCE QUOTE; unvalidated / superseded assessments</x:v>
      </x:c>
      <x:c r="L443" s="31" t="str">
        <x:v>D06, Markdown line 3; http://nas-1.tail55d152.ts.net:4100/static/MEDICAL_NORDICS_FINANCIALS_DOSSIER.html</x:v>
      </x:c>
    </x:row>
    <x:row r="444" ht="154" customHeight="1">
      <x:c r="A444" s="5" t="str">
        <x:v>D06</x:v>
      </x:c>
      <x:c r="B444" s="5" t="str">
        <x:v>D06-L0005-1</x:v>
      </x:c>
      <x:c r="C444" s="5" t="str">
        <x:v>Nordic Life Sciences, MedTech &amp; Chemicals Directory — Financials &amp; Strategic R&amp;D Intelligence Dossier</x:v>
      </x:c>
      <x:c r="D444" s="5" t="n">
        <x:v>5</x:v>
      </x:c>
      <x:c r="E444" s="5" t="n">
        <x:v>5</x:v>
      </x:c>
      <x:c r="F444" s="5" t="str">
        <x:v>text</x:v>
      </x:c>
      <x:c r="G444" s="5" t="n">
        <x:v>1</x:v>
      </x:c>
      <x:c r="H444" s="5" t="n">
        <x:v>1</x:v>
      </x:c>
      <x:c r="I444" s="5" t="str">
        <x:v>&gt; **2-Way Wiki Navigation**: [🏠 Projects Index](http://nas-1.tail55d152.ts.net:4100/static/PROJECTS_INDEX.html) • [🤝 Codex Handover Runbook](http://nas-1.tail55d152.ts.net:4100/static/CODEX_HANDOVER.html) • [📖 Consolidated Journal](http://nas-1.tail55d152.ts.net:4100/static/20260928-0722-bountytek-nordic-agency-consolidation-and-verification-journal.html) • [📊 Outreach Strategy](http://nas-1.tail55d152.ts.net:4100/static/2S_CONSULTING_NORDIC_OUTREACH_STRATEGY.html) • [🎯 Presentation Deck](http://nas-1.tail55d152.ts.net:4100/static/2S_NORDIC_OUTREACH_PRESENTATION.html) • [💊 Pharma Sector Dossier](http://nas-1.tail55d152.ts.net:4100/static/2S_PHARMACEUTICALS_AND_CHEMICALS_SECTOR_DOSSIER.html) • [📜 Codex Astra Cert](http://nas-1.tail55d152.ts.net:4100/static/20260927-1145-uos-c3i-codex-astra-sovereign-review-and-ratification-certificate.html)</x:v>
      </x:c>
      <x:c r="J444" s="5" t="str">
        <x:v>SOURCE QUOTE; unvalidated / superseded assessments</x:v>
      </x:c>
      <x:c r="L444" s="31" t="str">
        <x:v>D06, Markdown line 5; http://nas-1.tail55d152.ts.net:4100/static/MEDICAL_NORDICS_FINANCIALS_DOSSIER.html</x:v>
      </x:c>
    </x:row>
    <x:row r="445" ht="56" customHeight="1">
      <x:c r="A445" s="5" t="str">
        <x:v>D06</x:v>
      </x:c>
      <x:c r="B445" s="5" t="str">
        <x:v>D06-L0009-1</x:v>
      </x:c>
      <x:c r="C445" s="5" t="str">
        <x:v>Nordic Life Sciences, MedTech &amp; Chemicals Financial &amp; Commercial Intelligence Dossier</x:v>
      </x:c>
      <x:c r="D445" s="5" t="n">
        <x:v>9</x:v>
      </x:c>
      <x:c r="E445" s="5" t="n">
        <x:v>9</x:v>
      </x:c>
      <x:c r="F445" s="5" t="str">
        <x:v>heading</x:v>
      </x:c>
      <x:c r="G445" s="5" t="n">
        <x:v>1</x:v>
      </x:c>
      <x:c r="H445" s="5" t="n">
        <x:v>1</x:v>
      </x:c>
      <x:c r="I445" s="5" t="str">
        <x:v># Nordic Life Sciences, MedTech &amp; Chemicals Financial &amp; Commercial Intelligence Dossier</x:v>
      </x:c>
      <x:c r="J445" s="5" t="str">
        <x:v>SOURCE QUOTE; unvalidated / superseded assessments</x:v>
      </x:c>
      <x:c r="L445" s="31" t="str">
        <x:v>D06, Markdown line 9; http://nas-1.tail55d152.ts.net:4100/static/MEDICAL_NORDICS_FINANCIALS_DOSSIER.html</x:v>
      </x:c>
    </x:row>
    <x:row r="446" ht="182" customHeight="1">
      <x:c r="A446" s="5" t="str">
        <x:v>D06</x:v>
      </x:c>
      <x:c r="B446" s="5" t="str">
        <x:v>D06-L0010-1</x:v>
      </x:c>
      <x:c r="C446" s="5" t="str">
        <x:v>Nordic Life Sciences, MedTech &amp; Chemicals Financial &amp; Commercial Intelligence Dossier</x:v>
      </x:c>
      <x:c r="D446" s="5" t="n">
        <x:v>10</x:v>
      </x:c>
      <x:c r="E446" s="5" t="n">
        <x:v>16</x:v>
      </x:c>
      <x:c r="F446" s="5" t="str">
        <x:v>text</x:v>
      </x:c>
      <x:c r="G446" s="5" t="n">
        <x:v>1</x:v>
      </x:c>
      <x:c r="H446" s="5" t="n">
        <x:v>1</x:v>
      </x:c>
      <x:c r="I446" s="5" t="str">
        <x:v>**Audited Financial Baseline, Service Package Alignment &amp; Account Rationalization**  
**Document ID**: `MEDICAL_NORDICS_FINANCIALS_DOSSIER` | **Revision**: `v2.5.0-CORTEX-BOUNTYTEK-CONSOLIDATED`  
**Timestamp**: `2026-09-28T09:24:00+02:00` | **Host Mesh Node**: `nas-1.tail55d152.ts.net:4100`  
**Nordic Exclusive Commercial Agent &amp; Prime Contractor**: **Bountytek AB** (Stockholm, Sweden)  
**Represented Principals**:
- **2S Consulting**: [https://www.2sconsulting.com/](https://www.2sconsulting.com/) (Hichem Sellami, Safa Sellami — Zürich / Paris / Helsinki)
- **Numantra Technologies**: [https://www.numantratech.ai/](https://www.numantratech.ai/) (AI Enterprise Healthcare &amp; Clinical Software)</x:v>
      </x:c>
      <x:c r="J446" s="5" t="str">
        <x:v>SOURCE QUOTE; unvalidated / superseded assessments</x:v>
      </x:c>
      <x:c r="L446" s="31" t="str">
        <x:v>D06, Markdown line 10; http://nas-1.tail55d152.ts.net:4100/static/MEDICAL_NORDICS_FINANCIALS_DOSSIER.html</x:v>
      </x:c>
    </x:row>
    <x:row r="447" ht="42" customHeight="1">
      <x:c r="A447" s="5" t="str">
        <x:v>D06</x:v>
      </x:c>
      <x:c r="B447" s="5" t="str">
        <x:v>D06-L0020-1</x:v>
      </x:c>
      <x:c r="C447" s="5" t="str">
        <x:v>1. Project Scope &amp; The Bountytek AB Asymmetric Advantage</x:v>
      </x:c>
      <x:c r="D447" s="5" t="n">
        <x:v>20</x:v>
      </x:c>
      <x:c r="E447" s="5" t="n">
        <x:v>20</x:v>
      </x:c>
      <x:c r="F447" s="5" t="str">
        <x:v>heading</x:v>
      </x:c>
      <x:c r="G447" s="5" t="n">
        <x:v>1</x:v>
      </x:c>
      <x:c r="H447" s="5" t="n">
        <x:v>1</x:v>
      </x:c>
      <x:c r="I447" s="5" t="str">
        <x:v>## 1. Project Scope &amp; The Bountytek AB Asymmetric Advantage</x:v>
      </x:c>
      <x:c r="J447" s="5" t="str">
        <x:v>SOURCE QUOTE; unvalidated / superseded assessments</x:v>
      </x:c>
      <x:c r="L447" s="31" t="str">
        <x:v>D06, Markdown line 20; http://nas-1.tail55d152.ts.net:4100/static/MEDICAL_NORDICS_FINANCIALS_DOSSIER.html</x:v>
      </x:c>
    </x:row>
    <x:row r="448" ht="56" customHeight="1">
      <x:c r="A448" s="5" t="str">
        <x:v>D06</x:v>
      </x:c>
      <x:c r="B448" s="5" t="str">
        <x:v>D06-L0022-1</x:v>
      </x:c>
      <x:c r="C448" s="5" t="str">
        <x:v>1. Project Scope &amp; The Bountytek AB Asymmetric Advantage</x:v>
      </x:c>
      <x:c r="D448" s="5" t="n">
        <x:v>22</x:v>
      </x:c>
      <x:c r="E448" s="5" t="n">
        <x:v>22</x:v>
      </x:c>
      <x:c r="F448" s="5" t="str">
        <x:v>text</x:v>
      </x:c>
      <x:c r="G448" s="5" t="n">
        <x:v>1</x:v>
      </x:c>
      <x:c r="H448" s="5" t="n">
        <x:v>1</x:v>
      </x:c>
      <x:c r="I448" s="5" t="str">
        <x:v>This dossier synthesizes the audited financial performance, R&amp;D intensity, and operational architectures of **135 production, R&amp;D, and commercial facilities** (representing **127 unique corporate entities**) across Sweden, Denmark, Norway, and Finland. </x:v>
      </x:c>
      <x:c r="J448" s="5" t="str">
        <x:v>SOURCE QUOTE; unvalidated / superseded assessments</x:v>
      </x:c>
      <x:c r="L448" s="31" t="str">
        <x:v>D06, Markdown line 22; http://nas-1.tail55d152.ts.net:4100/static/MEDICAL_NORDICS_FINANCIALS_DOSSIER.html</x:v>
      </x:c>
    </x:row>
    <x:row r="449" ht="56" customHeight="1">
      <x:c r="A449" s="5" t="str">
        <x:v>D06</x:v>
      </x:c>
      <x:c r="B449" s="5" t="str">
        <x:v>D06-L0024-1</x:v>
      </x:c>
      <x:c r="C449" s="5" t="str">
        <x:v>1. Project Scope &amp; The Bountytek AB Asymmetric Advantage</x:v>
      </x:c>
      <x:c r="D449" s="5" t="n">
        <x:v>24</x:v>
      </x:c>
      <x:c r="E449" s="5" t="n">
        <x:v>24</x:v>
      </x:c>
      <x:c r="F449" s="5" t="str">
        <x:v>text</x:v>
      </x:c>
      <x:c r="G449" s="5" t="n">
        <x:v>1</x:v>
      </x:c>
      <x:c r="H449" s="5" t="n">
        <x:v>1</x:v>
      </x:c>
      <x:c r="I449" s="5" t="str">
        <x:v>Under the updated scope of the Nordic Life Sciences &amp; MedTech expansion, **Bountytek AB** operates as the **exclusive Nordic prime contractor, local distributor, and commercial agent** for **2S Consulting** and **Numantra Technologies**:</x:v>
      </x:c>
      <x:c r="J449" s="5" t="str">
        <x:v>SOURCE QUOTE; unvalidated / superseded assessments</x:v>
      </x:c>
      <x:c r="L449" s="31" t="str">
        <x:v>D06, Markdown line 24; http://nas-1.tail55d152.ts.net:4100/static/MEDICAL_NORDICS_FINANCIALS_DOSSIER.html</x:v>
      </x:c>
    </x:row>
    <x:row r="450" ht="378" customHeight="1">
      <x:c r="A450" s="5" t="str">
        <x:v>D06</x:v>
      </x:c>
      <x:c r="B450" s="5" t="str">
        <x:v>D06-L0026-1</x:v>
      </x:c>
      <x:c r="C450" s="5" t="str">
        <x:v>1. Project Scope &amp; The Bountytek AB Asymmetric Advantage</x:v>
      </x:c>
      <x:c r="D450" s="5" t="n">
        <x:v>26</x:v>
      </x:c>
      <x:c r="E450" s="5" t="n">
        <x:v>51</x:v>
      </x:c>
      <x:c r="F450" s="5" t="str">
        <x:v>diagram / code</x:v>
      </x:c>
      <x:c r="G450" s="5" t="n">
        <x:v>1</x:v>
      </x:c>
      <x:c r="H450" s="5" t="n">
        <x:v>2</x:v>
      </x:c>
      <x:c r="I450" s="5" t="str">
        <x:v>```
+──────────────────────────────────────────────────────────────────────────────────────────+
│                      NORDIC COMMERCIAL DELIVERY &amp; GOVERNANCE ARCHITECTURE                 │
+──────────────────────────────────────────────────────────────────────────────────────────+
│                                                                                          │
│   [ 2S Consulting ] (Zürich / Paris / Helsinki)    [ Numantra Technologies ] (AI SaaS)    │
│   https://www.2sconsulting.com/                     https://www.numantratech.ai/         │
│         │                                                 │                              │
│         └────────────────────────┬────────────────────────┘                              │
│                                  │                                                       │
│                                  ▼                                                       │
│                 ┌───────────────────────────────────┐                                    │
│                 │          BOUNTYTEK AB             │                                    │
│                 │   (Stockholm, Sweden — Org/F-Skatt)│                      </x:v>
      </x:c>
      <x:c r="J450" s="5" t="str">
        <x:v>SOURCE QUOTE; unvalidated / superseded assessments</x:v>
      </x:c>
      <x:c r="L450" s="31" t="str">
        <x:v>D06, Markdown line 26; http://nas-1.tail55d152.ts.net:4100/static/MEDICAL_NORDICS_FINANCIALS_DOSSIER.html</x:v>
      </x:c>
    </x:row>
    <x:row r="451" ht="350" customHeight="1">
      <x:c r="A451" s="5" t="str">
        <x:v>D06</x:v>
      </x:c>
      <x:c r="B451" s="5" t="str">
        <x:v>D06-L0026-2</x:v>
      </x:c>
      <x:c r="C451" s="5" t="str">
        <x:v>1. Project Scope &amp; The Bountytek AB Asymmetric Advantage</x:v>
      </x:c>
      <x:c r="D451" s="5" t="n">
        <x:v>26</x:v>
      </x:c>
      <x:c r="E451" s="5" t="n">
        <x:v>51</x:v>
      </x:c>
      <x:c r="F451" s="5" t="str">
        <x:v>diagram / code</x:v>
      </x:c>
      <x:c r="G451" s="5" t="n">
        <x:v>2</x:v>
      </x:c>
      <x:c r="H451" s="5" t="n">
        <x:v>2</x:v>
      </x:c>
      <x:c r="I451" s="5" t="str">
        <x:v>              │
│                 │   Nordic Agent &amp; Prime Contractor │                                    │
│                 └─────────────────┬─────────────────┘                                    │
│                                   │                                                      │
│        ┌──────────────────────────┴──────────────────────────┐                           │
│        ▼                                                     ▼                           │
│  [ Enterprise Wedges (&lt;SEK 400k) ]            [ Public Hospital Framework Tenders ]     │
│  • Local Swedish Invoicing &amp; Bankgiro         • Direct Co-Bidding Eligibility           │
│  • Departmental Purchase Orders (&lt;€35k)       • Region Stockholm, Region Skåne, VGR     │
│  • 14-Day Rapid Procurement Cycles            • Amgros (Denmark), Sykehusinnkjøp (Norway)│
│                                                                                          │
+──────────────────────────────────────────────────────────────────────────────────────────+
```</x:v>
      </x:c>
      <x:c r="J451" s="5" t="str">
        <x:v>SOURCE QUOTE; unvalidated / superseded assessments</x:v>
      </x:c>
      <x:c r="L451" s="31" t="str">
        <x:v>D06, Markdown line 26; http://nas-1.tail55d152.ts.net:4100/static/MEDICAL_NORDICS_FINANCIALS_DOSSIER.html</x:v>
      </x:c>
    </x:row>
    <x:row r="452" ht="42" customHeight="1">
      <x:c r="A452" s="5" t="str">
        <x:v>D06</x:v>
      </x:c>
      <x:c r="B452" s="5" t="str">
        <x:v>D06-L0053-1</x:v>
      </x:c>
      <x:c r="C452" s="5" t="str">
        <x:v>Strategic Advantage for Nordic Healthcare Buyers:</x:v>
      </x:c>
      <x:c r="D452" s="5" t="n">
        <x:v>53</x:v>
      </x:c>
      <x:c r="E452" s="5" t="n">
        <x:v>53</x:v>
      </x:c>
      <x:c r="F452" s="5" t="str">
        <x:v>heading</x:v>
      </x:c>
      <x:c r="G452" s="5" t="n">
        <x:v>1</x:v>
      </x:c>
      <x:c r="H452" s="5" t="n">
        <x:v>1</x:v>
      </x:c>
      <x:c r="I452" s="5" t="str">
        <x:v>### Strategic Advantage for Nordic Healthcare Buyers:</x:v>
      </x:c>
      <x:c r="J452" s="5" t="str">
        <x:v>SOURCE QUOTE; unvalidated / superseded assessments</x:v>
      </x:c>
      <x:c r="L452" s="31" t="str">
        <x:v>D06, Markdown line 53; http://nas-1.tail55d152.ts.net:4100/static/MEDICAL_NORDICS_FINANCIALS_DOSSIER.html</x:v>
      </x:c>
    </x:row>
    <x:row r="453" ht="196" customHeight="1">
      <x:c r="A453" s="5" t="str">
        <x:v>D06</x:v>
      </x:c>
      <x:c r="B453" s="5" t="str">
        <x:v>D06-L0054-1</x:v>
      </x:c>
      <x:c r="C453" s="5" t="str">
        <x:v>Strategic Advantage for Nordic Healthcare Buyers:</x:v>
      </x:c>
      <x:c r="D453" s="5" t="n">
        <x:v>54</x:v>
      </x:c>
      <x:c r="E453" s="5" t="n">
        <x:v>57</x:v>
      </x:c>
      <x:c r="F453" s="5" t="str">
        <x:v>text</x:v>
      </x:c>
      <x:c r="G453" s="5" t="n">
        <x:v>1</x:v>
      </x:c>
      <x:c r="H453" s="5" t="n">
        <x:v>1</x:v>
      </x:c>
      <x:c r="I453" s="5" t="str">
        <x:v>1. **Breaks the "Procurement Wall"**: Eliminates foreign entity compliance friction, cross-border withholding tax questions, and international legal review delays for Nordic buyers.
2. **Rapid Entry Diagnostic Wedges (&lt;€35,000 / ~SEK 400,000)**: Under Swedish public procurement rules (LOU) and corporate delegation limits, diagnostic wedges can be signed directly on departmental purchase orders without initiating 12-month tender cycles.
3. **Public Hospital Tender Eligibility**: Enables joint participation as a domestic prime contractor in major multi-year tenders across Sweden (*Region Stockholm, Region Skåne, Västra Götalandsregionen*), Denmark (*Danske Regioner / Amgros*), and Norway (*Sykehusinnkjøp*).
4. **Data Sovereignty &amp; Local Governance**: Bundles Numantra’s AI and 2S Consulting’s HCare360 platform within Finnish/Nordic GxP ISO 27001/17/18 compliant hosting infrastructure.</x:v>
      </x:c>
      <x:c r="J453" s="5" t="str">
        <x:v>SOURCE QUOTE; unvalidated / superseded assessments</x:v>
      </x:c>
      <x:c r="L453" s="31" t="str">
        <x:v>D06, Markdown line 54; http://nas-1.tail55d152.ts.net:4100/static/MEDICAL_NORDICS_FINANCIALS_DOSSIER.html</x:v>
      </x:c>
    </x:row>
    <x:row r="454" ht="42" customHeight="1">
      <x:c r="A454" s="5" t="str">
        <x:v>D06</x:v>
      </x:c>
      <x:c r="B454" s="5" t="str">
        <x:v>D06-L0061-1</x:v>
      </x:c>
      <x:c r="C454" s="5" t="str">
        <x:v>2. Executive Summary &amp; Macro Financial Landscape</x:v>
      </x:c>
      <x:c r="D454" s="5" t="n">
        <x:v>61</x:v>
      </x:c>
      <x:c r="E454" s="5" t="n">
        <x:v>61</x:v>
      </x:c>
      <x:c r="F454" s="5" t="str">
        <x:v>heading</x:v>
      </x:c>
      <x:c r="G454" s="5" t="n">
        <x:v>1</x:v>
      </x:c>
      <x:c r="H454" s="5" t="n">
        <x:v>1</x:v>
      </x:c>
      <x:c r="I454" s="5" t="str">
        <x:v>## 2. Executive Summary &amp; Macro Financial Landscape</x:v>
      </x:c>
      <x:c r="J454" s="5" t="str">
        <x:v>SOURCE QUOTE; unvalidated / superseded assessments</x:v>
      </x:c>
      <x:c r="L454" s="31" t="str">
        <x:v>D06, Markdown line 61; http://nas-1.tail55d152.ts.net:4100/static/MEDICAL_NORDICS_FINANCIALS_DOSSIER.html</x:v>
      </x:c>
    </x:row>
    <x:row r="455" ht="42" customHeight="1">
      <x:c r="A455" s="5" t="str">
        <x:v>D06</x:v>
      </x:c>
      <x:c r="B455" s="5" t="str">
        <x:v>D06-L0063-1</x:v>
      </x:c>
      <x:c r="C455" s="5" t="str">
        <x:v>2. Executive Summary &amp; Macro Financial Landscape</x:v>
      </x:c>
      <x:c r="D455" s="5" t="n">
        <x:v>63</x:v>
      </x:c>
      <x:c r="E455" s="5" t="n">
        <x:v>63</x:v>
      </x:c>
      <x:c r="F455" s="5" t="str">
        <x:v>text</x:v>
      </x:c>
      <x:c r="G455" s="5" t="n">
        <x:v>1</x:v>
      </x:c>
      <x:c r="H455" s="5" t="n">
        <x:v>1</x:v>
      </x:c>
      <x:c r="I455" s="5" t="str">
        <x:v>The 127 audited corporate entities represent one of the most capital-dense and R&amp;D-intensive life sciences clusters in the world:</x:v>
      </x:c>
      <x:c r="J455" s="5" t="str">
        <x:v>SOURCE QUOTE; unvalidated / superseded assessments</x:v>
      </x:c>
      <x:c r="L455" s="31" t="str">
        <x:v>D06, Markdown line 63; http://nas-1.tail55d152.ts.net:4100/static/MEDICAL_NORDICS_FINANCIALS_DOSSIER.html</x:v>
      </x:c>
    </x:row>
    <x:row r="456" ht="126" customHeight="1">
      <x:c r="A456" s="5" t="str">
        <x:v>D06</x:v>
      </x:c>
      <x:c r="B456" s="5" t="str">
        <x:v>D06-L0065-1</x:v>
      </x:c>
      <x:c r="C456" s="5" t="str">
        <x:v>2. Executive Summary &amp; Macro Financial Landscape</x:v>
      </x:c>
      <x:c r="D456" s="5" t="n">
        <x:v>65</x:v>
      </x:c>
      <x:c r="E456" s="5" t="n">
        <x:v>68</x:v>
      </x:c>
      <x:c r="F456" s="5" t="str">
        <x:v>text</x:v>
      </x:c>
      <x:c r="G456" s="5" t="n">
        <x:v>1</x:v>
      </x:c>
      <x:c r="H456" s="5" t="n">
        <x:v>1</x:v>
      </x:c>
      <x:c r="I456" s="5" t="str">
        <x:v>- **Total Addressable Nordic Market Revenue**: **&gt;SEK 850 Billion** (~€75 Billion) annual turnover.
- **Aggregate Annual R&amp;D Expenditure**: **&gt;SEK 180 Billion** (~€16 Billion) annual research &amp; development commitment.
- **Average R&amp;D Intensity across Mid-Cap &amp; Biotech**: **34.2%** of turnover, rising to &gt;100% in pre-commercial clinical biopharma.
- **Source Dataset**: `Medical-Nordics-1.xlsx` *(Google Sheet ID: `1s0pVuA2KPyIdOWL77IS8N2FFcZNPbZvS55Ys9Wkukfo`)*, updated and verified via Mojo v1.0.0.</x:v>
      </x:c>
      <x:c r="J456" s="5" t="str">
        <x:v>SOURCE QUOTE; unvalidated / superseded assessments</x:v>
      </x:c>
      <x:c r="L456" s="31" t="str">
        <x:v>D06, Markdown line 65; http://nas-1.tail55d152.ts.net:4100/static/MEDICAL_NORDICS_FINANCIALS_DOSSIER.html</x:v>
      </x:c>
    </x:row>
    <x:row r="457" ht="42" customHeight="1">
      <x:c r="A457" s="5" t="str">
        <x:v>D06</x:v>
      </x:c>
      <x:c r="B457" s="5" t="str">
        <x:v>D06-L0070-1</x:v>
      </x:c>
      <x:c r="C457" s="5" t="str">
        <x:v>The Four Financial Cohorts:</x:v>
      </x:c>
      <x:c r="D457" s="5" t="n">
        <x:v>70</x:v>
      </x:c>
      <x:c r="E457" s="5" t="n">
        <x:v>70</x:v>
      </x:c>
      <x:c r="F457" s="5" t="str">
        <x:v>heading</x:v>
      </x:c>
      <x:c r="G457" s="5" t="n">
        <x:v>1</x:v>
      </x:c>
      <x:c r="H457" s="5" t="n">
        <x:v>1</x:v>
      </x:c>
      <x:c r="I457" s="5" t="str">
        <x:v>### The Four Financial Cohorts:</x:v>
      </x:c>
      <x:c r="J457" s="5" t="str">
        <x:v>SOURCE QUOTE; unvalidated / superseded assessments</x:v>
      </x:c>
      <x:c r="L457" s="31" t="str">
        <x:v>D06, Markdown line 70; http://nas-1.tail55d152.ts.net:4100/static/MEDICAL_NORDICS_FINANCIALS_DOSSIER.html</x:v>
      </x:c>
    </x:row>
    <x:row r="458" ht="224" customHeight="1">
      <x:c r="A458" s="5" t="str">
        <x:v>D06</x:v>
      </x:c>
      <x:c r="B458" s="5" t="str">
        <x:v>D06-L0072-1</x:v>
      </x:c>
      <x:c r="C458" s="5" t="str">
        <x:v>The Four Financial Cohorts:</x:v>
      </x:c>
      <x:c r="D458" s="5" t="n">
        <x:v>72</x:v>
      </x:c>
      <x:c r="E458" s="5" t="n">
        <x:v>79</x:v>
      </x:c>
      <x:c r="F458" s="5" t="str">
        <x:v>text</x:v>
      </x:c>
      <x:c r="G458" s="5" t="n">
        <x:v>1</x:v>
      </x:c>
      <x:c r="H458" s="5" t="n">
        <x:v>1</x:v>
      </x:c>
      <x:c r="I458" s="5" t="str">
        <x:v>1. **Multinational Titans &amp; Flagships (Annual Turnover &gt;SEK 10B)**:
   - **AstraZeneca** (Gothenburg &amp; Södertälje): FY2024 Revenue **$54.1B**, R&amp;D investment **$13.6B** (~25% of turnover).
   - **Getinge** (Getinge, Gothenburg, Solna, Växjö): FY2024 Revenue **SEK 34.8B**, R&amp;D investment **SEK 1.75B**.
   - **Swedish Orphan Biovitrum (Sobi)** (Stockholm): FY2024 Revenue **SEK 26.0B**, R&amp;D investment **SEK 3.65B**.
   - **Elekta** (Stockholm): FY2023/24 Revenue **SEK 19.0B**, R&amp;D investment **SEK 2.13B**.
   - **Fresenius Kabi** (Brunna &amp; Uppsala): FY2024 Global Revenue **€8.41B** (Swedish affiliate ~SEK 4.8B), R&amp;D investment **€636M** (~SEK 7.2B).
   - **Octapharma** (Stockholm): FY2024 Revenue **€3.47B** (Swedish affiliate ~SEK 4.6B), R&amp;D investment **€108M**.
   - **Recipharm** (Stockholm): FY2023/24 Revenue **~SEK 12.4B** (~€1.1B), R&amp;D / formulation services **~SEK 380M**.</x:v>
      </x:c>
      <x:c r="J458" s="5" t="str">
        <x:v>SOURCE QUOTE; unvalidated / superseded assessments</x:v>
      </x:c>
      <x:c r="L458" s="31" t="str">
        <x:v>D06, Markdown line 72; http://nas-1.tail55d152.ts.net:4100/static/MEDICAL_NORDICS_FINANCIALS_DOSSIER.html</x:v>
      </x:c>
    </x:row>
    <x:row r="459" ht="280" customHeight="1">
      <x:c r="A459" s="5" t="str">
        <x:v>D06</x:v>
      </x:c>
      <x:c r="B459" s="5" t="str">
        <x:v>D06-L0081-1</x:v>
      </x:c>
      <x:c r="C459" s="5" t="str">
        <x:v>The Four Financial Cohorts:</x:v>
      </x:c>
      <x:c r="D459" s="5" t="n">
        <x:v>81</x:v>
      </x:c>
      <x:c r="E459" s="5" t="n">
        <x:v>96</x:v>
      </x:c>
      <x:c r="F459" s="5" t="str">
        <x:v>text</x:v>
      </x:c>
      <x:c r="G459" s="5" t="n">
        <x:v>1</x:v>
      </x:c>
      <x:c r="H459" s="5" t="n">
        <x:v>2</x:v>
      </x:c>
      <x:c r="I459" s="5" t="str">
        <x:v>2. **Commercial Leaders &amp; Mid-Cap Standouts (Turnover SEK 200M – SEK 5B)**:
   - **Biotage** (Uppsala): FY2024 Net Sales **SEK 2,056M**, R&amp;D **SEK 180M**.
   - **Camurus** (Lund): FY2024 Total Revenue **SEK 1,868M**, R&amp;D **SEK 485M**.
   - **HemoCue** (Ängelholm): FY2023/24 Net Sales **~SEK 1,720M** (Danaher Diagnostics $9.5B segment), R&amp;D **~SEK 135M**.
   - **RaySearch Laboratories** (Stockholm): FY2024 Revenue **SEK 1,192M**, R&amp;D **SEK 175M**.
   - **Calliditas Therapeutics** (Stockholm): FY2023 Revenue **SEK 1,180M**, R&amp;D **SEK 648M** (Acquired by Asahi Kasei in 2024 for SEK 11.2B).
   - **BioGaia** (Stockholm): FY2023/24 Revenue **SEK 1,304M**, R&amp;D **SEK 129M**.
   - **TFS HealthScience** (Lund): FY2023 Revenue **SEK 1,220M** (consolidated within Ratos AB).
   - **XVIVO Perfusion** (Mölndal): FY2024 Net Sales **SEK 822M**, R&amp;D **SEK 115M**.
   - **Orexo** (Uppsala): FY2024 Net Sales **SEK 590M**, R&amp;D **SEK 149M**.
   - **Bluefish Pharmaceuticals** (Stockholm): FY2023/24 Net Sales **SEK 485M**, R&amp;D **SEK 39M**.
   - **EQL Pharma** (Lund): FY2024/25 Net Sales **SEK 374M**, R&amp;D **SEK 29M**.
   - **Mentice** (Gothenburg): FY2024 Net Sales **SEK 290M**, R&amp;D **SEK 42M**.
   - **Poly</x:v>
      </x:c>
      <x:c r="J459" s="5" t="str">
        <x:v>SOURCE QUOTE; unvalidated / superseded assessments</x:v>
      </x:c>
      <x:c r="L459" s="31" t="str">
        <x:v>D06, Markdown line 81; http://nas-1.tail55d152.ts.net:4100/static/MEDICAL_NORDICS_FINANCIALS_DOSSIER.html</x:v>
      </x:c>
    </x:row>
    <x:row r="460" ht="84" customHeight="1">
      <x:c r="A460" s="5" t="str">
        <x:v>D06</x:v>
      </x:c>
      <x:c r="B460" s="5" t="str">
        <x:v>D06-L0081-2</x:v>
      </x:c>
      <x:c r="C460" s="5" t="str">
        <x:v>The Four Financial Cohorts:</x:v>
      </x:c>
      <x:c r="D460" s="5" t="n">
        <x:v>81</x:v>
      </x:c>
      <x:c r="E460" s="5" t="n">
        <x:v>96</x:v>
      </x:c>
      <x:c r="F460" s="5" t="str">
        <x:v>text</x:v>
      </x:c>
      <x:c r="G460" s="5" t="n">
        <x:v>2</x:v>
      </x:c>
      <x:c r="H460" s="5" t="n">
        <x:v>2</x:v>
      </x:c>
      <x:c r="I460" s="5" t="str">
        <x:v>Peptide Group** (Limhamn/Malmö): FY2024 Revenue **€336.8M** (~SEK 3.82B), R&amp;D **€1.1M** + major CDMO CAPEX.
   - **Devyser Diagnostics** (Årsta): FY2024 Revenue **SEK 217M**, R&amp;D **SEK 45M**.
   - **BioArctic** (Stockholm): FY2023/24 Revenue **SEK 228M** (excluding Eisai global Leqembi royalties), R&amp;D **SEK 284M**.</x:v>
      </x:c>
      <x:c r="J460" s="5" t="str">
        <x:v>SOURCE QUOTE; unvalidated / superseded assessments</x:v>
      </x:c>
      <x:c r="L460" s="31" t="str">
        <x:v>D06, Markdown line 81; http://nas-1.tail55d152.ts.net:4100/static/MEDICAL_NORDICS_FINANCIALS_DOSSIER.html</x:v>
      </x:c>
    </x:row>
    <x:row r="461" ht="252" customHeight="1">
      <x:c r="A461" s="5" t="str">
        <x:v>D06</x:v>
      </x:c>
      <x:c r="B461" s="5" t="str">
        <x:v>D06-L0098-1</x:v>
      </x:c>
      <x:c r="C461" s="5" t="str">
        <x:v>The Four Financial Cohorts:</x:v>
      </x:c>
      <x:c r="D461" s="5" t="n">
        <x:v>98</x:v>
      </x:c>
      <x:c r="E461" s="5" t="n">
        <x:v>110</x:v>
      </x:c>
      <x:c r="F461" s="5" t="str">
        <x:v>text</x:v>
      </x:c>
      <x:c r="G461" s="5" t="n">
        <x:v>1</x:v>
      </x:c>
      <x:c r="H461" s="5" t="n">
        <x:v>1</x:v>
      </x:c>
      <x:c r="I461" s="5" t="str">
        <x:v>3. **High-Intensity Clinical-Stage Biopharma (High R&amp;D Burn, Pre-Commercial)**:
   - **Hansa Biopharma** (Lund): FY2024 Revenue **SEK 171M**, R&amp;D **SEK 399M** (burn ratio 233%).
   - **BioInvent International** (Lund): FY2023/24 Revenue **SEK 149M**, R&amp;D **SEK 343M** (burn ratio 230%).
   - **Xbrane Biopharma** (Solna): FY2023/24 Revenue **SEK 239M**, R&amp;D **SEK 306M**.
   - **Egetis Therapeutics** (Stockholm): FY2024 Revenue **SEK 46M**, R&amp;D **SEK 295M** (burn ratio 641%).
   - **Vicore Pharma** (Stockholm): FY2024 Revenue **SEK 8.4M**, R&amp;D **SEK 264M**.
   - **Oncopeptides** (Stockholm): FY2024 Revenue **SEK 32M**, R&amp;D **SEK 184M**.
   - **Cantargia** (Lund): Clinical Stage (Revenue SEK 0M), R&amp;D **SEK 179M**.
   - **Q-Linea** (Uppsala): FY2023/24 Revenue **SEK 4.4M**, R&amp;D **SEK 178M**.
   - **Alligator Bioscience** (Lund): FY2023/24 Revenue **SEK 58M**, R&amp;D **SEK 169M**.
   - **Cinclus Pharma** (Stockholm): Pre-commercial (Revenue SEK 6M), R&amp;D **SEK 162M**.
   - **Mendus** (Stockholm): Clinical Stage (Revenue SEK 0M), R&amp;D **SEK 114M**.
   - **Infant Bacterial Therapeutics (IBT)** (Stockholm): Clinical Stage (Revenue SEK 0M), R&amp;D **SEK 112M**.</x:v>
      </x:c>
      <x:c r="J461" s="5" t="str">
        <x:v>SOURCE QUOTE; unvalidated / superseded assessments</x:v>
      </x:c>
      <x:c r="L461" s="31" t="str">
        <x:v>D06, Markdown line 98; http://nas-1.tail55d152.ts.net:4100/static/MEDICAL_NORDICS_FINANCIALS_DOSSIER.html</x:v>
      </x:c>
    </x:row>
    <x:row r="462" ht="168" customHeight="1">
      <x:c r="A462" s="5" t="str">
        <x:v>D06</x:v>
      </x:c>
      <x:c r="B462" s="5" t="str">
        <x:v>D06-L0112-1</x:v>
      </x:c>
      <x:c r="C462" s="5" t="str">
        <x:v>The Four Financial Cohorts:</x:v>
      </x:c>
      <x:c r="D462" s="5" t="n">
        <x:v>112</x:v>
      </x:c>
      <x:c r="E462" s="5" t="n">
        <x:v>117</x:v>
      </x:c>
      <x:c r="F462" s="5" t="str">
        <x:v>text</x:v>
      </x:c>
      <x:c r="G462" s="5" t="n">
        <x:v>1</x:v>
      </x:c>
      <x:c r="H462" s="5" t="n">
        <x:v>1</x:v>
      </x:c>
      <x:c r="I462" s="5" t="str">
        <x:v>4. **Deep-Tech AI Diagnostics &amp; Specialized CDMO Operations**:
   - **AMRA Medical** (Linköping): MRI body-composition analysis; high-risk AI Act classification.
   - **Elypta** (Solna): Glycosaminoglycan (GAG) liquid biopsy for early cancer detection ($21M Series A).
   - **Pixelgen Technologies** (Stockholm): 3D spatial proteomics ($15.5M Series B + €12.5M EIC).
   - **Cambrex Karlskoga** (Karlskoga): High-hazard chemical synthesis &amp; active pharmaceutical ingredient (API) manufacturing (~SEK 1.25B turnover).
   - **Qlucore** (Lund): Precision cancer diagnostic software (Qlucore Insights &amp; Diagnostics).</x:v>
      </x:c>
      <x:c r="J462" s="5" t="str">
        <x:v>SOURCE QUOTE; unvalidated / superseded assessments</x:v>
      </x:c>
      <x:c r="L462" s="31" t="str">
        <x:v>D06, Markdown line 112; http://nas-1.tail55d152.ts.net:4100/static/MEDICAL_NORDICS_FINANCIALS_DOSSIER.html</x:v>
      </x:c>
    </x:row>
    <x:row r="463" ht="42" customHeight="1">
      <x:c r="A463" s="5" t="str">
        <x:v>D06</x:v>
      </x:c>
      <x:c r="B463" s="5" t="str">
        <x:v>D06-L0121-1</x:v>
      </x:c>
      <x:c r="C463" s="5" t="str">
        <x:v>3. Service Package Mapping &amp; Sub-€35k Entry Wedges</x:v>
      </x:c>
      <x:c r="D463" s="5" t="n">
        <x:v>121</x:v>
      </x:c>
      <x:c r="E463" s="5" t="n">
        <x:v>121</x:v>
      </x:c>
      <x:c r="F463" s="5" t="str">
        <x:v>heading</x:v>
      </x:c>
      <x:c r="G463" s="5" t="n">
        <x:v>1</x:v>
      </x:c>
      <x:c r="H463" s="5" t="n">
        <x:v>1</x:v>
      </x:c>
      <x:c r="I463" s="5" t="str">
        <x:v>## 3. Service Package Mapping &amp; Sub-€35k Entry Wedges</x:v>
      </x:c>
      <x:c r="J463" s="5" t="str">
        <x:v>SOURCE QUOTE; unvalidated / superseded assessments</x:v>
      </x:c>
      <x:c r="L463" s="31" t="str">
        <x:v>D06, Markdown line 121; http://nas-1.tail55d152.ts.net:4100/static/MEDICAL_NORDICS_FINANCIALS_DOSSIER.html</x:v>
      </x:c>
    </x:row>
    <x:row r="464" ht="56" customHeight="1">
      <x:c r="A464" s="5" t="str">
        <x:v>D06</x:v>
      </x:c>
      <x:c r="B464" s="5" t="str">
        <x:v>D06-L0123-1</x:v>
      </x:c>
      <x:c r="C464" s="5" t="str">
        <x:v>3. Service Package Mapping &amp; Sub-€35k Entry Wedges</x:v>
      </x:c>
      <x:c r="D464" s="5" t="n">
        <x:v>123</x:v>
      </x:c>
      <x:c r="E464" s="5" t="n">
        <x:v>123</x:v>
      </x:c>
      <x:c r="F464" s="5" t="str">
        <x:v>text</x:v>
      </x:c>
      <x:c r="G464" s="5" t="n">
        <x:v>1</x:v>
      </x:c>
      <x:c r="H464" s="5" t="n">
        <x:v>1</x:v>
      </x:c>
      <x:c r="I464" s="5" t="str">
        <x:v>Every company in the financial directory maps directly to one of the **5 Core Service Offerings** co-delivered by 2S Consulting and Numantra Technologies, contracted domestically via **Bountytek AB**:</x:v>
      </x:c>
      <x:c r="J464" s="5" t="str">
        <x:v>SOURCE QUOTE; unvalidated / superseded assessments</x:v>
      </x:c>
      <x:c r="L464" s="31" t="str">
        <x:v>D06, Markdown line 123; http://nas-1.tail55d152.ts.net:4100/static/MEDICAL_NORDICS_FINANCIALS_DOSSIER.html</x:v>
      </x:c>
    </x:row>
    <x:row r="465" ht="378" customHeight="1">
      <x:c r="A465" s="5" t="str">
        <x:v>D06</x:v>
      </x:c>
      <x:c r="B465" s="5" t="str">
        <x:v>D06-L0125-1</x:v>
      </x:c>
      <x:c r="C465" s="5" t="str">
        <x:v>3. Service Package Mapping &amp; Sub-€35k Entry Wedges</x:v>
      </x:c>
      <x:c r="D465" s="5" t="n">
        <x:v>125</x:v>
      </x:c>
      <x:c r="E465" s="5" t="n">
        <x:v>156</x:v>
      </x:c>
      <x:c r="F465" s="5" t="str">
        <x:v>diagram / code</x:v>
      </x:c>
      <x:c r="G465" s="5" t="n">
        <x:v>1</x:v>
      </x:c>
      <x:c r="H465" s="5" t="n">
        <x:v>3</x:v>
      </x:c>
      <x:c r="I465" s="5" t="str">
        <x:v>```
+──────────────────────────────────────────────────────────────────────────────────────────+
│                         THE 5 MODULAR SERVICE WEDGES (&lt;€35,000)                          │
+──────────────────────────────────────────────────────────────────────────────────────────+
│                                                                                          │
│  [ PACKAGE A: MedTech Hardware-to-Solution Transformation (DaaS &amp; HEOR ROI) ]             │
│  • Target: Getinge, Elekta, XVIVO Perfusion, Mentice, Dignitana, RaySearch               │
│  • Wedge Proposal: "14-Day CathLab/OR Economic Value Audit" (SEK 350,000 / €32,000)      │
│  • Value Driver: Proves $45k+ ICU bed savings to unfreeze hospital capital budgets       │
│                                                                                          │
│  [ PACKAGE B: Clinical R&amp;D Productivity &amp; Trial Milestone Governance ]                   │
│  • Target: Hansa Biopharma, BioInvent, Xbrane, Egetis, Vicore, Cantargia, TFS            │
│  • Wedge Proposal: "Phase II/III Patient Screening NLP Pilot" (SEK 380,000 / €34,500)   │
│  • Value Driver: Accelerates trial enrollment by 35% using HCare360 EHR NLP en</x:v>
      </x:c>
      <x:c r="J465" s="5" t="str">
        <x:v>SOURCE QUOTE; unvalidated / superseded assessments</x:v>
      </x:c>
      <x:c r="L465" s="31" t="str">
        <x:v>D06, Markdown line 125; http://nas-1.tail55d152.ts.net:4100/static/MEDICAL_NORDICS_FINANCIALS_DOSSIER.html</x:v>
      </x:c>
    </x:row>
    <x:row r="466" ht="378" customHeight="1">
      <x:c r="A466" s="5" t="str">
        <x:v>D06</x:v>
      </x:c>
      <x:c r="B466" s="5" t="str">
        <x:v>D06-L0125-2</x:v>
      </x:c>
      <x:c r="C466" s="5" t="str">
        <x:v>3. Service Package Mapping &amp; Sub-€35k Entry Wedges</x:v>
      </x:c>
      <x:c r="D466" s="5" t="n">
        <x:v>125</x:v>
      </x:c>
      <x:c r="E466" s="5" t="n">
        <x:v>156</x:v>
      </x:c>
      <x:c r="F466" s="5" t="str">
        <x:v>diagram / code</x:v>
      </x:c>
      <x:c r="G466" s="5" t="n">
        <x:v>2</x:v>
      </x:c>
      <x:c r="H466" s="5" t="n">
        <x:v>3</x:v>
      </x:c>
      <x:c r="I466" s="5" t="str">
        <x:v>gine        │
│                                                                                          │
│  [ PACKAGE C: Cognitive Commercial Operations &amp; Specialty Pharma S&amp;OP ]                  │
│  • Target: Sobi, Camurus, Bluefish Pharmaceuticals, EQL Pharma, BioGaia, Orexo          │
│  • Wedge Proposal: "Multi-Country ERP &amp; Stockist Visibility Audit" (SEK 320,000 / €29,000│
│  • Value Driver: Replaces 4-month Excel cycles with real-time stockist inventory portals │
│                                                                                          │
│  [ PACKAGE D: CDMO &amp; Chemical Manufacturing Batch Optimization (API Margin Defense) ]    │
│  • Target: Recipharm, Cambrex Karlskoga, PolyPeptide, Fresenius Kabi, Meribel            │
│  • Wedge Proposal: "Chemical Synthesis Cycle-Time Benchmark" (SEK 370,000 / €33,500)     │
│  • Value Driver: Compresses cleanroom changeover and raw material buffer costs by 18%    │
│                                                                                          │
│  [ PACKAGE E: EU AI Act High-Risk Audit &amp; GxP Life Sciences Cloud Hosting ]              │
│  • Target: AMRA Medical, Elypta, Pixelgen Technologies, Qlucore, Sims</x:v>
      </x:c>
      <x:c r="J466" s="5" t="str">
        <x:v>SOURCE QUOTE; unvalidated / superseded assessments</x:v>
      </x:c>
      <x:c r="L466" s="31" t="str">
        <x:v>D06, Markdown line 125; http://nas-1.tail55d152.ts.net:4100/static/MEDICAL_NORDICS_FINANCIALS_DOSSIER.html</x:v>
      </x:c>
    </x:row>
    <x:row r="467" ht="154" customHeight="1">
      <x:c r="A467" s="5" t="str">
        <x:v>D06</x:v>
      </x:c>
      <x:c r="B467" s="5" t="str">
        <x:v>D06-L0125-3</x:v>
      </x:c>
      <x:c r="C467" s="5" t="str">
        <x:v>3. Service Package Mapping &amp; Sub-€35k Entry Wedges</x:v>
      </x:c>
      <x:c r="D467" s="5" t="n">
        <x:v>125</x:v>
      </x:c>
      <x:c r="E467" s="5" t="n">
        <x:v>156</x:v>
      </x:c>
      <x:c r="F467" s="5" t="str">
        <x:v>diagram / code</x:v>
      </x:c>
      <x:c r="G467" s="5" t="n">
        <x:v>3</x:v>
      </x:c>
      <x:c r="H467" s="5" t="n">
        <x:v>3</x:v>
      </x:c>
      <x:c r="I467" s="5" t="str">
        <x:v>en Diagnostics      │
│  • Wedge Proposal: "Annex III High-Risk AI Conformity Audit" (SEK 340,000 / €31,000)     │
│  • Value Driver: Turnkey Notified Body audit readiness hosted in Finnish ISO cloud       │
│                                                                                          │
+──────────────────────────────────────────────────────────────────────────────────────────+
```</x:v>
      </x:c>
      <x:c r="J467" s="5" t="str">
        <x:v>SOURCE QUOTE; unvalidated / superseded assessments</x:v>
      </x:c>
      <x:c r="L467" s="31" t="str">
        <x:v>D06, Markdown line 125; http://nas-1.tail55d152.ts.net:4100/static/MEDICAL_NORDICS_FINANCIALS_DOSSIER.html</x:v>
      </x:c>
    </x:row>
    <x:row r="468" ht="42" customHeight="1">
      <x:c r="A468" s="5" t="str">
        <x:v>D06</x:v>
      </x:c>
      <x:c r="B468" s="5" t="str">
        <x:v>D06-L0160-1</x:v>
      </x:c>
      <x:c r="C468" s="5" t="str">
        <x:v>4. Epistemic Governance Matrix: ACH &amp; NATO Admiralty</x:v>
      </x:c>
      <x:c r="D468" s="5" t="n">
        <x:v>160</x:v>
      </x:c>
      <x:c r="E468" s="5" t="n">
        <x:v>160</x:v>
      </x:c>
      <x:c r="F468" s="5" t="str">
        <x:v>heading</x:v>
      </x:c>
      <x:c r="G468" s="5" t="n">
        <x:v>1</x:v>
      </x:c>
      <x:c r="H468" s="5" t="n">
        <x:v>1</x:v>
      </x:c>
      <x:c r="I468" s="5" t="str">
        <x:v>## 4. Epistemic Governance Matrix: ACH &amp; NATO Admiralty</x:v>
      </x:c>
      <x:c r="J468" s="5" t="str">
        <x:v>SOURCE QUOTE; unvalidated / superseded assessments</x:v>
      </x:c>
      <x:c r="L468" s="31" t="str">
        <x:v>D06, Markdown line 160; http://nas-1.tail55d152.ts.net:4100/static/MEDICAL_NORDICS_FINANCIALS_DOSSIER.html</x:v>
      </x:c>
    </x:row>
    <x:row r="469" ht="42" customHeight="1">
      <x:c r="A469" s="5" t="str">
        <x:v>D06</x:v>
      </x:c>
      <x:c r="B469" s="5" t="str">
        <x:v>D06-L0162-1</x:v>
      </x:c>
      <x:c r="C469" s="5" t="str">
        <x:v>4. Epistemic Governance Matrix: ACH &amp; NATO Admiralty</x:v>
      </x:c>
      <x:c r="D469" s="5" t="n">
        <x:v>162</x:v>
      </x:c>
      <x:c r="E469" s="5" t="n">
        <x:v>162</x:v>
      </x:c>
      <x:c r="F469" s="5" t="str">
        <x:v>text</x:v>
      </x:c>
      <x:c r="G469" s="5" t="n">
        <x:v>1</x:v>
      </x:c>
      <x:c r="H469" s="5" t="n">
        <x:v>1</x:v>
      </x:c>
      <x:c r="I469" s="5" t="str">
        <x:v>The targeting methodology is governed by formal epistemic validation compiled via OCaml (`ach_admiralty_engine.ml`):</x:v>
      </x:c>
      <x:c r="J469" s="5" t="str">
        <x:v>SOURCE QUOTE; unvalidated / superseded assessments</x:v>
      </x:c>
      <x:c r="L469" s="31" t="str">
        <x:v>D06, Markdown line 162; http://nas-1.tail55d152.ts.net:4100/static/MEDICAL_NORDICS_FINANCIALS_DOSSIER.html</x:v>
      </x:c>
    </x:row>
    <x:row r="470" ht="42" customHeight="1">
      <x:c r="A470" s="5" t="str">
        <x:v>D06</x:v>
      </x:c>
      <x:c r="B470" s="5" t="str">
        <x:v>D06-L0164-1</x:v>
      </x:c>
      <x:c r="C470" s="5" t="str">
        <x:v>Analysis of Competing Hypotheses (ACH):</x:v>
      </x:c>
      <x:c r="D470" s="5" t="n">
        <x:v>164</x:v>
      </x:c>
      <x:c r="E470" s="5" t="n">
        <x:v>164</x:v>
      </x:c>
      <x:c r="F470" s="5" t="str">
        <x:v>heading</x:v>
      </x:c>
      <x:c r="G470" s="5" t="n">
        <x:v>1</x:v>
      </x:c>
      <x:c r="H470" s="5" t="n">
        <x:v>1</x:v>
      </x:c>
      <x:c r="I470" s="5" t="str">
        <x:v>### Analysis of Competing Hypotheses (ACH):</x:v>
      </x:c>
      <x:c r="J470" s="5" t="str">
        <x:v>SOURCE QUOTE; unvalidated / superseded assessments</x:v>
      </x:c>
      <x:c r="L470" s="31" t="str">
        <x:v>D06, Markdown line 164; http://nas-1.tail55d152.ts.net:4100/static/MEDICAL_NORDICS_FINANCIALS_DOSSIER.html</x:v>
      </x:c>
    </x:row>
    <x:row r="471" ht="140" customHeight="1">
      <x:c r="A471" s="5" t="str">
        <x:v>D06</x:v>
      </x:c>
      <x:c r="B471" s="5" t="str">
        <x:v>D06-L0165-1</x:v>
      </x:c>
      <x:c r="C471" s="5" t="str">
        <x:v>Analysis of Competing Hypotheses (ACH):</x:v>
      </x:c>
      <x:c r="D471" s="5" t="n">
        <x:v>165</x:v>
      </x:c>
      <x:c r="E471" s="5" t="n">
        <x:v>167</x:v>
      </x:c>
      <x:c r="F471" s="5" t="str">
        <x:v>text</x:v>
      </x:c>
      <x:c r="G471" s="5" t="n">
        <x:v>1</x:v>
      </x:c>
      <x:c r="H471" s="5" t="n">
        <x:v>1</x:v>
      </x:c>
      <x:c r="I471" s="5" t="str">
        <x:v>- **Hypothesis $H_1$ (Standalone Enterprise Software Sales)**: **REFUTED** (Inconsistency Score: **$-5.9$**). Nordic hospital systems reject software-only pitches lacking local clinical regulatory accountability and implementation support.
- **Hypothesis $H_2$ (Pure-Play Advisory / Staffing Body-Shop)**: **DISFAVORED** (Inconsistency Score: **$-2.8$**). Squeezed by incumbent Nordic consultancies (Plantvision, Knightec) with lower overheads.
- **Hypothesis $H_3$ (Asymmetric Hybrid Enabler with Swedish Prime)**: **DECISIVELY CONFIRMED** (Inconsistency Score: **$0.0$**). Combines proprietary software (HCare360, Numantra AI) with senior advisory and local Swedish corporate invoicing (Bountytek AB).</x:v>
      </x:c>
      <x:c r="J471" s="5" t="str">
        <x:v>SOURCE QUOTE; unvalidated / superseded assessments</x:v>
      </x:c>
      <x:c r="L471" s="31" t="str">
        <x:v>D06, Markdown line 165; http://nas-1.tail55d152.ts.net:4100/static/MEDICAL_NORDICS_FINANCIALS_DOSSIER.html</x:v>
      </x:c>
    </x:row>
    <x:row r="472" ht="42" customHeight="1">
      <x:c r="A472" s="5" t="str">
        <x:v>D06</x:v>
      </x:c>
      <x:c r="B472" s="5" t="str">
        <x:v>D06-L0169-1</x:v>
      </x:c>
      <x:c r="C472" s="5" t="str">
        <x:v>NATO STANAG 2017/2018 Admiralty Ratings:</x:v>
      </x:c>
      <x:c r="D472" s="5" t="n">
        <x:v>169</x:v>
      </x:c>
      <x:c r="E472" s="5" t="n">
        <x:v>169</x:v>
      </x:c>
      <x:c r="F472" s="5" t="str">
        <x:v>heading</x:v>
      </x:c>
      <x:c r="G472" s="5" t="n">
        <x:v>1</x:v>
      </x:c>
      <x:c r="H472" s="5" t="n">
        <x:v>1</x:v>
      </x:c>
      <x:c r="I472" s="5" t="str">
        <x:v>### NATO STANAG 2017/2018 Admiralty Ratings:</x:v>
      </x:c>
      <x:c r="J472" s="5" t="str">
        <x:v>SOURCE QUOTE; unvalidated / superseded assessments</x:v>
      </x:c>
      <x:c r="L472" s="31" t="str">
        <x:v>D06, Markdown line 169; http://nas-1.tail55d152.ts.net:4100/static/MEDICAL_NORDICS_FINANCIALS_DOSSIER.html</x:v>
      </x:c>
    </x:row>
    <x:row r="473" ht="112" customHeight="1">
      <x:c r="A473" s="5" t="str">
        <x:v>D06</x:v>
      </x:c>
      <x:c r="B473" s="5" t="str">
        <x:v>D06-L0170-1</x:v>
      </x:c>
      <x:c r="C473" s="5" t="str">
        <x:v>NATO STANAG 2017/2018 Admiralty Ratings:</x:v>
      </x:c>
      <x:c r="D473" s="5" t="n">
        <x:v>170</x:v>
      </x:c>
      <x:c r="E473" s="5" t="n">
        <x:v>172</x:v>
      </x:c>
      <x:c r="F473" s="5" t="str">
        <x:v>text</x:v>
      </x:c>
      <x:c r="G473" s="5" t="n">
        <x:v>1</x:v>
      </x:c>
      <x:c r="H473" s="5" t="n">
        <x:v>1</x:v>
      </x:c>
      <x:c r="I473" s="5" t="str">
        <x:v>- **Bountytek AB (Swedish Prime Contractor)**: **A1** (Completely reliable source; information confirmed by official corporate registries, Bolagsverket, and tax authorities).
- **2S Consulting &amp; Numantra Technologies**: **A2** (Completely reliable source; information probably true based on audited client deployments at Merck, Sanofi, and Novartis).
- **Nordic Target Financials**: **B2** (Usually reliable source; financial disclosures verified via Nasdaq Stockholm, First North, Spotlight, SEC Form 10-K, and Bolagsverket annual reports).</x:v>
      </x:c>
      <x:c r="J473" s="5" t="str">
        <x:v>SOURCE QUOTE; unvalidated / superseded assessments</x:v>
      </x:c>
      <x:c r="L473" s="31" t="str">
        <x:v>D06, Markdown line 170; http://nas-1.tail55d152.ts.net:4100/static/MEDICAL_NORDICS_FINANCIALS_DOSSIER.html</x:v>
      </x:c>
    </x:row>
    <x:row r="474" ht="42" customHeight="1">
      <x:c r="A474" s="5" t="str">
        <x:v>D06</x:v>
      </x:c>
      <x:c r="B474" s="5" t="str">
        <x:v>D06-L0176-1</x:v>
      </x:c>
      <x:c r="C474" s="5" t="str">
        <x:v>5. Complete Company Financial Table (135 Facilities Analyzed)</x:v>
      </x:c>
      <x:c r="D474" s="5" t="n">
        <x:v>176</x:v>
      </x:c>
      <x:c r="E474" s="5" t="n">
        <x:v>176</x:v>
      </x:c>
      <x:c r="F474" s="5" t="str">
        <x:v>heading</x:v>
      </x:c>
      <x:c r="G474" s="5" t="n">
        <x:v>1</x:v>
      </x:c>
      <x:c r="H474" s="5" t="n">
        <x:v>1</x:v>
      </x:c>
      <x:c r="I474" s="5" t="str">
        <x:v>## 5. Complete Company Financial Table (135 Facilities Analyzed)</x:v>
      </x:c>
      <x:c r="J474" s="5" t="str">
        <x:v>SOURCE QUOTE; unvalidated / superseded assessments</x:v>
      </x:c>
      <x:c r="L474" s="31" t="str">
        <x:v>D06, Markdown line 176; http://nas-1.tail55d152.ts.net:4100/static/MEDICAL_NORDICS_FINANCIALS_DOSSIER.html</x:v>
      </x:c>
    </x:row>
    <x:row r="475" ht="56" customHeight="1">
      <x:c r="A475" s="5" t="str">
        <x:v>D06</x:v>
      </x:c>
      <x:c r="B475" s="5" t="str">
        <x:v>D06-L0178-1</x:v>
      </x:c>
      <x:c r="C475" s="5" t="str">
        <x:v>5. Complete Company Financial Table (135 Facilities Analyzed)</x:v>
      </x:c>
      <x:c r="D475" s="5" t="n">
        <x:v>178</x:v>
      </x:c>
      <x:c r="E475" s="5" t="n">
        <x:v>178</x:v>
      </x:c>
      <x:c r="F475" s="5" t="str">
        <x:v>text</x:v>
      </x:c>
      <x:c r="G475" s="5" t="n">
        <x:v>1</x:v>
      </x:c>
      <x:c r="H475" s="5" t="n">
        <x:v>1</x:v>
      </x:c>
      <x:c r="I475" s="5" t="str">
        <x:v>The table below catalogs the 135 facilities across Sweden and the Nordics, with audited turnover, R&amp;D expenditure, fiscal period, corporate ownership, and strategic service alignment:</x:v>
      </x:c>
      <x:c r="J475" s="5" t="str">
        <x:v>SOURCE QUOTE; unvalidated / superseded assessments</x:v>
      </x:c>
      <x:c r="L475" s="31" t="str">
        <x:v>D06, Markdown line 178; http://nas-1.tail55d152.ts.net:4100/static/MEDICAL_NORDICS_FINANCIALS_DOSSIER.html</x:v>
      </x:c>
    </x:row>
    <x:row r="476" ht="42" customHeight="1">
      <x:c r="A476" s="5" t="str">
        <x:v>D06</x:v>
      </x:c>
      <x:c r="B476" s="5" t="str">
        <x:v>D06-L0320-1</x:v>
      </x:c>
      <x:c r="C476" s="5" t="str">
        <x:v>6. Operational Handover &amp; Next Actions</x:v>
      </x:c>
      <x:c r="D476" s="5" t="n">
        <x:v>320</x:v>
      </x:c>
      <x:c r="E476" s="5" t="n">
        <x:v>320</x:v>
      </x:c>
      <x:c r="F476" s="5" t="str">
        <x:v>heading</x:v>
      </x:c>
      <x:c r="G476" s="5" t="n">
        <x:v>1</x:v>
      </x:c>
      <x:c r="H476" s="5" t="n">
        <x:v>1</x:v>
      </x:c>
      <x:c r="I476" s="5" t="str">
        <x:v>## 6. Operational Handover &amp; Next Actions</x:v>
      </x:c>
      <x:c r="J476" s="5" t="str">
        <x:v>SOURCE QUOTE; unvalidated / superseded assessments</x:v>
      </x:c>
      <x:c r="L476" s="31" t="str">
        <x:v>D06, Markdown line 320; http://nas-1.tail55d152.ts.net:4100/static/MEDICAL_NORDICS_FINANCIALS_DOSSIER.html</x:v>
      </x:c>
    </x:row>
    <x:row r="477" ht="42" customHeight="1">
      <x:c r="A477" s="5" t="str">
        <x:v>D06</x:v>
      </x:c>
      <x:c r="B477" s="5" t="str">
        <x:v>D06-L0322-1</x:v>
      </x:c>
      <x:c r="C477" s="5" t="str">
        <x:v>6. Operational Handover &amp; Next Actions</x:v>
      </x:c>
      <x:c r="D477" s="5" t="n">
        <x:v>322</x:v>
      </x:c>
      <x:c r="E477" s="5" t="n">
        <x:v>322</x:v>
      </x:c>
      <x:c r="F477" s="5" t="str">
        <x:v>text</x:v>
      </x:c>
      <x:c r="G477" s="5" t="n">
        <x:v>1</x:v>
      </x:c>
      <x:c r="H477" s="5" t="n">
        <x:v>1</x:v>
      </x:c>
      <x:c r="I477" s="5" t="str">
        <x:v>This audited directory acts as the operational data foundation for **Bountytek AB** and the **Codex Agent**:</x:v>
      </x:c>
      <x:c r="J477" s="5" t="str">
        <x:v>SOURCE QUOTE; unvalidated / superseded assessments</x:v>
      </x:c>
      <x:c r="L477" s="31" t="str">
        <x:v>D06, Markdown line 322; http://nas-1.tail55d152.ts.net:4100/static/MEDICAL_NORDICS_FINANCIALS_DOSSIER.html</x:v>
      </x:c>
    </x:row>
    <x:row r="478" ht="140" customHeight="1">
      <x:c r="A478" s="5" t="str">
        <x:v>D06</x:v>
      </x:c>
      <x:c r="B478" s="5" t="str">
        <x:v>D06-L0324-1</x:v>
      </x:c>
      <x:c r="C478" s="5" t="str">
        <x:v>6. Operational Handover &amp; Next Actions</x:v>
      </x:c>
      <x:c r="D478" s="5" t="n">
        <x:v>324</x:v>
      </x:c>
      <x:c r="E478" s="5" t="n">
        <x:v>326</x:v>
      </x:c>
      <x:c r="F478" s="5" t="str">
        <x:v>text</x:v>
      </x:c>
      <x:c r="G478" s="5" t="n">
        <x:v>1</x:v>
      </x:c>
      <x:c r="H478" s="5" t="n">
        <x:v>1</x:v>
      </x:c>
      <x:c r="I478" s="5" t="str">
        <x:v>1. **Immediate Execution of Account Outreach**: Focus on the Top 20 accounts detailed in [`2S_CONSULTING_NORDIC_OUTREACH_STRATEGY.html`](http://nas-1.tail55d152.ts.net:4100/static/2S_CONSULTING_NORDIC_OUTREACH_STRATEGY.html) using the 5 sub-€35k entry diagnostic wedges.
2. **Regional Hospital Tenders**: Leverage Bountytek AB’s domestic corporate standing to register for impending medical software and consulting tenders across *Region Stockholm*, *Region Skåne*, and *Västra Götalandsregionen*.
3. **Continuous Data Governance**: Periodically refresh company financial filings via Mojo automated crawlers to maintain 100% data freshness and compliance with C3I standards.</x:v>
      </x:c>
      <x:c r="J478" s="5" t="str">
        <x:v>SOURCE QUOTE; unvalidated / superseded assessments</x:v>
      </x:c>
      <x:c r="L478" s="31" t="str">
        <x:v>D06, Markdown line 324; http://nas-1.tail55d152.ts.net:4100/static/MEDICAL_NORDICS_FINANCIALS_DOSSIER.html</x:v>
      </x:c>
    </x:row>
    <x:row r="479" ht="42" customHeight="1">
      <x:c r="A479" s="5" t="str">
        <x:v>D06</x:v>
      </x:c>
      <x:c r="B479" s="5" t="str">
        <x:v>D06-L0329-1</x:v>
      </x:c>
      <x:c r="C479" s="5" t="str">
        <x:v>6. Operational Handover &amp; Next Actions</x:v>
      </x:c>
      <x:c r="D479" s="5" t="n">
        <x:v>329</x:v>
      </x:c>
      <x:c r="E479" s="5" t="n">
        <x:v>329</x:v>
      </x:c>
      <x:c r="F479" s="5" t="str">
        <x:v>text</x:v>
      </x:c>
      <x:c r="G479" s="5" t="n">
        <x:v>1</x:v>
      </x:c>
      <x:c r="H479" s="5" t="n">
        <x:v>1</x:v>
      </x:c>
      <x:c r="I479" s="5" t="str">
        <x:v>*Curated &amp; compiled under UOS &amp; C3I Institutional Governance Standards. Verified via Mojo v1.0.0 and OCaml v5.5.0.*</x:v>
      </x:c>
      <x:c r="J479" s="5" t="str">
        <x:v>SOURCE QUOTE; unvalidated / superseded assessments</x:v>
      </x:c>
      <x:c r="L479" s="31" t="str">
        <x:v>D06, Markdown line 329; http://nas-1.tail55d152.ts.net:4100/static/MEDICAL_NORDICS_FINANCIALS_DOSSIER.html</x:v>
      </x:c>
    </x:row>
    <x:row r="480" ht="84" customHeight="1">
      <x:c r="A480" s="5" t="str">
        <x:v>D07</x:v>
      </x:c>
      <x:c r="B480" s="5" t="str">
        <x:v>D07-L0001-1</x:v>
      </x:c>
      <x:c r="C480" s="5" t="str">
        <x:v>Document preamble</x:v>
      </x:c>
      <x:c r="D480" s="5" t="n">
        <x:v>1</x:v>
      </x:c>
      <x:c r="E480" s="5" t="n">
        <x:v>1</x:v>
      </x:c>
      <x:c r="F480" s="5" t="str">
        <x:v>text</x:v>
      </x:c>
      <x:c r="G480" s="5" t="n">
        <x:v>1</x:v>
      </x:c>
      <x:c r="H480" s="5" t="n">
        <x:v>1</x:v>
      </x:c>
      <x:c r="I480"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480" s="5" t="str">
        <x:v>SOURCE QUOTE; unvalidated / superseded assessments</x:v>
      </x:c>
      <x:c r="L480" s="31" t="str">
        <x:v>D07, Markdown line 1; http://nas-1.tail55d152.ts.net:4100/static/NORDIC_COMPETITOR_BENCHMARK_DECK.html</x:v>
      </x:c>
    </x:row>
    <x:row r="481" ht="42" customHeight="1">
      <x:c r="A481" s="5" t="str">
        <x:v>D07</x:v>
      </x:c>
      <x:c r="B481" s="5" t="str">
        <x:v>D07-L0003-1</x:v>
      </x:c>
      <x:c r="C481" s="5" t="str">
        <x:v>Nordic MedTech Competitor Benchmark &amp; Co-Opetition Presentation</x:v>
      </x:c>
      <x:c r="D481" s="5" t="n">
        <x:v>3</x:v>
      </x:c>
      <x:c r="E481" s="5" t="n">
        <x:v>3</x:v>
      </x:c>
      <x:c r="F481" s="5" t="str">
        <x:v>heading</x:v>
      </x:c>
      <x:c r="G481" s="5" t="n">
        <x:v>1</x:v>
      </x:c>
      <x:c r="H481" s="5" t="n">
        <x:v>1</x:v>
      </x:c>
      <x:c r="I481" s="5" t="str">
        <x:v># Nordic MedTech Competitor Benchmark &amp; Co-Opetition Presentation</x:v>
      </x:c>
      <x:c r="J481" s="5" t="str">
        <x:v>SOURCE QUOTE; unvalidated / superseded assessments</x:v>
      </x:c>
      <x:c r="L481" s="31" t="str">
        <x:v>D07, Markdown line 3; http://nas-1.tail55d152.ts.net:4100/static/NORDIC_COMPETITOR_BENCHMARK_DECK.html</x:v>
      </x:c>
    </x:row>
    <x:row r="482" ht="126" customHeight="1">
      <x:c r="A482" s="5" t="str">
        <x:v>D07</x:v>
      </x:c>
      <x:c r="B482" s="5" t="str">
        <x:v>D07-L0005-1</x:v>
      </x:c>
      <x:c r="C482" s="5" t="str">
        <x:v>Nordic MedTech Competitor Benchmark &amp; Co-Opetition Presentation</x:v>
      </x:c>
      <x:c r="D482" s="5" t="n">
        <x:v>5</x:v>
      </x:c>
      <x:c r="E482" s="5" t="n">
        <x:v>8</x:v>
      </x:c>
      <x:c r="F482" s="5" t="str">
        <x:v>text</x:v>
      </x:c>
      <x:c r="G482" s="5" t="n">
        <x:v>1</x:v>
      </x:c>
      <x:c r="H482" s="5" t="n">
        <x:v>1</x:v>
      </x:c>
      <x:c r="I482" s="5" t="str">
        <x:v>**Executive Slide Deck &amp; Strategic Narrative**  
*Governed by L0-codex-gpt-6-astra Sovereign Architecture • Mesh Node: `nas-1.tail55d152.ts.net:4100`*  
*Nordic Commercial Agent &amp; Prime Contractor*: **Bountytek AB** (Stockholm, Sweden) representing [2S Consulting](https://www.2sconsulting.com/) &amp; [Numantra Technologies](https://www.numantratech.ai/)  
*Timestamp: 2026-09-28 • Interactive Slide Deck: [NORDIC_COMPETITOR_BENCHMARK_DECK.html](http://nas-1.tail55d152.ts.net:4100/static/NORDIC_COMPETITOR_BENCHMARK_DECK.html)*</x:v>
      </x:c>
      <x:c r="J482" s="5" t="str">
        <x:v>SOURCE QUOTE; unvalidated / superseded assessments</x:v>
      </x:c>
      <x:c r="L482" s="31" t="str">
        <x:v>D07, Markdown line 5; http://nas-1.tail55d152.ts.net:4100/static/NORDIC_COMPETITOR_BENCHMARK_DECK.html</x:v>
      </x:c>
    </x:row>
    <x:row r="483" ht="42" customHeight="1">
      <x:c r="A483" s="5" t="str">
        <x:v>D07</x:v>
      </x:c>
      <x:c r="B483" s="5" t="str">
        <x:v>D07-L0012-1</x:v>
      </x:c>
      <x:c r="C483" s="5" t="str">
        <x:v>Slide 1: Competitor Landscape &amp; Executive Overview</x:v>
      </x:c>
      <x:c r="D483" s="5" t="n">
        <x:v>12</x:v>
      </x:c>
      <x:c r="E483" s="5" t="n">
        <x:v>12</x:v>
      </x:c>
      <x:c r="F483" s="5" t="str">
        <x:v>heading</x:v>
      </x:c>
      <x:c r="G483" s="5" t="n">
        <x:v>1</x:v>
      </x:c>
      <x:c r="H483" s="5" t="n">
        <x:v>1</x:v>
      </x:c>
      <x:c r="I483" s="5" t="str">
        <x:v>## Slide 1: Competitor Landscape &amp; Executive Overview</x:v>
      </x:c>
      <x:c r="J483" s="5" t="str">
        <x:v>SOURCE QUOTE; unvalidated / superseded assessments</x:v>
      </x:c>
      <x:c r="L483" s="31" t="str">
        <x:v>D07, Markdown line 12; http://nas-1.tail55d152.ts.net:4100/static/NORDIC_COMPETITOR_BENCHMARK_DECK.html</x:v>
      </x:c>
    </x:row>
    <x:row r="484" ht="168" customHeight="1">
      <x:c r="A484" s="5" t="str">
        <x:v>D07</x:v>
      </x:c>
      <x:c r="B484" s="5" t="str">
        <x:v>D07-L0013-1</x:v>
      </x:c>
      <x:c r="C484" s="5" t="str">
        <x:v>Slide 1: Competitor Landscape &amp; Executive Overview</x:v>
      </x:c>
      <x:c r="D484" s="5" t="n">
        <x:v>13</x:v>
      </x:c>
      <x:c r="E484" s="5" t="n">
        <x:v>19</x:v>
      </x:c>
      <x:c r="F484" s="5" t="str">
        <x:v>text</x:v>
      </x:c>
      <x:c r="G484" s="5" t="n">
        <x:v>1</x:v>
      </x:c>
      <x:c r="H484" s="5" t="n">
        <x:v>1</x:v>
      </x:c>
      <x:c r="I484" s="5" t="str">
        <x:v>- **Title**: Nordic MedTech Competitor Landscape &amp; Peer Benchmarking
- **Subtitle**: In-depth profiling of 12 incumbent consultancies &amp; 2S Consulting's asymmetric advantage
- **Core Summary**: A comprehensive strategic analysis examining the four incumbent consulting archetypes in Scandinavia, exposing critical delivery blindspots, and detailing co-opetition partnership models.
- **Key Dimensions**:
  - 12 Peer Consultancies mapped across Sweden, Denmark, and Norway
  - 4 Structural Archetypes analyzed
  - Proprietary asymmetric assets (HCare360 NLP, Hospital DaaS calculators, Finnish GxP cloud)</x:v>
      </x:c>
      <x:c r="J484" s="5" t="str">
        <x:v>SOURCE QUOTE; unvalidated / superseded assessments</x:v>
      </x:c>
      <x:c r="L484" s="31" t="str">
        <x:v>D07, Markdown line 13; http://nas-1.tail55d152.ts.net:4100/static/NORDIC_COMPETITOR_BENCHMARK_DECK.html</x:v>
      </x:c>
    </x:row>
    <x:row r="485" ht="42" customHeight="1">
      <x:c r="A485" s="5" t="str">
        <x:v>D07</x:v>
      </x:c>
      <x:c r="B485" s="5" t="str">
        <x:v>D07-L0023-1</x:v>
      </x:c>
      <x:c r="C485" s="5" t="str">
        <x:v>Slide 2: The Four Competitor Archetypes</x:v>
      </x:c>
      <x:c r="D485" s="5" t="n">
        <x:v>23</x:v>
      </x:c>
      <x:c r="E485" s="5" t="n">
        <x:v>23</x:v>
      </x:c>
      <x:c r="F485" s="5" t="str">
        <x:v>heading</x:v>
      </x:c>
      <x:c r="G485" s="5" t="n">
        <x:v>1</x:v>
      </x:c>
      <x:c r="H485" s="5" t="n">
        <x:v>1</x:v>
      </x:c>
      <x:c r="I485" s="5" t="str">
        <x:v>## Slide 2: The Four Competitor Archetypes</x:v>
      </x:c>
      <x:c r="J485" s="5" t="str">
        <x:v>SOURCE QUOTE; unvalidated / superseded assessments</x:v>
      </x:c>
      <x:c r="L485" s="31" t="str">
        <x:v>D07, Markdown line 23; http://nas-1.tail55d152.ts.net:4100/static/NORDIC_COMPETITOR_BENCHMARK_DECK.html</x:v>
      </x:c>
    </x:row>
    <x:row r="486" ht="238" customHeight="1">
      <x:c r="A486" s="5" t="str">
        <x:v>D07</x:v>
      </x:c>
      <x:c r="B486" s="5" t="str">
        <x:v>D07-L0024-1</x:v>
      </x:c>
      <x:c r="C486" s="5" t="str">
        <x:v>Slide 2: The Four Competitor Archetypes</x:v>
      </x:c>
      <x:c r="D486" s="5" t="n">
        <x:v>24</x:v>
      </x:c>
      <x:c r="E486" s="5" t="n">
        <x:v>35</x:v>
      </x:c>
      <x:c r="F486" s="5" t="str">
        <x:v>text</x:v>
      </x:c>
      <x:c r="G486" s="5" t="n">
        <x:v>1</x:v>
      </x:c>
      <x:c r="H486" s="5" t="n">
        <x:v>1</x:v>
      </x:c>
      <x:c r="I486" s="5" t="str">
        <x:v>1. **Product Engineering Consultancies (Semcon, Knightec Group, Prevas AB)**:
   - Strengths: Heavy mechanical design, plastic tooling, CAD/CAM, embedded firmware.
   - Gaps: Software as a Medical Device (SaMD), clinical evaluation, EU AI Act algorithmic auditing, hospital HEOR economics.
2. **Pure-Play RA/QA Specialists (Qadvis AB, Key2Compliance, Emergo by UL)**:
   - Strengths: ISO 13485, MDR technical files, quality system documentation.
   - Gaps: 100% manual billable hour model, lack clinical trial NLP tools, zero commercial sales portal software capability.
3. **Full-Service Regional CROs (LINK Medical Research, Syntagon AB)**:
   - Strengths: Clinical trial site monitoring, bioanalysis, protocol authoring.
   - Gaps: Slow manual patient recruitment, rising monitoring overhead, no AI clinical trial screening software.
4. **Tier-1 Strategy &amp; Management Houses (PA Consulting, Sirona Health Solutions)**:
   - Strengths: Boardroom strategy, public healthcare transformation, M&amp;A due diligence.
   - Gaps: Cost-prohibitive fees (€3,500 - €5,000/day) with near-zero hands-on regulatory technical file execution.</x:v>
      </x:c>
      <x:c r="J486" s="5" t="str">
        <x:v>SOURCE QUOTE; unvalidated / superseded assessments</x:v>
      </x:c>
      <x:c r="L486" s="31" t="str">
        <x:v>D07, Markdown line 24; http://nas-1.tail55d152.ts.net:4100/static/NORDIC_COMPETITOR_BENCHMARK_DECK.html</x:v>
      </x:c>
    </x:row>
    <x:row r="487" ht="42" customHeight="1">
      <x:c r="A487" s="5" t="str">
        <x:v>D07</x:v>
      </x:c>
      <x:c r="B487" s="5" t="str">
        <x:v>D07-L0039-1</x:v>
      </x:c>
      <x:c r="C487" s="5" t="str">
        <x:v>Slide 3: 12 Peer Consultancies Directory &amp; Relationship Dynamic</x:v>
      </x:c>
      <x:c r="D487" s="5" t="n">
        <x:v>39</x:v>
      </x:c>
      <x:c r="E487" s="5" t="n">
        <x:v>39</x:v>
      </x:c>
      <x:c r="F487" s="5" t="str">
        <x:v>heading</x:v>
      </x:c>
      <x:c r="G487" s="5" t="n">
        <x:v>1</x:v>
      </x:c>
      <x:c r="H487" s="5" t="n">
        <x:v>1</x:v>
      </x:c>
      <x:c r="I487" s="5" t="str">
        <x:v>## Slide 3: 12 Peer Consultancies Directory &amp; Relationship Dynamic</x:v>
      </x:c>
      <x:c r="J487" s="5" t="str">
        <x:v>SOURCE QUOTE; unvalidated / superseded assessments</x:v>
      </x:c>
      <x:c r="L487" s="31" t="str">
        <x:v>D07, Markdown line 39; http://nas-1.tail55d152.ts.net:4100/static/NORDIC_COMPETITOR_BENCHMARK_DECK.html</x:v>
      </x:c>
    </x:row>
    <x:row r="488" ht="252" customHeight="1">
      <x:c r="A488" s="5" t="str">
        <x:v>D07</x:v>
      </x:c>
      <x:c r="B488" s="5" t="str">
        <x:v>D07-L0040-1</x:v>
      </x:c>
      <x:c r="C488" s="5" t="str">
        <x:v>Slide 3: 12 Peer Consultancies Directory &amp; Relationship Dynamic</x:v>
      </x:c>
      <x:c r="D488" s="5" t="n">
        <x:v>40</x:v>
      </x:c>
      <x:c r="E488" s="5" t="n">
        <x:v>51</x:v>
      </x:c>
      <x:c r="F488" s="5" t="str">
        <x:v>text</x:v>
      </x:c>
      <x:c r="G488" s="5" t="n">
        <x:v>1</x:v>
      </x:c>
      <x:c r="H488" s="5" t="n">
        <x:v>2</x:v>
      </x:c>
      <x:c r="I488" s="5" t="str">
        <x:v>1. **Plantvision AB (~200 staff, Stockholm/Uppsala)**: GxP compliance &amp; CSV. *Dynamic: Co-Opetition on AI Act algorithmic compliance.*
2. **Knightec Group (~800 staff, Stockholm/Gothenburg/Lund)**: Mechanical &amp; systems engineering. *Dynamic: Subcontracting for SaMD IEC 62304 architecture.*
3. **Qadvis AB (~35 staff, Stockholm/Lund)**: MDR/IVDR regulatory advisory. *Dynamic: Technology Partner licensing HCare360 NLP.*
4. **Semcon (~1,200 staff, Gothenburg/Stockholm)**: Product design &amp; aftermarket. *Dynamic: Co-selling Alliance for Device DaaS &amp; hospital economics.*
5. **Prevas AB (~900 staff, Västerås/Malmö)**: Industrial IoT &amp; embedded systems. *Dynamic: Subcontracting for medical cloud cybersecurity (MDCG 2019-16).*
6. **Emergo by UL (~2,500 global, Stockholm office)**: Global market access. *Dynamic: Counter-positioning as agile, local SWAT team.*
7. **LINK Medical (~250 staff, Oslo/Stockholm/Copenhagen)**: Full-service CRO. *Dynamic: Technology Partner deploying HCare360 NLP patient screening.*
8. **PA Consulting (~4,000 global, Nordic offices)**: Public strategy &amp; transformation. *Dynamic: Technical execution partner for digital health.*
9. **Celegence (~150 staff, Nordic deli</x:v>
      </x:c>
      <x:c r="J488" s="5" t="str">
        <x:v>SOURCE QUOTE; unvalidated / superseded assessments</x:v>
      </x:c>
      <x:c r="L488" s="31" t="str">
        <x:v>D07, Markdown line 40; http://nas-1.tail55d152.ts.net:4100/static/NORDIC_COMPETITOR_BENCHMARK_DECK.html</x:v>
      </x:c>
    </x:row>
    <x:row r="489" ht="126" customHeight="1">
      <x:c r="A489" s="5" t="str">
        <x:v>D07</x:v>
      </x:c>
      <x:c r="B489" s="5" t="str">
        <x:v>D07-L0040-2</x:v>
      </x:c>
      <x:c r="C489" s="5" t="str">
        <x:v>Slide 3: 12 Peer Consultancies Directory &amp; Relationship Dynamic</x:v>
      </x:c>
      <x:c r="D489" s="5" t="n">
        <x:v>40</x:v>
      </x:c>
      <x:c r="E489" s="5" t="n">
        <x:v>51</x:v>
      </x:c>
      <x:c r="F489" s="5" t="str">
        <x:v>text</x:v>
      </x:c>
      <x:c r="G489" s="5" t="n">
        <x:v>2</x:v>
      </x:c>
      <x:c r="H489" s="5" t="n">
        <x:v>2</x:v>
      </x:c>
      <x:c r="I489" s="5" t="str">
        <x:v>very)**: Regulatory operations &amp; technical files. *Dynamic: On-the-ground Nordic clinical execution partner.*
10. **Sirona Health Solutions (~40 staff, Stockholm/Copenhagen)**: Health policy &amp; economics. *Dynamic: Commercial co-sell for hospital DaaS calculators.*
11. **Key2Compliance (~80 staff, Stockholm/Lund)**: QA/RA training &amp; auditing. *Dynamic: Cross-referral partner for technical software remediation.*
12. **Syntagon AB (~45 staff, Södertälje)**: Early API synthesis &amp; CMC. *Dynamic: Bridge early chemistry to downstream clinical trial governance.*</x:v>
      </x:c>
      <x:c r="J489" s="5" t="str">
        <x:v>SOURCE QUOTE; unvalidated / superseded assessments</x:v>
      </x:c>
      <x:c r="L489" s="31" t="str">
        <x:v>D07, Markdown line 40; http://nas-1.tail55d152.ts.net:4100/static/NORDIC_COMPETITOR_BENCHMARK_DECK.html</x:v>
      </x:c>
    </x:row>
    <x:row r="490" ht="42" customHeight="1">
      <x:c r="A490" s="5" t="str">
        <x:v>D07</x:v>
      </x:c>
      <x:c r="B490" s="5" t="str">
        <x:v>D07-L0055-1</x:v>
      </x:c>
      <x:c r="C490" s="5" t="str">
        <x:v>Slide 4: Market Capability Heatmap &amp; Delivery Blindspots</x:v>
      </x:c>
      <x:c r="D490" s="5" t="n">
        <x:v>55</x:v>
      </x:c>
      <x:c r="E490" s="5" t="n">
        <x:v>55</x:v>
      </x:c>
      <x:c r="F490" s="5" t="str">
        <x:v>heading</x:v>
      </x:c>
      <x:c r="G490" s="5" t="n">
        <x:v>1</x:v>
      </x:c>
      <x:c r="H490" s="5" t="n">
        <x:v>1</x:v>
      </x:c>
      <x:c r="I490" s="5" t="str">
        <x:v>## Slide 4: Market Capability Heatmap &amp; Delivery Blindspots</x:v>
      </x:c>
      <x:c r="J490" s="5" t="str">
        <x:v>SOURCE QUOTE; unvalidated / superseded assessments</x:v>
      </x:c>
      <x:c r="L490" s="31" t="str">
        <x:v>D07, Markdown line 55; http://nas-1.tail55d152.ts.net:4100/static/NORDIC_COMPETITOR_BENCHMARK_DECK.html</x:v>
      </x:c>
    </x:row>
    <x:row r="491" ht="182" customHeight="1">
      <x:c r="A491" s="5" t="str">
        <x:v>D07</x:v>
      </x:c>
      <x:c r="B491" s="5" t="str">
        <x:v>D07-L0056-1</x:v>
      </x:c>
      <x:c r="C491" s="5" t="str">
        <x:v>Slide 4: Market Capability Heatmap &amp; Delivery Blindspots</x:v>
      </x:c>
      <x:c r="D491" s="5" t="n">
        <x:v>56</x:v>
      </x:c>
      <x:c r="E491" s="5" t="n">
        <x:v>61</x:v>
      </x:c>
      <x:c r="F491" s="5" t="str">
        <x:v>text</x:v>
      </x:c>
      <x:c r="G491" s="5" t="n">
        <x:v>1</x:v>
      </x:c>
      <x:c r="H491" s="5" t="n">
        <x:v>1</x:v>
      </x:c>
      <x:c r="I491" s="5" t="str">
        <x:v>- **Hardware &amp; Enclosure Design**: Engineering firms dominant (5/5); 2S partners via alliance.
- **MDR Technical File Authoring**: RA/QA specialists dominant (5/5); 2S matches with expert execution (5/5).
- **EU AI Act Algorithmic Audit**: Completely absent across competitors (1/5); 2S holds exclusive advantage (5/5).
- **HCare360 Clinical NLP Screening**: Absent in engineering/QA shops (1/5); 2S holds proprietary asset (5/5).
- **Hospital CFO DaaS Economics**: Absent across all competitors (1/5); 2S core specialty (5/5).
- **Sovereign Cloud Hosting (ISO 27001)**: Generic or absent among peers; 2S provides Finnish GxP cloud (5/5).</x:v>
      </x:c>
      <x:c r="J491" s="5" t="str">
        <x:v>SOURCE QUOTE; unvalidated / superseded assessments</x:v>
      </x:c>
      <x:c r="L491" s="31" t="str">
        <x:v>D07, Markdown line 56; http://nas-1.tail55d152.ts.net:4100/static/NORDIC_COMPETITOR_BENCHMARK_DECK.html</x:v>
      </x:c>
    </x:row>
    <x:row r="492" ht="42" customHeight="1">
      <x:c r="A492" s="5" t="str">
        <x:v>D07</x:v>
      </x:c>
      <x:c r="B492" s="5" t="str">
        <x:v>D07-L0065-1</x:v>
      </x:c>
      <x:c r="C492" s="5" t="str">
        <x:v>Slide 5: The Co-Opetition Playbook</x:v>
      </x:c>
      <x:c r="D492" s="5" t="n">
        <x:v>65</x:v>
      </x:c>
      <x:c r="E492" s="5" t="n">
        <x:v>65</x:v>
      </x:c>
      <x:c r="F492" s="5" t="str">
        <x:v>heading</x:v>
      </x:c>
      <x:c r="G492" s="5" t="n">
        <x:v>1</x:v>
      </x:c>
      <x:c r="H492" s="5" t="n">
        <x:v>1</x:v>
      </x:c>
      <x:c r="I492" s="5" t="str">
        <x:v>## Slide 5: The Co-Opetition Playbook</x:v>
      </x:c>
      <x:c r="J492" s="5" t="str">
        <x:v>SOURCE QUOTE; unvalidated / superseded assessments</x:v>
      </x:c>
      <x:c r="L492" s="31" t="str">
        <x:v>D07, Markdown line 65; http://nas-1.tail55d152.ts.net:4100/static/NORDIC_COMPETITOR_BENCHMARK_DECK.html</x:v>
      </x:c>
    </x:row>
    <x:row r="493" ht="98" customHeight="1">
      <x:c r="A493" s="5" t="str">
        <x:v>D07</x:v>
      </x:c>
      <x:c r="B493" s="5" t="str">
        <x:v>D07-L0066-1</x:v>
      </x:c>
      <x:c r="C493" s="5" t="str">
        <x:v>Slide 5: The Co-Opetition Playbook</x:v>
      </x:c>
      <x:c r="D493" s="5" t="n">
        <x:v>66</x:v>
      </x:c>
      <x:c r="E493" s="5" t="n">
        <x:v>67</x:v>
      </x:c>
      <x:c r="F493" s="5" t="str">
        <x:v>text</x:v>
      </x:c>
      <x:c r="G493" s="5" t="n">
        <x:v>1</x:v>
      </x:c>
      <x:c r="H493" s="5" t="n">
        <x:v>1</x:v>
      </x:c>
      <x:c r="I493" s="5" t="str">
        <x:v>- **The Incumbent Dilemma**: Large engineering firms are losing device development deals because clients mandate embedded software and AI compliance under MDR Rule 11. Hiring full-time specialists is too slow.
- **The 2S Subcontracting Solution**: We offer a standardized "Specialist SaMD &amp; AI Regulatory Pod". The lead engineering firm takes a 20% billing markup; 2S delivers the technical workstream with zero client acquisition cost.</x:v>
      </x:c>
      <x:c r="J493" s="5" t="str">
        <x:v>SOURCE QUOTE; unvalidated / superseded assessments</x:v>
      </x:c>
      <x:c r="L493" s="31" t="str">
        <x:v>D07, Markdown line 66; http://nas-1.tail55d152.ts.net:4100/static/NORDIC_COMPETITOR_BENCHMARK_DECK.html</x:v>
      </x:c>
    </x:row>
    <x:row r="494" ht="42" customHeight="1">
      <x:c r="A494" s="5" t="str">
        <x:v>D07</x:v>
      </x:c>
      <x:c r="B494" s="5" t="str">
        <x:v>D07-L0071-1</x:v>
      </x:c>
      <x:c r="C494" s="5" t="str">
        <x:v>Slide 6: Engineering Giants: Semcon &amp; Knightec</x:v>
      </x:c>
      <x:c r="D494" s="5" t="n">
        <x:v>71</x:v>
      </x:c>
      <x:c r="E494" s="5" t="n">
        <x:v>71</x:v>
      </x:c>
      <x:c r="F494" s="5" t="str">
        <x:v>heading</x:v>
      </x:c>
      <x:c r="G494" s="5" t="n">
        <x:v>1</x:v>
      </x:c>
      <x:c r="H494" s="5" t="n">
        <x:v>1</x:v>
      </x:c>
      <x:c r="I494" s="5" t="str">
        <x:v>## Slide 6: Engineering Giants: Semcon &amp; Knightec</x:v>
      </x:c>
      <x:c r="J494" s="5" t="str">
        <x:v>SOURCE QUOTE; unvalidated / superseded assessments</x:v>
      </x:c>
      <x:c r="L494" s="31" t="str">
        <x:v>D07, Markdown line 71; http://nas-1.tail55d152.ts.net:4100/static/NORDIC_COMPETITOR_BENCHMARK_DECK.html</x:v>
      </x:c>
    </x:row>
    <x:row r="495" ht="98" customHeight="1">
      <x:c r="A495" s="5" t="str">
        <x:v>D07</x:v>
      </x:c>
      <x:c r="B495" s="5" t="str">
        <x:v>D07-L0072-1</x:v>
      </x:c>
      <x:c r="C495" s="5" t="str">
        <x:v>Slide 6: Engineering Giants: Semcon &amp; Knightec</x:v>
      </x:c>
      <x:c r="D495" s="5" t="n">
        <x:v>72</x:v>
      </x:c>
      <x:c r="E495" s="5" t="n">
        <x:v>73</x:v>
      </x:c>
      <x:c r="F495" s="5" t="str">
        <x:v>text</x:v>
      </x:c>
      <x:c r="G495" s="5" t="n">
        <x:v>1</x:v>
      </x:c>
      <x:c r="H495" s="5" t="n">
        <x:v>1</x:v>
      </x:c>
      <x:c r="I495" s="5" t="str">
        <x:v>- **Semcon AB (Gothenburg)**: Co-develop the "Next-Gen Connected Care Package" where Semcon handles hardware ergonomics and 2S implements the hospital DaaS telemetric pricing and EU AI Act validation.
- **Knightec Group (Stockholm/Lund)**: White-label 2S's 90-Day Audit-Ready sprint into Knightec's medical device customer base across Medicon Village and the Lund life science corridor.</x:v>
      </x:c>
      <x:c r="J495" s="5" t="str">
        <x:v>SOURCE QUOTE; unvalidated / superseded assessments</x:v>
      </x:c>
      <x:c r="L495" s="31" t="str">
        <x:v>D07, Markdown line 72; http://nas-1.tail55d152.ts.net:4100/static/NORDIC_COMPETITOR_BENCHMARK_DECK.html</x:v>
      </x:c>
    </x:row>
    <x:row r="496" ht="42" customHeight="1">
      <x:c r="A496" s="5" t="str">
        <x:v>D07</x:v>
      </x:c>
      <x:c r="B496" s="5" t="str">
        <x:v>D07-L0077-1</x:v>
      </x:c>
      <x:c r="C496" s="5" t="str">
        <x:v>Slide 7: Pure Regulatory: Qadvis &amp; Emergo</x:v>
      </x:c>
      <x:c r="D496" s="5" t="n">
        <x:v>77</x:v>
      </x:c>
      <x:c r="E496" s="5" t="n">
        <x:v>77</x:v>
      </x:c>
      <x:c r="F496" s="5" t="str">
        <x:v>heading</x:v>
      </x:c>
      <x:c r="G496" s="5" t="n">
        <x:v>1</x:v>
      </x:c>
      <x:c r="H496" s="5" t="n">
        <x:v>1</x:v>
      </x:c>
      <x:c r="I496" s="5" t="str">
        <x:v>## Slide 7: Pure Regulatory: Qadvis &amp; Emergo</x:v>
      </x:c>
      <x:c r="J496" s="5" t="str">
        <x:v>SOURCE QUOTE; unvalidated / superseded assessments</x:v>
      </x:c>
      <x:c r="L496" s="31" t="str">
        <x:v>D07, Markdown line 77; http://nas-1.tail55d152.ts.net:4100/static/NORDIC_COMPETITOR_BENCHMARK_DECK.html</x:v>
      </x:c>
    </x:row>
    <x:row r="497" ht="84" customHeight="1">
      <x:c r="A497" s="5" t="str">
        <x:v>D07</x:v>
      </x:c>
      <x:c r="B497" s="5" t="str">
        <x:v>D07-L0078-1</x:v>
      </x:c>
      <x:c r="C497" s="5" t="str">
        <x:v>Slide 7: Pure Regulatory: Qadvis &amp; Emergo</x:v>
      </x:c>
      <x:c r="D497" s="5" t="n">
        <x:v>78</x:v>
      </x:c>
      <x:c r="E497" s="5" t="n">
        <x:v>79</x:v>
      </x:c>
      <x:c r="F497" s="5" t="str">
        <x:v>text</x:v>
      </x:c>
      <x:c r="G497" s="5" t="n">
        <x:v>1</x:v>
      </x:c>
      <x:c r="H497" s="5" t="n">
        <x:v>1</x:v>
      </x:c>
      <x:c r="I497" s="5" t="str">
        <x:v>- **Qadvis AB (Stockholm &amp; Lund)**: License HCare360 NLP to automate their manual Post-Market Clinical Follow-up (PMCF) literature reviews, reducing analysis time by 60%.
- **Emergo by UL (Global / Stockholm Office)**: Counter-position as the senior-led, agile Swedish/French SWAT team ready to remediate urgent Notified Body deficiency notices in 90 days.</x:v>
      </x:c>
      <x:c r="J497" s="5" t="str">
        <x:v>SOURCE QUOTE; unvalidated / superseded assessments</x:v>
      </x:c>
      <x:c r="L497" s="31" t="str">
        <x:v>D07, Markdown line 78; http://nas-1.tail55d152.ts.net:4100/static/NORDIC_COMPETITOR_BENCHMARK_DECK.html</x:v>
      </x:c>
    </x:row>
    <x:row r="498" ht="42" customHeight="1">
      <x:c r="A498" s="5" t="str">
        <x:v>D07</x:v>
      </x:c>
      <x:c r="B498" s="5" t="str">
        <x:v>D07-L0083-1</x:v>
      </x:c>
      <x:c r="C498" s="5" t="str">
        <x:v>Slide 8: Five Discovery Landmines to Set in Prospect Calls</x:v>
      </x:c>
      <x:c r="D498" s="5" t="n">
        <x:v>83</x:v>
      </x:c>
      <x:c r="E498" s="5" t="n">
        <x:v>83</x:v>
      </x:c>
      <x:c r="F498" s="5" t="str">
        <x:v>heading</x:v>
      </x:c>
      <x:c r="G498" s="5" t="n">
        <x:v>1</x:v>
      </x:c>
      <x:c r="H498" s="5" t="n">
        <x:v>1</x:v>
      </x:c>
      <x:c r="I498" s="5" t="str">
        <x:v>## Slide 8: Five Discovery Landmines to Set in Prospect Calls</x:v>
      </x:c>
      <x:c r="J498" s="5" t="str">
        <x:v>SOURCE QUOTE; unvalidated / superseded assessments</x:v>
      </x:c>
      <x:c r="L498" s="31" t="str">
        <x:v>D07, Markdown line 83; http://nas-1.tail55d152.ts.net:4100/static/NORDIC_COMPETITOR_BENCHMARK_DECK.html</x:v>
      </x:c>
    </x:row>
    <x:row r="499" ht="140" customHeight="1">
      <x:c r="A499" s="5" t="str">
        <x:v>D07</x:v>
      </x:c>
      <x:c r="B499" s="5" t="str">
        <x:v>D07-L0084-1</x:v>
      </x:c>
      <x:c r="C499" s="5" t="str">
        <x:v>Slide 8: Five Discovery Landmines to Set in Prospect Calls</x:v>
      </x:c>
      <x:c r="D499" s="5" t="n">
        <x:v>84</x:v>
      </x:c>
      <x:c r="E499" s="5" t="n">
        <x:v>86</x:v>
      </x:c>
      <x:c r="F499" s="5" t="str">
        <x:v>text</x:v>
      </x:c>
      <x:c r="G499" s="5" t="n">
        <x:v>1</x:v>
      </x:c>
      <x:c r="H499" s="5" t="n">
        <x:v>1</x:v>
      </x:c>
      <x:c r="I499" s="5" t="str">
        <x:v>1. *The Algorithmic AI Landmine*: "Does your current engineering partner provide formal mathematical explainability documentation and bias auditing compliant with EU AI Act Class IIb requirements?" (Exposes Semcon/Knightec gaps).
2. *The Hospital CFO DaaS Landmine*: "When you present your new connected device to hospital procurement, does your regulatory advisor provide an interactive health economic ROI model showing bed-day savings to the CFO?" (Exposes Qadvis/Emergo gaps).
3. *The Clinical NLP Screening Landmine*: "How many months is your clinical CRO budgeting to manually screen hospital patient records for your upcoming oncology trial?" (Exposes LINK Medical gaps).</x:v>
      </x:c>
      <x:c r="J499" s="5" t="str">
        <x:v>SOURCE QUOTE; unvalidated / superseded assessments</x:v>
      </x:c>
      <x:c r="L499" s="31" t="str">
        <x:v>D07, Markdown line 84; http://nas-1.tail55d152.ts.net:4100/static/NORDIC_COMPETITOR_BENCHMARK_DECK.html</x:v>
      </x:c>
    </x:row>
    <x:row r="500" ht="42" customHeight="1">
      <x:c r="A500" s="5" t="str">
        <x:v>D07</x:v>
      </x:c>
      <x:c r="B500" s="5" t="str">
        <x:v>D07-L0090-1</x:v>
      </x:c>
      <x:c r="C500" s="5" t="str">
        <x:v>Slide 9: Asymmetric Win Themes</x:v>
      </x:c>
      <x:c r="D500" s="5" t="n">
        <x:v>90</x:v>
      </x:c>
      <x:c r="E500" s="5" t="n">
        <x:v>90</x:v>
      </x:c>
      <x:c r="F500" s="5" t="str">
        <x:v>heading</x:v>
      </x:c>
      <x:c r="G500" s="5" t="n">
        <x:v>1</x:v>
      </x:c>
      <x:c r="H500" s="5" t="n">
        <x:v>1</x:v>
      </x:c>
      <x:c r="I500" s="5" t="str">
        <x:v>## Slide 9: Asymmetric Win Themes</x:v>
      </x:c>
      <x:c r="J500" s="5" t="str">
        <x:v>SOURCE QUOTE; unvalidated / superseded assessments</x:v>
      </x:c>
      <x:c r="L500" s="31" t="str">
        <x:v>D07, Markdown line 90; http://nas-1.tail55d152.ts.net:4100/static/NORDIC_COMPETITOR_BENCHMARK_DECK.html</x:v>
      </x:c>
    </x:row>
    <x:row r="501" ht="126" customHeight="1">
      <x:c r="A501" s="5" t="str">
        <x:v>D07</x:v>
      </x:c>
      <x:c r="B501" s="5" t="str">
        <x:v>D07-L0091-1</x:v>
      </x:c>
      <x:c r="C501" s="5" t="str">
        <x:v>Slide 9: Asymmetric Win Themes</x:v>
      </x:c>
      <x:c r="D501" s="5" t="n">
        <x:v>91</x:v>
      </x:c>
      <x:c r="E501" s="5" t="n">
        <x:v>94</x:v>
      </x:c>
      <x:c r="F501" s="5" t="str">
        <x:v>text</x:v>
      </x:c>
      <x:c r="G501" s="5" t="n">
        <x:v>1</x:v>
      </x:c>
      <x:c r="H501" s="5" t="n">
        <x:v>1</x:v>
      </x:c>
      <x:c r="I501" s="5" t="str">
        <x:v>1. **Speed-to-Clearance (90 Days)**: Resolving Notified Body deficiency notices in 90 days vs. 12-month standard cycles.
2. **Tech-Enabled Delivery (HCare360)**: Automated clinical evidence extraction replacing raw billable hours.
3. **Revenue-Linked Regulatory Work**: Commercial dossiers configured to win multi-million-euro hospital procurement tenders.
4. **European Sovereign Cloud Infrastructure**: Dedicated Finnish ISO 27001 GxP hosting eliminating GDPR cross-border data transfer issues.</x:v>
      </x:c>
      <x:c r="J501" s="5" t="str">
        <x:v>SOURCE QUOTE; unvalidated / superseded assessments</x:v>
      </x:c>
      <x:c r="L501" s="31" t="str">
        <x:v>D07, Markdown line 91; http://nas-1.tail55d152.ts.net:4100/static/NORDIC_COMPETITOR_BENCHMARK_DECK.html</x:v>
      </x:c>
    </x:row>
    <x:row r="502" ht="42" customHeight="1">
      <x:c r="A502" s="5" t="str">
        <x:v>D07</x:v>
      </x:c>
      <x:c r="B502" s="5" t="str">
        <x:v>D07-L0098-1</x:v>
      </x:c>
      <x:c r="C502" s="5" t="str">
        <x:v>Slide 10: Executive Summary &amp; Tactical Execution</x:v>
      </x:c>
      <x:c r="D502" s="5" t="n">
        <x:v>98</x:v>
      </x:c>
      <x:c r="E502" s="5" t="n">
        <x:v>98</x:v>
      </x:c>
      <x:c r="F502" s="5" t="str">
        <x:v>heading</x:v>
      </x:c>
      <x:c r="G502" s="5" t="n">
        <x:v>1</x:v>
      </x:c>
      <x:c r="H502" s="5" t="n">
        <x:v>1</x:v>
      </x:c>
      <x:c r="I502" s="5" t="str">
        <x:v>## Slide 10: Executive Summary &amp; Tactical Execution</x:v>
      </x:c>
      <x:c r="J502" s="5" t="str">
        <x:v>SOURCE QUOTE; unvalidated / superseded assessments</x:v>
      </x:c>
      <x:c r="L502" s="31" t="str">
        <x:v>D07, Markdown line 98; http://nas-1.tail55d152.ts.net:4100/static/NORDIC_COMPETITOR_BENCHMARK_DECK.html</x:v>
      </x:c>
    </x:row>
    <x:row r="503" ht="98" customHeight="1">
      <x:c r="A503" s="5" t="str">
        <x:v>D07</x:v>
      </x:c>
      <x:c r="B503" s="5" t="str">
        <x:v>D07-L0099-1</x:v>
      </x:c>
      <x:c r="C503" s="5" t="str">
        <x:v>Slide 10: Executive Summary &amp; Tactical Execution</x:v>
      </x:c>
      <x:c r="D503" s="5" t="n">
        <x:v>99</x:v>
      </x:c>
      <x:c r="E503" s="5" t="n">
        <x:v>101</x:v>
      </x:c>
      <x:c r="F503" s="5" t="str">
        <x:v>text</x:v>
      </x:c>
      <x:c r="G503" s="5" t="n">
        <x:v>1</x:v>
      </x:c>
      <x:c r="H503" s="5" t="n">
        <x:v>1</x:v>
      </x:c>
      <x:c r="I503" s="5" t="str">
        <x:v>- **Step 1**: Formalize white-label partnership agreements with Alliance Directors at Knightec, Semcon, and Prevas.
- **Step 2**: Arm sales reps with the Five Discovery Landmines and 12 Peer Benchmark Report to target 50 enterprise accounts.
- **Step 3**: Deploy 90-Day Audit-Ready sprints (€35,000 fixed price) for Tier 2 accounts facing immediate Notified Body audit deadlines.</x:v>
      </x:c>
      <x:c r="J503" s="5" t="str">
        <x:v>SOURCE QUOTE; unvalidated / superseded assessments</x:v>
      </x:c>
      <x:c r="L503" s="31" t="str">
        <x:v>D07, Markdown line 99; http://nas-1.tail55d152.ts.net:4100/static/NORDIC_COMPETITOR_BENCHMARK_DECK.html</x:v>
      </x:c>
    </x:row>
    <x:row r="504" ht="56" customHeight="1">
      <x:c r="A504" s="5" t="str">
        <x:v>D07</x:v>
      </x:c>
      <x:c r="B504" s="5" t="str">
        <x:v>D07-L0105-1</x:v>
      </x:c>
      <x:c r="C504" s="5" t="str">
        <x:v>Slide 11: Competitor Dynamic ACH Matrix (Analysis of Competing Hypotheses)</x:v>
      </x:c>
      <x:c r="D504" s="5" t="n">
        <x:v>105</x:v>
      </x:c>
      <x:c r="E504" s="5" t="n">
        <x:v>105</x:v>
      </x:c>
      <x:c r="F504" s="5" t="str">
        <x:v>heading</x:v>
      </x:c>
      <x:c r="G504" s="5" t="n">
        <x:v>1</x:v>
      </x:c>
      <x:c r="H504" s="5" t="n">
        <x:v>1</x:v>
      </x:c>
      <x:c r="I504" s="5" t="str">
        <x:v>## Slide 11: Competitor Dynamic ACH Matrix (Analysis of Competing Hypotheses)</x:v>
      </x:c>
      <x:c r="J504" s="5" t="str">
        <x:v>SOURCE QUOTE; unvalidated / superseded assessments</x:v>
      </x:c>
      <x:c r="L504" s="31" t="str">
        <x:v>D07, Markdown line 105; http://nas-1.tail55d152.ts.net:4100/static/NORDIC_COMPETITOR_BENCHMARK_DECK.html</x:v>
      </x:c>
    </x:row>
    <x:row r="505" ht="168" customHeight="1">
      <x:c r="A505" s="5" t="str">
        <x:v>D07</x:v>
      </x:c>
      <x:c r="B505" s="5" t="str">
        <x:v>D07-L0106-1</x:v>
      </x:c>
      <x:c r="C505" s="5" t="str">
        <x:v>Slide 11: Competitor Dynamic ACH Matrix (Analysis of Competing Hypotheses)</x:v>
      </x:c>
      <x:c r="D505" s="5" t="n">
        <x:v>106</x:v>
      </x:c>
      <x:c r="E505" s="5" t="n">
        <x:v>111</x:v>
      </x:c>
      <x:c r="F505" s="5" t="str">
        <x:v>text</x:v>
      </x:c>
      <x:c r="G505" s="5" t="n">
        <x:v>1</x:v>
      </x:c>
      <x:c r="H505" s="5" t="n">
        <x:v>1</x:v>
      </x:c>
      <x:c r="I505" s="5" t="str">
        <x:v>- **Core Research Question**: How will incumbent consultancies react to 2S Consulting &amp; Numantra market entry?
- **Hypotheses Evaluated**:
  - $H_1$ (Incumbents Adapt &amp; Build AI Divisions): Refuted (-5 Inconsistencies) — Constrained by billable-hour metrics and lack of software engineering talent.
  - $H_2$ (Incumbent Structural Inertia): Strongly Supported (-0 Inconsistencies) — 24-month defensible window for 2S's high-tech, fixed-price wedge model.
  - $H_3$ (Global Offshore Price Commoditization): Weakened (-3 Inconsistencies) — Notified Bodies reject low-cost offshore software documentation under MDR Rule 11.
- **Strategic Impact**: 2S maintains clear asymmetric differentiation without price pressure from global mega-firms.</x:v>
      </x:c>
      <x:c r="J505" s="5" t="str">
        <x:v>SOURCE QUOTE; unvalidated / superseded assessments</x:v>
      </x:c>
      <x:c r="L505" s="31" t="str">
        <x:v>D07, Markdown line 106; http://nas-1.tail55d152.ts.net:4100/static/NORDIC_COMPETITOR_BENCHMARK_DECK.html</x:v>
      </x:c>
    </x:row>
    <x:row r="506" ht="56" customHeight="1">
      <x:c r="A506" s="5" t="str">
        <x:v>D07</x:v>
      </x:c>
      <x:c r="B506" s="5" t="str">
        <x:v>D07-L0115-1</x:v>
      </x:c>
      <x:c r="C506" s="5" t="str">
        <x:v>Slide 12: NATO STANAG Admiralty Verification Matrix ($\ge$ B2) for Peer Consultancies</x:v>
      </x:c>
      <x:c r="D506" s="5" t="n">
        <x:v>115</x:v>
      </x:c>
      <x:c r="E506" s="5" t="n">
        <x:v>115</x:v>
      </x:c>
      <x:c r="F506" s="5" t="str">
        <x:v>heading</x:v>
      </x:c>
      <x:c r="G506" s="5" t="n">
        <x:v>1</x:v>
      </x:c>
      <x:c r="H506" s="5" t="n">
        <x:v>1</x:v>
      </x:c>
      <x:c r="I506" s="5" t="str">
        <x:v>## Slide 12: NATO STANAG Admiralty Verification Matrix ($\ge$ B2) for Peer Consultancies</x:v>
      </x:c>
      <x:c r="J506" s="5" t="str">
        <x:v>SOURCE QUOTE; unvalidated / superseded assessments</x:v>
      </x:c>
      <x:c r="L506" s="31" t="str">
        <x:v>D07, Markdown line 115; http://nas-1.tail55d152.ts.net:4100/static/NORDIC_COMPETITOR_BENCHMARK_DECK.html</x:v>
      </x:c>
    </x:row>
    <x:row r="507" ht="252" customHeight="1">
      <x:c r="A507" s="5" t="str">
        <x:v>D07</x:v>
      </x:c>
      <x:c r="B507" s="5" t="str">
        <x:v>D07-L0116-1</x:v>
      </x:c>
      <x:c r="C507" s="5" t="str">
        <x:v>Slide 12: NATO STANAG Admiralty Verification Matrix ($\ge$ B2) for Peer Consultancies</x:v>
      </x:c>
      <x:c r="D507" s="5" t="n">
        <x:v>116</x:v>
      </x:c>
      <x:c r="E507" s="5" t="n">
        <x:v>124</x:v>
      </x:c>
      <x:c r="F507" s="5" t="str">
        <x:v>text</x:v>
      </x:c>
      <x:c r="G507" s="5" t="n">
        <x:v>1</x:v>
      </x:c>
      <x:c r="H507" s="5" t="n">
        <x:v>1</x:v>
      </x:c>
      <x:c r="I507" s="5" t="str">
        <x:v>- **Intelligence Standard**: Every competitor profile verified under NATO STANAG 2017/2018 criteria.
- **Key Peer Ratings**:
  - *Plantvision AB*: A1 (Bolagsverket, Proff.se) — ~200 staff, CSV focus, lacking AI Act readiness.
  - *Knightec Group*: A1 (Audited Filings, Press Releases) — ~800 staff, hardware powerhouse, SaMD subcontractor opportunity.
  - *Semcon AB*: A1 (Nasdaq Stockholm, 10-K equivalents) — ~1,200 staff, missing hospital CFO DaaS models.
  - *Qadvis AB*: B2 (Bolagsverket, Medtech Sweden) — ~35 staff, pure regulatory, manual PMCF bottleneck.
  - *LINK Medical*: B2 (Brønnøysund, Clinical Registers) — ~250 staff, clinical CRO, target for HCare360 NLP licensing.
  - *Emergo by UL*: B2 (UL Solutions 10-K, Chamber of Commerce) — ~2,500 global, high hourly fees, slow turnaround.
- **Verification Guarantee**: 100% of peer intelligence satisfies $\ge$ B2 admissibility.</x:v>
      </x:c>
      <x:c r="J507" s="5" t="str">
        <x:v>SOURCE QUOTE; unvalidated / superseded assessments</x:v>
      </x:c>
      <x:c r="L507" s="31" t="str">
        <x:v>D07, Markdown line 116; http://nas-1.tail55d152.ts.net:4100/static/NORDIC_COMPETITOR_BENCHMARK_DECK.html</x:v>
      </x:c>
    </x:row>
    <x:row r="508" ht="42" customHeight="1">
      <x:c r="A508" s="5" t="str">
        <x:v>D07</x:v>
      </x:c>
      <x:c r="B508" s="5" t="str">
        <x:v>D07-L0128-1</x:v>
      </x:c>
      <x:c r="C508" s="5" t="str">
        <x:v>Slide 13: Devil's Advocate &amp; Tenth Man Pre-Mortem Falsification</x:v>
      </x:c>
      <x:c r="D508" s="5" t="n">
        <x:v>128</x:v>
      </x:c>
      <x:c r="E508" s="5" t="n">
        <x:v>128</x:v>
      </x:c>
      <x:c r="F508" s="5" t="str">
        <x:v>heading</x:v>
      </x:c>
      <x:c r="G508" s="5" t="n">
        <x:v>1</x:v>
      </x:c>
      <x:c r="H508" s="5" t="n">
        <x:v>1</x:v>
      </x:c>
      <x:c r="I508" s="5" t="str">
        <x:v>## Slide 13: Devil's Advocate &amp; Tenth Man Pre-Mortem Falsification</x:v>
      </x:c>
      <x:c r="J508" s="5" t="str">
        <x:v>SOURCE QUOTE; unvalidated / superseded assessments</x:v>
      </x:c>
      <x:c r="L508" s="31" t="str">
        <x:v>D07, Markdown line 128; http://nas-1.tail55d152.ts.net:4100/static/NORDIC_COMPETITOR_BENCHMARK_DECK.html</x:v>
      </x:c>
    </x:row>
    <x:row r="509" ht="224" customHeight="1">
      <x:c r="A509" s="5" t="str">
        <x:v>D07</x:v>
      </x:c>
      <x:c r="B509" s="5" t="str">
        <x:v>D07-L0129-1</x:v>
      </x:c>
      <x:c r="C509" s="5" t="str">
        <x:v>Slide 13: Devil's Advocate &amp; Tenth Man Pre-Mortem Falsification</x:v>
      </x:c>
      <x:c r="D509" s="5" t="n">
        <x:v>129</x:v>
      </x:c>
      <x:c r="E509" s="5" t="n">
        <x:v>135</x:v>
      </x:c>
      <x:c r="F509" s="5" t="str">
        <x:v>text</x:v>
      </x:c>
      <x:c r="G509" s="5" t="n">
        <x:v>1</x:v>
      </x:c>
      <x:c r="H509" s="5" t="n">
        <x:v>1</x:v>
      </x:c>
      <x:c r="I509" s="5" t="str">
        <x:v>- **Adversarial Stress-Testing**:
  1. *Subcontractor Margin Squeeze*: Engineering primes may demand 35-40% markups, eroding 2S gross margins. *Countermeasure*: Enforce a strict 20% partner cap and maintain direct ownership of Numantra software IP.
  2. *Vendor Non-Compete Covenants*: Primes may attempt to restrict 2S from pitching directly to end-clients. *Countermeasure*: Carve out direct rights for standalone software licensing and AI Act masterclasses.
  3. *Talent Poaching Risk*: Larger firms observing 2S's success may attempt to hire away key algorithmic talent. *Countermeasure*: Patent core Numantra NLP pipelines and maintain Finnish ISO cloud hosting under 2S sovereign ownership.
- **Popperian Falsification Triggers**:
  - Margin Trigger: If prime partners demand $&gt;25\%$ discounts, immediately walk away and re-route lead to regional cluster co-marketing.
  - IP Trigger: Never sign agreements assigning custom algorithmic code or prompts to the prime contractor.</x:v>
      </x:c>
      <x:c r="J509" s="5" t="str">
        <x:v>SOURCE QUOTE; unvalidated / superseded assessments</x:v>
      </x:c>
      <x:c r="L509" s="31" t="str">
        <x:v>D07, Markdown line 129; http://nas-1.tail55d152.ts.net:4100/static/NORDIC_COMPETITOR_BENCHMARK_DECK.html</x:v>
      </x:c>
    </x:row>
    <x:row r="510" ht="42" customHeight="1">
      <x:c r="A510" s="5" t="str">
        <x:v>D07</x:v>
      </x:c>
      <x:c r="B510" s="5" t="str">
        <x:v>D07-L0139-1</x:v>
      </x:c>
      <x:c r="C510" s="5" t="str">
        <x:v>Slide 14: Sovereign Architecture &amp; Executive Action Plan</x:v>
      </x:c>
      <x:c r="D510" s="5" t="n">
        <x:v>139</x:v>
      </x:c>
      <x:c r="E510" s="5" t="n">
        <x:v>139</x:v>
      </x:c>
      <x:c r="F510" s="5" t="str">
        <x:v>heading</x:v>
      </x:c>
      <x:c r="G510" s="5" t="n">
        <x:v>1</x:v>
      </x:c>
      <x:c r="H510" s="5" t="n">
        <x:v>1</x:v>
      </x:c>
      <x:c r="I510" s="5" t="str">
        <x:v>## Slide 14: Sovereign Architecture &amp; Executive Action Plan</x:v>
      </x:c>
      <x:c r="J510" s="5" t="str">
        <x:v>SOURCE QUOTE; unvalidated / superseded assessments</x:v>
      </x:c>
      <x:c r="L510" s="31" t="str">
        <x:v>D07, Markdown line 139; http://nas-1.tail55d152.ts.net:4100/static/NORDIC_COMPETITOR_BENCHMARK_DECK.html</x:v>
      </x:c>
    </x:row>
    <x:row r="511" ht="182" customHeight="1">
      <x:c r="A511" s="5" t="str">
        <x:v>D07</x:v>
      </x:c>
      <x:c r="B511" s="5" t="str">
        <x:v>D07-L0140-1</x:v>
      </x:c>
      <x:c r="C511" s="5" t="str">
        <x:v>Slide 14: Sovereign Architecture &amp; Executive Action Plan</x:v>
      </x:c>
      <x:c r="D511" s="5" t="n">
        <x:v>140</x:v>
      </x:c>
      <x:c r="E511" s="5" t="n">
        <x:v>147</x:v>
      </x:c>
      <x:c r="F511" s="5" t="str">
        <x:v>text</x:v>
      </x:c>
      <x:c r="G511" s="5" t="n">
        <x:v>1</x:v>
      </x:c>
      <x:c r="H511" s="5" t="n">
        <x:v>1</x:v>
      </x:c>
      <x:c r="I511" s="5" t="str">
        <x:v>- **Co-Opetition Roadmap**:
  - Month 1: Execute 2 reciprocal NDA/MoU frameworks with Knightec and Semcon.
  - Month 2: Co-pitch 3 joint hardware+SaMD proposals for Tier-1 accounts.
  - Month 3: Secure 1 recurring SaaS/DaaS deployment with a leading Nordic medical device manufacturer.
- **Resource Portal Links**:
  - Master Projects Portal: `http://nas-1.tail55d152.ts.net:4100/static/PROJECTS_INDEX.html`
  - Competitor Intelligence Dossier: `http://nas-1.tail55d152.ts.net:4100/static/NORDIC_MEDTECH_COMPETITIVE_LANDSCAPE_AND_PEER_DOSSIER.html`
  - Interactive Competitor Deck: `http://nas-1.tail55d152.ts.net:4100/static/NORDIC_COMPETITOR_BENCHMARK_DECK.html`</x:v>
      </x:c>
      <x:c r="J511" s="5" t="str">
        <x:v>SOURCE QUOTE; unvalidated / superseded assessments</x:v>
      </x:c>
      <x:c r="L511" s="31" t="str">
        <x:v>D07, Markdown line 140; http://nas-1.tail55d152.ts.net:4100/static/NORDIC_COMPETITOR_BENCHMARK_DECK.html</x:v>
      </x:c>
    </x:row>
    <x:row r="512" ht="42" customHeight="1">
      <x:c r="A512" s="5" t="str">
        <x:v>D07</x:v>
      </x:c>
      <x:c r="B512" s="5" t="str">
        <x:v>D07-L0150-1</x:v>
      </x:c>
      <x:c r="C512" s="5" t="str">
        <x:v>Slide 14: Sovereign Architecture &amp; Executive Action Plan</x:v>
      </x:c>
      <x:c r="D512" s="5" t="n">
        <x:v>150</x:v>
      </x:c>
      <x:c r="E512" s="5" t="n">
        <x:v>150</x:v>
      </x:c>
      <x:c r="F512" s="5" t="str">
        <x:v>text</x:v>
      </x:c>
      <x:c r="G512" s="5" t="n">
        <x:v>1</x:v>
      </x:c>
      <x:c r="H512" s="5" t="n">
        <x:v>1</x:v>
      </x:c>
      <x:c r="I512" s="5" t="str">
        <x:v>*Governed by L0-codex-gpt-6-astra Sovereign Architecture • C3I &amp; UOS Mesh Operational Document*</x:v>
      </x:c>
      <x:c r="J512" s="5" t="str">
        <x:v>SOURCE QUOTE; unvalidated / superseded assessments</x:v>
      </x:c>
      <x:c r="L512" s="31" t="str">
        <x:v>D07, Markdown line 150; http://nas-1.tail55d152.ts.net:4100/static/NORDIC_COMPETITOR_BENCHMARK_DECK.html</x:v>
      </x:c>
    </x:row>
    <x:row r="513" ht="84" customHeight="1">
      <x:c r="A513" s="5" t="str">
        <x:v>D08</x:v>
      </x:c>
      <x:c r="B513" s="5" t="str">
        <x:v>D08-L0001-1</x:v>
      </x:c>
      <x:c r="C513" s="5" t="str">
        <x:v>Document preamble</x:v>
      </x:c>
      <x:c r="D513" s="5" t="n">
        <x:v>1</x:v>
      </x:c>
      <x:c r="E513" s="5" t="n">
        <x:v>1</x:v>
      </x:c>
      <x:c r="F513" s="5" t="str">
        <x:v>text</x:v>
      </x:c>
      <x:c r="G513" s="5" t="n">
        <x:v>1</x:v>
      </x:c>
      <x:c r="H513" s="5" t="n">
        <x:v>1</x:v>
      </x:c>
      <x:c r="I513" s="5" t="str">
        <x:v>&gt; **Assessment status — 2026-09-28: historical, unvalidated material.** Earlier ratification, SIL-6, B2, mathematical-proof and market-certainty statements below are superseded. They are not current assessment results or deployment permission. Commercial, financial, regulatory and clinical claims require source-level revalidation. See [current handover](CODEX_HANDOVER.html) and [validation record](ACH_ASSESSMENT_VALIDATION.html).</x:v>
      </x:c>
      <x:c r="J513" s="5" t="str">
        <x:v>SOURCE QUOTE; unvalidated / superseded assessments</x:v>
      </x:c>
      <x:c r="L513" s="31" t="str">
        <x:v>D08, Markdown line 1; http://nas-1.tail55d152.ts.net:4100/static/NORDIC_MEDTECH_COMPETITIVE_LANDSCAPE_AND_PEER_DOSSIER.html</x:v>
      </x:c>
    </x:row>
    <x:row r="514" ht="56" customHeight="1">
      <x:c r="A514" s="5" t="str">
        <x:v>D08</x:v>
      </x:c>
      <x:c r="B514" s="5" t="str">
        <x:v>D08-L0003-1</x:v>
      </x:c>
      <x:c r="C514" s="5" t="str">
        <x:v>Nordic MedTech &amp; Life Sciences Consulting Landscape: Competitive Intelligence &amp; Peer Analysis</x:v>
      </x:c>
      <x:c r="D514" s="5" t="n">
        <x:v>3</x:v>
      </x:c>
      <x:c r="E514" s="5" t="n">
        <x:v>3</x:v>
      </x:c>
      <x:c r="F514" s="5" t="str">
        <x:v>heading</x:v>
      </x:c>
      <x:c r="G514" s="5" t="n">
        <x:v>1</x:v>
      </x:c>
      <x:c r="H514" s="5" t="n">
        <x:v>1</x:v>
      </x:c>
      <x:c r="I514" s="5" t="str">
        <x:v># Nordic MedTech &amp; Life Sciences Consulting Landscape: Competitive Intelligence &amp; Peer Analysis</x:v>
      </x:c>
      <x:c r="J514" s="5" t="str">
        <x:v>SOURCE QUOTE; unvalidated / superseded assessments</x:v>
      </x:c>
      <x:c r="L514" s="31" t="str">
        <x:v>D08, Markdown line 3; http://nas-1.tail55d152.ts.net:4100/static/NORDIC_MEDTECH_COMPETITIVE_LANDSCAPE_AND_PEER_DOSSIER.html</x:v>
      </x:c>
    </x:row>
    <x:row r="515" ht="210" customHeight="1">
      <x:c r="A515" s="5" t="str">
        <x:v>D08</x:v>
      </x:c>
      <x:c r="B515" s="5" t="str">
        <x:v>D08-L0004-1</x:v>
      </x:c>
      <x:c r="C515" s="5" t="str">
        <x:v>Nordic MedTech &amp; Life Sciences Consulting Landscape: Competitive Intelligence &amp; Peer Analysis</x:v>
      </x:c>
      <x:c r="D515" s="5" t="n">
        <x:v>4</x:v>
      </x:c>
      <x:c r="E515" s="5" t="n">
        <x:v>11</x:v>
      </x:c>
      <x:c r="F515" s="5" t="str">
        <x:v>text</x:v>
      </x:c>
      <x:c r="G515" s="5" t="n">
        <x:v>1</x:v>
      </x:c>
      <x:c r="H515" s="5" t="n">
        <x:v>1</x:v>
      </x:c>
      <x:c r="I515" s="5" t="str">
        <x:v>**Benchmarking 2S Consulting &amp; Numantra Technologies Against Nordic Consultancies, QA/RA Boutiques, and Global Life Sciences Advisory Firms**  
**Classification**: Sovereign Competitive Intelligence | Codex Astra Ratified  
**Target Region**: Sweden, Denmark, Norway, Finland (Nordic HealthTech &amp; MedTech Ecosystem)  
**Authoring Entity**: Codex Astra &amp; 2S Strategic Advisory Group  
**Nordic Commercial Agent &amp; Prime Contractor**: **Bountytek AB** (Stockholm, Sweden)  
**Represented Principals**: [2S Consulting](https://www.2sconsulting.com/) &amp; [Numantra Technologies](https://www.numantratech.ai/)  
**Associated Entities**: 2S Consulting (Hichem Sellami, Safa Sellami), Numantra Technologies, HCare360 Platform, UOS/C3I Mesh  
**Primary Host URL**: [http://nas-1.tail55d152.ts.net:4100/static/NORDIC_MEDTECH_COMPETITIVE_LANDSCAPE_AND_PEER_DOSSIER.html](http://nas-1.tail55d152.ts.net:4100/static/NORDIC_MEDTECH_COMPETITIVE_LANDSCAPE_AND_PEER_DOSSIER.html)</x:v>
      </x:c>
      <x:c r="J515" s="5" t="str">
        <x:v>SOURCE QUOTE; unvalidated / superseded assessments</x:v>
      </x:c>
      <x:c r="L515" s="31" t="str">
        <x:v>D08, Markdown line 4; http://nas-1.tail55d152.ts.net:4100/static/NORDIC_MEDTECH_COMPETITIVE_LANDSCAPE_AND_PEER_DOSSIER.html</x:v>
      </x:c>
    </x:row>
    <x:row r="516" ht="42" customHeight="1">
      <x:c r="A516" s="5" t="str">
        <x:v>D08</x:v>
      </x:c>
      <x:c r="B516" s="5" t="str">
        <x:v>D08-L0015-1</x:v>
      </x:c>
      <x:c r="C516" s="5" t="str">
        <x:v>1. Executive Summary &amp; Market Dynamics</x:v>
      </x:c>
      <x:c r="D516" s="5" t="n">
        <x:v>15</x:v>
      </x:c>
      <x:c r="E516" s="5" t="n">
        <x:v>15</x:v>
      </x:c>
      <x:c r="F516" s="5" t="str">
        <x:v>heading</x:v>
      </x:c>
      <x:c r="G516" s="5" t="n">
        <x:v>1</x:v>
      </x:c>
      <x:c r="H516" s="5" t="n">
        <x:v>1</x:v>
      </x:c>
      <x:c r="I516" s="5" t="str">
        <x:v>## 1. Executive Summary &amp; Market Dynamics</x:v>
      </x:c>
      <x:c r="J516" s="5" t="str">
        <x:v>SOURCE QUOTE; unvalidated / superseded assessments</x:v>
      </x:c>
      <x:c r="L516" s="31" t="str">
        <x:v>D08, Markdown line 15; http://nas-1.tail55d152.ts.net:4100/static/NORDIC_MEDTECH_COMPETITIVE_LANDSCAPE_AND_PEER_DOSSIER.html</x:v>
      </x:c>
    </x:row>
    <x:row r="517" ht="210" customHeight="1">
      <x:c r="A517" s="5" t="str">
        <x:v>D08</x:v>
      </x:c>
      <x:c r="B517" s="5" t="str">
        <x:v>D08-L0017-1</x:v>
      </x:c>
      <x:c r="C517" s="5" t="str">
        <x:v>1. Executive Summary &amp; Market Dynamics</x:v>
      </x:c>
      <x:c r="D517" s="5" t="n">
        <x:v>17</x:v>
      </x:c>
      <x:c r="E517" s="5" t="n">
        <x:v>20</x:v>
      </x:c>
      <x:c r="F517" s="5" t="str">
        <x:v>text</x:v>
      </x:c>
      <x:c r="G517" s="5" t="n">
        <x:v>1</x:v>
      </x:c>
      <x:c r="H517" s="5" t="n">
        <x:v>1</x:v>
      </x:c>
      <x:c r="I517" s="5" t="str">
        <x:v>The Nordic life sciences consulting market is heavily fragmented between three tiers of providers:
1. **Local Nordic Engineering &amp; QA/RA Boutiques**: Firms like Plantvision, Knightec, Qadvis, and Prevas that grew out of contract engineering, staffing, and local validation. They provide solid tactical compliance but frequently operate on high hourly time-and-materials (T&amp;M) rates and lack deep-tech proprietary software platforms.
2. **Global Specialized Regulatory &amp; CRO Advisory Houses**: Entities such as Emergo by UL, ProPharma Group, and LINK Medical Research. They offer international regulatory registration and clinical operations, but suffer from bureaucratic overhead, rigid pricing, and slow technical file iteration times.
3. **Generalist Strategy Consultancies**: Firms like PA Consulting, McKinsey, and IQVIA. While strong in C-suite branding and commercial strategy, they do not write software lifecycle files (IEC 62304) or design clinical evaluation protocols (MDR Annex XIV) at the engineering level.</x:v>
      </x:c>
      <x:c r="J517" s="5" t="str">
        <x:v>SOURCE QUOTE; unvalidated / superseded assessments</x:v>
      </x:c>
      <x:c r="L517" s="31" t="str">
        <x:v>D08, Markdown line 17; http://nas-1.tail55d152.ts.net:4100/static/NORDIC_MEDTECH_COMPETITIVE_LANDSCAPE_AND_PEER_DOSSIER.html</x:v>
      </x:c>
    </x:row>
    <x:row r="518" ht="42" customHeight="1">
      <x:c r="A518" s="5" t="str">
        <x:v>D08</x:v>
      </x:c>
      <x:c r="B518" s="5" t="str">
        <x:v>D08-L0022-1</x:v>
      </x:c>
      <x:c r="C518" s="5" t="str">
        <x:v>2S Consulting's Distinct Market Position:</x:v>
      </x:c>
      <x:c r="D518" s="5" t="n">
        <x:v>22</x:v>
      </x:c>
      <x:c r="E518" s="5" t="n">
        <x:v>22</x:v>
      </x:c>
      <x:c r="F518" s="5" t="str">
        <x:v>heading</x:v>
      </x:c>
      <x:c r="G518" s="5" t="n">
        <x:v>1</x:v>
      </x:c>
      <x:c r="H518" s="5" t="n">
        <x:v>1</x:v>
      </x:c>
      <x:c r="I518" s="5" t="str">
        <x:v>### 2S Consulting's Distinct Market Position:</x:v>
      </x:c>
      <x:c r="J518" s="5" t="str">
        <x:v>SOURCE QUOTE; unvalidated / superseded assessments</x:v>
      </x:c>
      <x:c r="L518" s="31" t="str">
        <x:v>D08, Markdown line 22; http://nas-1.tail55d152.ts.net:4100/static/NORDIC_MEDTECH_COMPETITIVE_LANDSCAPE_AND_PEER_DOSSIER.html</x:v>
      </x:c>
    </x:row>
    <x:row r="519" ht="154" customHeight="1">
      <x:c r="A519" s="5" t="str">
        <x:v>D08</x:v>
      </x:c>
      <x:c r="B519" s="5" t="str">
        <x:v>D08-L0023-1</x:v>
      </x:c>
      <x:c r="C519" s="5" t="str">
        <x:v>2S Consulting's Distinct Market Position:</x:v>
      </x:c>
      <x:c r="D519" s="5" t="n">
        <x:v>23</x:v>
      </x:c>
      <x:c r="E519" s="5" t="n">
        <x:v>27</x:v>
      </x:c>
      <x:c r="F519" s="5" t="str">
        <x:v>text</x:v>
      </x:c>
      <x:c r="G519" s="5" t="n">
        <x:v>1</x:v>
      </x:c>
      <x:c r="H519" s="5" t="n">
        <x:v>1</x:v>
      </x:c>
      <x:c r="I519" s="5" t="str">
        <x:v>2S Consulting occupies the **Cognitive Operations &amp; Digital QA** sweet spot:
- **Productized Compliance (HCare360)**: Unlike consultancies selling purely human hours, 2S deploys continuous automated quality tracking and audit readiness.
- **AI SaMD &amp; EU AI Act Specialization**: Direct expertise bridging modern machine learning pipelines with high-risk medical device classifications (MDR Rule 11 / EU AI Act Annex III).
- **Speed to Notified Body Sign-off**: Turnkey technical file remediation completed in 90 days vs 12–18 months typical of legacy hourly billers.
- **Founder-Led Senior Immersion**: Direct involvement of senior leaders (Hichem Sellami, Safa Sellami) without junior staff bait-and-switch.</x:v>
      </x:c>
      <x:c r="J519" s="5" t="str">
        <x:v>SOURCE QUOTE; unvalidated / superseded assessments</x:v>
      </x:c>
      <x:c r="L519" s="31" t="str">
        <x:v>D08, Markdown line 23; http://nas-1.tail55d152.ts.net:4100/static/NORDIC_MEDTECH_COMPETITIVE_LANDSCAPE_AND_PEER_DOSSIER.html</x:v>
      </x:c>
    </x:row>
    <x:row r="520" ht="42" customHeight="1">
      <x:c r="A520" s="5" t="str">
        <x:v>D08</x:v>
      </x:c>
      <x:c r="B520" s="5" t="str">
        <x:v>D08-L0031-1</x:v>
      </x:c>
      <x:c r="C520" s="5" t="str">
        <x:v>2. Peer &amp; Competitor Profiles: The 12 Key Nordic Players</x:v>
      </x:c>
      <x:c r="D520" s="5" t="n">
        <x:v>31</x:v>
      </x:c>
      <x:c r="E520" s="5" t="n">
        <x:v>31</x:v>
      </x:c>
      <x:c r="F520" s="5" t="str">
        <x:v>heading</x:v>
      </x:c>
      <x:c r="G520" s="5" t="n">
        <x:v>1</x:v>
      </x:c>
      <x:c r="H520" s="5" t="n">
        <x:v>1</x:v>
      </x:c>
      <x:c r="I520" s="5" t="str">
        <x:v>## 2. Peer &amp; Competitor Profiles: The 12 Key Nordic Players</x:v>
      </x:c>
      <x:c r="J520" s="5" t="str">
        <x:v>SOURCE QUOTE; unvalidated / superseded assessments</x:v>
      </x:c>
      <x:c r="L520" s="31" t="str">
        <x:v>D08, Markdown line 31; http://nas-1.tail55d152.ts.net:4100/static/NORDIC_MEDTECH_COMPETITIVE_LANDSCAPE_AND_PEER_DOSSIER.html</x:v>
      </x:c>
    </x:row>
    <x:row r="521" ht="42" customHeight="1">
      <x:c r="A521" s="5" t="str">
        <x:v>D08</x:v>
      </x:c>
      <x:c r="B521" s="5" t="str">
        <x:v>D08-L0033-1</x:v>
      </x:c>
      <x:c r="C521" s="5" t="str">
        <x:v>Cluster A: Dedicated Nordic QA/RA &amp; Life Science Boutiques</x:v>
      </x:c>
      <x:c r="D521" s="5" t="n">
        <x:v>33</x:v>
      </x:c>
      <x:c r="E521" s="5" t="n">
        <x:v>33</x:v>
      </x:c>
      <x:c r="F521" s="5" t="str">
        <x:v>heading</x:v>
      </x:c>
      <x:c r="G521" s="5" t="n">
        <x:v>1</x:v>
      </x:c>
      <x:c r="H521" s="5" t="n">
        <x:v>1</x:v>
      </x:c>
      <x:c r="I521" s="5" t="str">
        <x:v>### Cluster A: Dedicated Nordic QA/RA &amp; Life Science Boutiques</x:v>
      </x:c>
      <x:c r="J521" s="5" t="str">
        <x:v>SOURCE QUOTE; unvalidated / superseded assessments</x:v>
      </x:c>
      <x:c r="L521" s="31" t="str">
        <x:v>D08, Markdown line 33; http://nas-1.tail55d152.ts.net:4100/static/NORDIC_MEDTECH_COMPETITIVE_LANDSCAPE_AND_PEER_DOSSIER.html</x:v>
      </x:c>
    </x:row>
    <x:row r="522" ht="42" customHeight="1">
      <x:c r="A522" s="5" t="str">
        <x:v>D08</x:v>
      </x:c>
      <x:c r="B522" s="5" t="str">
        <x:v>D08-L0035-1</x:v>
      </x:c>
      <x:c r="C522" s="5" t="str">
        <x:v>1. Plantvision AB (Kista/Stockholm, Södertälje, Gothenburg, Lund)</x:v>
      </x:c>
      <x:c r="D522" s="5" t="n">
        <x:v>35</x:v>
      </x:c>
      <x:c r="E522" s="5" t="n">
        <x:v>35</x:v>
      </x:c>
      <x:c r="F522" s="5" t="str">
        <x:v>heading</x:v>
      </x:c>
      <x:c r="G522" s="5" t="n">
        <x:v>1</x:v>
      </x:c>
      <x:c r="H522" s="5" t="n">
        <x:v>1</x:v>
      </x:c>
      <x:c r="I522" s="5" t="str">
        <x:v>#### 1. Plantvision AB (Kista/Stockholm, Södertälje, Gothenburg, Lund)</x:v>
      </x:c>
      <x:c r="J522" s="5" t="str">
        <x:v>SOURCE QUOTE; unvalidated / superseded assessments</x:v>
      </x:c>
      <x:c r="L522" s="31" t="str">
        <x:v>D08, Markdown line 35; http://nas-1.tail55d152.ts.net:4100/static/NORDIC_MEDTECH_COMPETITIVE_LANDSCAPE_AND_PEER_DOSSIER.html</x:v>
      </x:c>
    </x:row>
    <x:row r="523" ht="168" customHeight="1">
      <x:c r="A523" s="5" t="str">
        <x:v>D08</x:v>
      </x:c>
      <x:c r="B523" s="5" t="str">
        <x:v>D08-L0036-1</x:v>
      </x:c>
      <x:c r="C523" s="5" t="str">
        <x:v>1. Plantvision AB (Kista/Stockholm, Södertälje, Gothenburg, Lund)</x:v>
      </x:c>
      <x:c r="D523" s="5" t="n">
        <x:v>36</x:v>
      </x:c>
      <x:c r="E523" s="5" t="n">
        <x:v>40</x:v>
      </x:c>
      <x:c r="F523" s="5" t="str">
        <x:v>text</x:v>
      </x:c>
      <x:c r="G523" s="5" t="n">
        <x:v>1</x:v>
      </x:c>
      <x:c r="H523" s="5" t="n">
        <x:v>1</x:v>
      </x:c>
      <x:c r="I523" s="5" t="str">
        <x:v>- **Profile**: Established Swedish consultancy specializing in GxP, QA/RA, laboratory automation, and digital factory compliance for pharma and medtech.
- **Headcount**: ~200 consultants | **Revenue**: ~SEK 250M
- **Strengths**: Deep relationships with major Swedish pharmaceutical plants (AstraZeneca Södertälje) and medical device hubs; strong local reputation for ISO 13485 and GMP compliance.
- **Vulnerabilities / Gaps**: Primarily an hourly staffing and consulting body-shop; lacks proprietary digital automation platforms; slow to adopt modern cloud-native SaMD and EU AI Act validation workflows.
- **2S Differentiation**: 2S provides fixed-price wedge audits and continuous platform-driven QA via HCare360 rather than open-ended hourly billing.</x:v>
      </x:c>
      <x:c r="J523" s="5" t="str">
        <x:v>SOURCE QUOTE; unvalidated / superseded assessments</x:v>
      </x:c>
      <x:c r="L523" s="31" t="str">
        <x:v>D08, Markdown line 36; http://nas-1.tail55d152.ts.net:4100/static/NORDIC_MEDTECH_COMPETITIVE_LANDSCAPE_AND_PEER_DOSSIER.html</x:v>
      </x:c>
    </x:row>
    <x:row r="524" ht="42" customHeight="1">
      <x:c r="A524" s="5" t="str">
        <x:v>D08</x:v>
      </x:c>
      <x:c r="B524" s="5" t="str">
        <x:v>D08-L0042-1</x:v>
      </x:c>
      <x:c r="C524" s="5" t="str">
        <x:v>2. Knightec AB (Stockholm, Gothenburg, Lund, Linköping)</x:v>
      </x:c>
      <x:c r="D524" s="5" t="n">
        <x:v>42</x:v>
      </x:c>
      <x:c r="E524" s="5" t="n">
        <x:v>42</x:v>
      </x:c>
      <x:c r="F524" s="5" t="str">
        <x:v>heading</x:v>
      </x:c>
      <x:c r="G524" s="5" t="n">
        <x:v>1</x:v>
      </x:c>
      <x:c r="H524" s="5" t="n">
        <x:v>1</x:v>
      </x:c>
      <x:c r="I524" s="5" t="str">
        <x:v>#### 2. Knightec AB (Stockholm, Gothenburg, Lund, Linköping)</x:v>
      </x:c>
      <x:c r="J524" s="5" t="str">
        <x:v>SOURCE QUOTE; unvalidated / superseded assessments</x:v>
      </x:c>
      <x:c r="L524" s="31" t="str">
        <x:v>D08, Markdown line 42; http://nas-1.tail55d152.ts.net:4100/static/NORDIC_MEDTECH_COMPETITIVE_LANDSCAPE_AND_PEER_DOSSIER.html</x:v>
      </x:c>
    </x:row>
    <x:row r="525" ht="168" customHeight="1">
      <x:c r="A525" s="5" t="str">
        <x:v>D08</x:v>
      </x:c>
      <x:c r="B525" s="5" t="str">
        <x:v>D08-L0043-1</x:v>
      </x:c>
      <x:c r="C525" s="5" t="str">
        <x:v>2. Knightec AB (Stockholm, Gothenburg, Lund, Linköping)</x:v>
      </x:c>
      <x:c r="D525" s="5" t="n">
        <x:v>43</x:v>
      </x:c>
      <x:c r="E525" s="5" t="n">
        <x:v>47</x:v>
      </x:c>
      <x:c r="F525" s="5" t="str">
        <x:v>text</x:v>
      </x:c>
      <x:c r="G525" s="5" t="n">
        <x:v>1</x:v>
      </x:c>
      <x:c r="H525" s="5" t="n">
        <x:v>1</x:v>
      </x:c>
      <x:c r="I525" s="5" t="str">
        <x:v>- **Profile**: Multi-disciplinary Nordic technology and engineering consultancy with a dedicated Life Science practice.
- **Headcount**: ~900 consultants | **Revenue**: ~SEK 1,100M
- **Strengths**: Strong product development, mechanical engineering, and hardware-software design integration for connected health devices.
- **Vulnerabilities / Gaps**: Life science is only one of many divisions (alongside automotive, defense, and telecom); QA/RA is often treated as secondary to mechanical engineering; high overhead costs.
- **2S Differentiation**: 2S provides 100% focused life sciences and clinical regulatory science, offering deeper clinical trial and health economics reimbursement capabilities.</x:v>
      </x:c>
      <x:c r="J525" s="5" t="str">
        <x:v>SOURCE QUOTE; unvalidated / superseded assessments</x:v>
      </x:c>
      <x:c r="L525" s="31" t="str">
        <x:v>D08, Markdown line 43; http://nas-1.tail55d152.ts.net:4100/static/NORDIC_MEDTECH_COMPETITIVE_LANDSCAPE_AND_PEER_DOSSIER.html</x:v>
      </x:c>
    </x:row>
    <x:row r="526" ht="42" customHeight="1">
      <x:c r="A526" s="5" t="str">
        <x:v>D08</x:v>
      </x:c>
      <x:c r="B526" s="5" t="str">
        <x:v>D08-L0049-1</x:v>
      </x:c>
      <x:c r="C526" s="5" t="str">
        <x:v>3. Qadvis AB (Kista / Stockholm)</x:v>
      </x:c>
      <x:c r="D526" s="5" t="n">
        <x:v>49</x:v>
      </x:c>
      <x:c r="E526" s="5" t="n">
        <x:v>49</x:v>
      </x:c>
      <x:c r="F526" s="5" t="str">
        <x:v>heading</x:v>
      </x:c>
      <x:c r="G526" s="5" t="n">
        <x:v>1</x:v>
      </x:c>
      <x:c r="H526" s="5" t="n">
        <x:v>1</x:v>
      </x:c>
      <x:c r="I526" s="5" t="str">
        <x:v>#### 3. Qadvis AB (Kista / Stockholm)</x:v>
      </x:c>
      <x:c r="J526" s="5" t="str">
        <x:v>SOURCE QUOTE; unvalidated / superseded assessments</x:v>
      </x:c>
      <x:c r="L526" s="31" t="str">
        <x:v>D08, Markdown line 49; http://nas-1.tail55d152.ts.net:4100/static/NORDIC_MEDTECH_COMPETITIVE_LANDSCAPE_AND_PEER_DOSSIER.html</x:v>
      </x:c>
    </x:row>
    <x:row r="527" ht="140" customHeight="1">
      <x:c r="A527" s="5" t="str">
        <x:v>D08</x:v>
      </x:c>
      <x:c r="B527" s="5" t="str">
        <x:v>D08-L0050-1</x:v>
      </x:c>
      <x:c r="C527" s="5" t="str">
        <x:v>3. Qadvis AB (Kista / Stockholm)</x:v>
      </x:c>
      <x:c r="D527" s="5" t="n">
        <x:v>50</x:v>
      </x:c>
      <x:c r="E527" s="5" t="n">
        <x:v>54</x:v>
      </x:c>
      <x:c r="F527" s="5" t="str">
        <x:v>text</x:v>
      </x:c>
      <x:c r="G527" s="5" t="n">
        <x:v>1</x:v>
      </x:c>
      <x:c r="H527" s="5" t="n">
        <x:v>1</x:v>
      </x:c>
      <x:c r="I527" s="5" t="str">
        <x:v>- **Profile**: Highly specialized boutique focusing exclusively on medical devices, IVDs, and ISO 13485 quality systems.
- **Headcount**: ~25 senior consultants | **Revenue**: ~SEK 35M
- **Strengths**: High technical respect among Swedish medical device regulatory leads; former notified body auditors on staff.
- **Vulnerabilities / Gaps**: Boutique capacity constraints; long lead times for new client onboarding; limited software engineering and AI validation capabilities.
- **2S Differentiation**: 2S combines senior regulatory authority with full-stack software engineering and automated audit trail generation.</x:v>
      </x:c>
      <x:c r="J527" s="5" t="str">
        <x:v>SOURCE QUOTE; unvalidated / superseded assessments</x:v>
      </x:c>
      <x:c r="L527" s="31" t="str">
        <x:v>D08, Markdown line 50; http://nas-1.tail55d152.ts.net:4100/static/NORDIC_MEDTECH_COMPETITIVE_LANDSCAPE_AND_PEER_DOSSIER.html</x:v>
      </x:c>
    </x:row>
    <x:row r="528" ht="42" customHeight="1">
      <x:c r="A528" s="5" t="str">
        <x:v>D08</x:v>
      </x:c>
      <x:c r="B528" s="5" t="str">
        <x:v>D08-L0056-1</x:v>
      </x:c>
      <x:c r="C528" s="5" t="str">
        <x:v>4. Semcon Life Science (Gothenburg, Stockholm, Uppsala)</x:v>
      </x:c>
      <x:c r="D528" s="5" t="n">
        <x:v>56</x:v>
      </x:c>
      <x:c r="E528" s="5" t="n">
        <x:v>56</x:v>
      </x:c>
      <x:c r="F528" s="5" t="str">
        <x:v>heading</x:v>
      </x:c>
      <x:c r="G528" s="5" t="n">
        <x:v>1</x:v>
      </x:c>
      <x:c r="H528" s="5" t="n">
        <x:v>1</x:v>
      </x:c>
      <x:c r="I528" s="5" t="str">
        <x:v>#### 4. Semcon Life Science (Gothenburg, Stockholm, Uppsala)</x:v>
      </x:c>
      <x:c r="J528" s="5" t="str">
        <x:v>SOURCE QUOTE; unvalidated / superseded assessments</x:v>
      </x:c>
      <x:c r="L528" s="31" t="str">
        <x:v>D08, Markdown line 56; http://nas-1.tail55d152.ts.net:4100/static/NORDIC_MEDTECH_COMPETITIVE_LANDSCAPE_AND_PEER_DOSSIER.html</x:v>
      </x:c>
    </x:row>
    <x:row r="529" ht="154" customHeight="1">
      <x:c r="A529" s="5" t="str">
        <x:v>D08</x:v>
      </x:c>
      <x:c r="B529" s="5" t="str">
        <x:v>D08-L0057-1</x:v>
      </x:c>
      <x:c r="C529" s="5" t="str">
        <x:v>4. Semcon Life Science (Gothenburg, Stockholm, Uppsala)</x:v>
      </x:c>
      <x:c r="D529" s="5" t="n">
        <x:v>57</x:v>
      </x:c>
      <x:c r="E529" s="5" t="n">
        <x:v>61</x:v>
      </x:c>
      <x:c r="F529" s="5" t="str">
        <x:v>text</x:v>
      </x:c>
      <x:c r="G529" s="5" t="n">
        <x:v>1</x:v>
      </x:c>
      <x:c r="H529" s="5" t="n">
        <x:v>1</x:v>
      </x:c>
      <x:c r="I529" s="5" t="str">
        <x:v>- **Profile**: Engineering services giant with specialized life science teams focused on medical device product design, validation, and production automation.
- **Headcount**: ~1,800 total (Life Science ~300) | **Revenue**: ~SEK 1,800M
- **Strengths**: Massive engineering horsepower; extensive experience in design controls (ISO 13485 / 21 CFR 820) and manufacturing transfer.
- **Vulnerabilities / Gaps**: Heavy matrix organization; high billing rates with layers of account management; limited health economics and post-market clinical follow-up (PMCF) capabilities.
- **2S Differentiation**: 2S delivers faster agility, zero bureaucratic overhead, and end-to-end clinical trial-to-commercialization coverage.</x:v>
      </x:c>
      <x:c r="J529" s="5" t="str">
        <x:v>SOURCE QUOTE; unvalidated / superseded assessments</x:v>
      </x:c>
      <x:c r="L529" s="31" t="str">
        <x:v>D08, Markdown line 57; http://nas-1.tail55d152.ts.net:4100/static/NORDIC_MEDTECH_COMPETITIVE_LANDSCAPE_AND_PEER_DOSSIER.html</x:v>
      </x:c>
    </x:row>
    <x:row r="530" ht="42" customHeight="1">
      <x:c r="A530" s="5" t="str">
        <x:v>D08</x:v>
      </x:c>
      <x:c r="B530" s="5" t="str">
        <x:v>D08-L0063-1</x:v>
      </x:c>
      <x:c r="C530" s="5" t="str">
        <x:v>5. Prevas AB (Västerås, Stockholm, Gothenburg, Copenhagen)</x:v>
      </x:c>
      <x:c r="D530" s="5" t="n">
        <x:v>63</x:v>
      </x:c>
      <x:c r="E530" s="5" t="n">
        <x:v>63</x:v>
      </x:c>
      <x:c r="F530" s="5" t="str">
        <x:v>heading</x:v>
      </x:c>
      <x:c r="G530" s="5" t="n">
        <x:v>1</x:v>
      </x:c>
      <x:c r="H530" s="5" t="n">
        <x:v>1</x:v>
      </x:c>
      <x:c r="I530" s="5" t="str">
        <x:v>#### 5. Prevas AB (Västerås, Stockholm, Gothenburg, Copenhagen)</x:v>
      </x:c>
      <x:c r="J530" s="5" t="str">
        <x:v>SOURCE QUOTE; unvalidated / superseded assessments</x:v>
      </x:c>
      <x:c r="L530" s="31" t="str">
        <x:v>D08, Markdown line 63; http://nas-1.tail55d152.ts.net:4100/static/NORDIC_MEDTECH_COMPETITIVE_LANDSCAPE_AND_PEER_DOSSIER.html</x:v>
      </x:c>
    </x:row>
    <x:row r="531" ht="140" customHeight="1">
      <x:c r="A531" s="5" t="str">
        <x:v>D08</x:v>
      </x:c>
      <x:c r="B531" s="5" t="str">
        <x:v>D08-L0064-1</x:v>
      </x:c>
      <x:c r="C531" s="5" t="str">
        <x:v>5. Prevas AB (Västerås, Stockholm, Gothenburg, Copenhagen)</x:v>
      </x:c>
      <x:c r="D531" s="5" t="n">
        <x:v>64</x:v>
      </x:c>
      <x:c r="E531" s="5" t="n">
        <x:v>68</x:v>
      </x:c>
      <x:c r="F531" s="5" t="str">
        <x:v>text</x:v>
      </x:c>
      <x:c r="G531" s="5" t="n">
        <x:v>1</x:v>
      </x:c>
      <x:c r="H531" s="5" t="n">
        <x:v>1</x:v>
      </x:c>
      <x:c r="I531" s="5" t="str">
        <x:v>- **Profile**: Nordic engineering consultancy focused on embedded systems, IoT medical devices, and industrial life science automation.
- **Headcount**: ~850 consultants | **Revenue**: ~SEK 1,400M
- **Strengths**: Exceptional embedded software, firmware, and electronics engineering for connected point-of-care instruments.
- **Vulnerabilities / Gaps**: Engineering-first culture; weaker in clinical evidence generation, clinical evaluation reports (CER), and payer reimbursement dossiers (TLV/DMP).
- **2S Differentiation**: 2S bridges technical software design directly with clinical medical affairs and health economic value demonstration.</x:v>
      </x:c>
      <x:c r="J531" s="5" t="str">
        <x:v>SOURCE QUOTE; unvalidated / superseded assessments</x:v>
      </x:c>
      <x:c r="L531" s="31" t="str">
        <x:v>D08, Markdown line 64; http://nas-1.tail55d152.ts.net:4100/static/NORDIC_MEDTECH_COMPETITIVE_LANDSCAPE_AND_PEER_DOSSIER.html</x:v>
      </x:c>
    </x:row>
    <x:row r="532" ht="42" customHeight="1">
      <x:c r="A532" s="5" t="str">
        <x:v>D08</x:v>
      </x:c>
      <x:c r="B532" s="5" t="str">
        <x:v>D08-L0072-1</x:v>
      </x:c>
      <x:c r="C532" s="5" t="str">
        <x:v>Cluster B: Global Regulatory &amp; Clinical Advisory Houses</x:v>
      </x:c>
      <x:c r="D532" s="5" t="n">
        <x:v>72</x:v>
      </x:c>
      <x:c r="E532" s="5" t="n">
        <x:v>72</x:v>
      </x:c>
      <x:c r="F532" s="5" t="str">
        <x:v>heading</x:v>
      </x:c>
      <x:c r="G532" s="5" t="n">
        <x:v>1</x:v>
      </x:c>
      <x:c r="H532" s="5" t="n">
        <x:v>1</x:v>
      </x:c>
      <x:c r="I532" s="5" t="str">
        <x:v>### Cluster B: Global Regulatory &amp; Clinical Advisory Houses</x:v>
      </x:c>
      <x:c r="J532" s="5" t="str">
        <x:v>SOURCE QUOTE; unvalidated / superseded assessments</x:v>
      </x:c>
      <x:c r="L532" s="31" t="str">
        <x:v>D08, Markdown line 72; http://nas-1.tail55d152.ts.net:4100/static/NORDIC_MEDTECH_COMPETITIVE_LANDSCAPE_AND_PEER_DOSSIER.html</x:v>
      </x:c>
    </x:row>
    <x:row r="533" ht="42" customHeight="1">
      <x:c r="A533" s="5" t="str">
        <x:v>D08</x:v>
      </x:c>
      <x:c r="B533" s="5" t="str">
        <x:v>D08-L0074-1</x:v>
      </x:c>
      <x:c r="C533" s="5" t="str">
        <x:v>6. Emergo by UL (Nordic coverage via Lund/Stockholm &amp; Global Hubs)</x:v>
      </x:c>
      <x:c r="D533" s="5" t="n">
        <x:v>74</x:v>
      </x:c>
      <x:c r="E533" s="5" t="n">
        <x:v>74</x:v>
      </x:c>
      <x:c r="F533" s="5" t="str">
        <x:v>heading</x:v>
      </x:c>
      <x:c r="G533" s="5" t="n">
        <x:v>1</x:v>
      </x:c>
      <x:c r="H533" s="5" t="n">
        <x:v>1</x:v>
      </x:c>
      <x:c r="I533" s="5" t="str">
        <x:v>#### 6. Emergo by UL (Nordic coverage via Lund/Stockholm &amp; Global Hubs)</x:v>
      </x:c>
      <x:c r="J533" s="5" t="str">
        <x:v>SOURCE QUOTE; unvalidated / superseded assessments</x:v>
      </x:c>
      <x:c r="L533" s="31" t="str">
        <x:v>D08, Markdown line 74; http://nas-1.tail55d152.ts.net:4100/static/NORDIC_MEDTECH_COMPETITIVE_LANDSCAPE_AND_PEER_DOSSIER.html</x:v>
      </x:c>
    </x:row>
    <x:row r="534" ht="140" customHeight="1">
      <x:c r="A534" s="5" t="str">
        <x:v>D08</x:v>
      </x:c>
      <x:c r="B534" s="5" t="str">
        <x:v>D08-L0075-1</x:v>
      </x:c>
      <x:c r="C534" s="5" t="str">
        <x:v>6. Emergo by UL (Nordic coverage via Lund/Stockholm &amp; Global Hubs)</x:v>
      </x:c>
      <x:c r="D534" s="5" t="n">
        <x:v>75</x:v>
      </x:c>
      <x:c r="E534" s="5" t="n">
        <x:v>79</x:v>
      </x:c>
      <x:c r="F534" s="5" t="str">
        <x:v>text</x:v>
      </x:c>
      <x:c r="G534" s="5" t="n">
        <x:v>1</x:v>
      </x:c>
      <x:c r="H534" s="5" t="n">
        <x:v>1</x:v>
      </x:c>
      <x:c r="I534" s="5" t="str">
        <x:v>- **Profile**: Global regulatory affairs consultancy division of Underwriters Laboratories (UL), providing global market access, human factors, and QA/RA.
- **Headcount**: 500+ globally | **Parent Revenue**: &gt;$2.5B
- **Strengths**: Global geographic reach for regulatory submissions (FDA, CE, NMPA, PMDA, TGA); recognized human factors engineering practice.
- **Vulnerabilities / Gaps**: Highly transactional and templated; expensive global overhead; slow response times; lack of hands-on software engineering support.
- **2S Differentiation**: 2S provides intimate senior partner engagement with hands-on technical remediation and local Nordic operational presence.</x:v>
      </x:c>
      <x:c r="J534" s="5" t="str">
        <x:v>SOURCE QUOTE; unvalidated / superseded assessments</x:v>
      </x:c>
      <x:c r="L534" s="31" t="str">
        <x:v>D08, Markdown line 75; http://nas-1.tail55d152.ts.net:4100/static/NORDIC_MEDTECH_COMPETITIVE_LANDSCAPE_AND_PEER_DOSSIER.html</x:v>
      </x:c>
    </x:row>
    <x:row r="535" ht="42" customHeight="1">
      <x:c r="A535" s="5" t="str">
        <x:v>D08</x:v>
      </x:c>
      <x:c r="B535" s="5" t="str">
        <x:v>D08-L0081-1</x:v>
      </x:c>
      <x:c r="C535" s="5" t="str">
        <x:v>7. LINK Medical Research (Oslo, Stockholm, Copenhagen)</x:v>
      </x:c>
      <x:c r="D535" s="5" t="n">
        <x:v>81</x:v>
      </x:c>
      <x:c r="E535" s="5" t="n">
        <x:v>81</x:v>
      </x:c>
      <x:c r="F535" s="5" t="str">
        <x:v>heading</x:v>
      </x:c>
      <x:c r="G535" s="5" t="n">
        <x:v>1</x:v>
      </x:c>
      <x:c r="H535" s="5" t="n">
        <x:v>1</x:v>
      </x:c>
      <x:c r="I535" s="5" t="str">
        <x:v>#### 7. LINK Medical Research (Oslo, Stockholm, Copenhagen)</x:v>
      </x:c>
      <x:c r="J535" s="5" t="str">
        <x:v>SOURCE QUOTE; unvalidated / superseded assessments</x:v>
      </x:c>
      <x:c r="L535" s="31" t="str">
        <x:v>D08, Markdown line 81; http://nas-1.tail55d152.ts.net:4100/static/NORDIC_MEDTECH_COMPETITIVE_LANDSCAPE_AND_PEER_DOSSIER.html</x:v>
      </x:c>
    </x:row>
    <x:row r="536" ht="154" customHeight="1">
      <x:c r="A536" s="5" t="str">
        <x:v>D08</x:v>
      </x:c>
      <x:c r="B536" s="5" t="str">
        <x:v>D08-L0082-1</x:v>
      </x:c>
      <x:c r="C536" s="5" t="str">
        <x:v>7. LINK Medical Research (Oslo, Stockholm, Copenhagen)</x:v>
      </x:c>
      <x:c r="D536" s="5" t="n">
        <x:v>82</x:v>
      </x:c>
      <x:c r="E536" s="5" t="n">
        <x:v>86</x:v>
      </x:c>
      <x:c r="F536" s="5" t="str">
        <x:v>text</x:v>
      </x:c>
      <x:c r="G536" s="5" t="n">
        <x:v>1</x:v>
      </x:c>
      <x:c r="H536" s="5" t="n">
        <x:v>1</x:v>
      </x:c>
      <x:c r="I536" s="5" t="str">
        <x:v>- **Profile**: Leading Northern European full-service Contract Research Organization (CRO) offering clinical development, regulatory affairs, and post-market surveillance.
- **Headcount**: ~220 specialists | **Revenue**: ~NOK 350M
- **Strengths**: Strong Nordic clinical site networks, electronic data capture (EDC), and protocol design; deep regional footprint across Norway, Sweden, and Denmark.
- **Vulnerabilities / Gaps**: Primarily focused on clinical trial execution rather than digital medical device software lifecycle (IEC 62304) or AI Act algorithm governance.
- **2S Opportunity**: **Prime Strategic Co-opetition Partner**. 2S can partner with LINK Medical to handle digital SaMD, cybersecurity, and AI Act compliance while LINK runs the clinical sites.</x:v>
      </x:c>
      <x:c r="J536" s="5" t="str">
        <x:v>SOURCE QUOTE; unvalidated / superseded assessments</x:v>
      </x:c>
      <x:c r="L536" s="31" t="str">
        <x:v>D08, Markdown line 82; http://nas-1.tail55d152.ts.net:4100/static/NORDIC_MEDTECH_COMPETITIVE_LANDSCAPE_AND_PEER_DOSSIER.html</x:v>
      </x:c>
    </x:row>
    <x:row r="537" ht="42" customHeight="1">
      <x:c r="A537" s="5" t="str">
        <x:v>D08</x:v>
      </x:c>
      <x:c r="B537" s="5" t="str">
        <x:v>D08-L0088-1</x:v>
      </x:c>
      <x:c r="C537" s="5" t="str">
        <x:v>8. ProPharma Group (Nordic presence via acquisitions)</x:v>
      </x:c>
      <x:c r="D537" s="5" t="n">
        <x:v>88</x:v>
      </x:c>
      <x:c r="E537" s="5" t="n">
        <x:v>88</x:v>
      </x:c>
      <x:c r="F537" s="5" t="str">
        <x:v>heading</x:v>
      </x:c>
      <x:c r="G537" s="5" t="n">
        <x:v>1</x:v>
      </x:c>
      <x:c r="H537" s="5" t="n">
        <x:v>1</x:v>
      </x:c>
      <x:c r="I537" s="5" t="str">
        <x:v>#### 8. ProPharma Group (Nordic presence via acquisitions)</x:v>
      </x:c>
      <x:c r="J537" s="5" t="str">
        <x:v>SOURCE QUOTE; unvalidated / superseded assessments</x:v>
      </x:c>
      <x:c r="L537" s="31" t="str">
        <x:v>D08, Markdown line 88; http://nas-1.tail55d152.ts.net:4100/static/NORDIC_MEDTECH_COMPETITIVE_LANDSCAPE_AND_PEER_DOSSIER.html</x:v>
      </x:c>
    </x:row>
    <x:row r="538" ht="140" customHeight="1">
      <x:c r="A538" s="5" t="str">
        <x:v>D08</x:v>
      </x:c>
      <x:c r="B538" s="5" t="str">
        <x:v>D08-L0089-1</x:v>
      </x:c>
      <x:c r="C538" s="5" t="str">
        <x:v>8. ProPharma Group (Nordic presence via acquisitions)</x:v>
      </x:c>
      <x:c r="D538" s="5" t="n">
        <x:v>89</x:v>
      </x:c>
      <x:c r="E538" s="5" t="n">
        <x:v>93</x:v>
      </x:c>
      <x:c r="F538" s="5" t="str">
        <x:v>text</x:v>
      </x:c>
      <x:c r="G538" s="5" t="n">
        <x:v>1</x:v>
      </x:c>
      <x:c r="H538" s="5" t="n">
        <x:v>1</x:v>
      </x:c>
      <x:c r="I538" s="5" t="str">
        <x:v>- **Profile**: Global compliance, regulatory sciences, and pharmacovigilance consultancy supporting pharma, biotech, and medtech.
- **Headcount**: 2,500+ globally | **Revenue**: Private Equity backed
- **Strengths**: Comprehensive pharmacovigilance and medical communications; deep FDA/EMA pharmaceutical submission experience.
- **Vulnerabilities / Gaps**: Primary heritage is pharmaceutical; less agile in high-speed medical device software, SaMD Rule 11, and cybersecurity (MDCG 2019-16).
- **2S Differentiation**: 2S specializes in digital health, AI algorithms, and connected medtech devices.</x:v>
      </x:c>
      <x:c r="J538" s="5" t="str">
        <x:v>SOURCE QUOTE; unvalidated / superseded assessments</x:v>
      </x:c>
      <x:c r="L538" s="31" t="str">
        <x:v>D08, Markdown line 89; http://nas-1.tail55d152.ts.net:4100/static/NORDIC_MEDTECH_COMPETITIVE_LANDSCAPE_AND_PEER_DOSSIER.html</x:v>
      </x:c>
    </x:row>
    <x:row r="539" ht="42" customHeight="1">
      <x:c r="A539" s="5" t="str">
        <x:v>D08</x:v>
      </x:c>
      <x:c r="B539" s="5" t="str">
        <x:v>D08-L0095-1</x:v>
      </x:c>
      <x:c r="C539" s="5" t="str">
        <x:v>9. Celegence (Global with European Delivery)</x:v>
      </x:c>
      <x:c r="D539" s="5" t="n">
        <x:v>95</x:v>
      </x:c>
      <x:c r="E539" s="5" t="n">
        <x:v>95</x:v>
      </x:c>
      <x:c r="F539" s="5" t="str">
        <x:v>heading</x:v>
      </x:c>
      <x:c r="G539" s="5" t="n">
        <x:v>1</x:v>
      </x:c>
      <x:c r="H539" s="5" t="n">
        <x:v>1</x:v>
      </x:c>
      <x:c r="I539" s="5" t="str">
        <x:v>#### 9. Celegence (Global with European Delivery)</x:v>
      </x:c>
      <x:c r="J539" s="5" t="str">
        <x:v>SOURCE QUOTE; unvalidated / superseded assessments</x:v>
      </x:c>
      <x:c r="L539" s="31" t="str">
        <x:v>D08, Markdown line 95; http://nas-1.tail55d152.ts.net:4100/static/NORDIC_MEDTECH_COMPETITIVE_LANDSCAPE_AND_PEER_DOSSIER.html</x:v>
      </x:c>
    </x:row>
    <x:row r="540" ht="140" customHeight="1">
      <x:c r="A540" s="5" t="str">
        <x:v>D08</x:v>
      </x:c>
      <x:c r="B540" s="5" t="str">
        <x:v>D08-L0096-1</x:v>
      </x:c>
      <x:c r="C540" s="5" t="str">
        <x:v>9. Celegence (Global with European Delivery)</x:v>
      </x:c>
      <x:c r="D540" s="5" t="n">
        <x:v>96</x:v>
      </x:c>
      <x:c r="E540" s="5" t="n">
        <x:v>100</x:v>
      </x:c>
      <x:c r="F540" s="5" t="str">
        <x:v>text</x:v>
      </x:c>
      <x:c r="G540" s="5" t="n">
        <x:v>1</x:v>
      </x:c>
      <x:c r="H540" s="5" t="n">
        <x:v>1</x:v>
      </x:c>
      <x:c r="I540" s="5" t="str">
        <x:v>- **Profile**: Technology-enabled regulatory services provider specializing in EU MDR technical documentation and IVDR transition automation.
- **Headcount**: ~150 specialists
- **Strengths**: Modern software-assisted regulatory writing; strong focus on CER/PER authoring.
- **Vulnerabilities / Gaps**: Offshore writing centers can struggle with nuanced Nordic notified body expectations and lack local on-site Swedish/Danish presence.
- **2S Differentiation**: 2S provides on-site Nordic presence, Swiss quality standards, and deep technical engineering integration.</x:v>
      </x:c>
      <x:c r="J540" s="5" t="str">
        <x:v>SOURCE QUOTE; unvalidated / superseded assessments</x:v>
      </x:c>
      <x:c r="L540" s="31" t="str">
        <x:v>D08, Markdown line 96; http://nas-1.tail55d152.ts.net:4100/static/NORDIC_MEDTECH_COMPETITIVE_LANDSCAPE_AND_PEER_DOSSIER.html</x:v>
      </x:c>
    </x:row>
    <x:row r="541" ht="56" customHeight="1">
      <x:c r="A541" s="5" t="str">
        <x:v>D08</x:v>
      </x:c>
      <x:c r="B541" s="5" t="str">
        <x:v>D08-L0104-1</x:v>
      </x:c>
      <x:c r="C541" s="5" t="str">
        <x:v>Cluster C: Strategic Management &amp; Specialized Health Economics Consultancies</x:v>
      </x:c>
      <x:c r="D541" s="5" t="n">
        <x:v>104</x:v>
      </x:c>
      <x:c r="E541" s="5" t="n">
        <x:v>104</x:v>
      </x:c>
      <x:c r="F541" s="5" t="str">
        <x:v>heading</x:v>
      </x:c>
      <x:c r="G541" s="5" t="n">
        <x:v>1</x:v>
      </x:c>
      <x:c r="H541" s="5" t="n">
        <x:v>1</x:v>
      </x:c>
      <x:c r="I541" s="5" t="str">
        <x:v>### Cluster C: Strategic Management &amp; Specialized Health Economics Consultancies</x:v>
      </x:c>
      <x:c r="J541" s="5" t="str">
        <x:v>SOURCE QUOTE; unvalidated / superseded assessments</x:v>
      </x:c>
      <x:c r="L541" s="31" t="str">
        <x:v>D08, Markdown line 104; http://nas-1.tail55d152.ts.net:4100/static/NORDIC_MEDTECH_COMPETITIVE_LANDSCAPE_AND_PEER_DOSSIER.html</x:v>
      </x:c>
    </x:row>
    <x:row r="542" ht="42" customHeight="1">
      <x:c r="A542" s="5" t="str">
        <x:v>D08</x:v>
      </x:c>
      <x:c r="B542" s="5" t="str">
        <x:v>D08-L0106-1</x:v>
      </x:c>
      <x:c r="C542" s="5" t="str">
        <x:v>10. PA Consulting Group (Stockholm, Copenhagen, London)</x:v>
      </x:c>
      <x:c r="D542" s="5" t="n">
        <x:v>106</x:v>
      </x:c>
      <x:c r="E542" s="5" t="n">
        <x:v>106</x:v>
      </x:c>
      <x:c r="F542" s="5" t="str">
        <x:v>heading</x:v>
      </x:c>
      <x:c r="G542" s="5" t="n">
        <x:v>1</x:v>
      </x:c>
      <x:c r="H542" s="5" t="n">
        <x:v>1</x:v>
      </x:c>
      <x:c r="I542" s="5" t="str">
        <x:v>#### 10. PA Consulting Group (Stockholm, Copenhagen, London)</x:v>
      </x:c>
      <x:c r="J542" s="5" t="str">
        <x:v>SOURCE QUOTE; unvalidated / superseded assessments</x:v>
      </x:c>
      <x:c r="L542" s="31" t="str">
        <x:v>D08, Markdown line 106; http://nas-1.tail55d152.ts.net:4100/static/NORDIC_MEDTECH_COMPETITIVE_LANDSCAPE_AND_PEER_DOSSIER.html</x:v>
      </x:c>
    </x:row>
    <x:row r="543" ht="154" customHeight="1">
      <x:c r="A543" s="5" t="str">
        <x:v>D08</x:v>
      </x:c>
      <x:c r="B543" s="5" t="str">
        <x:v>D08-L0107-1</x:v>
      </x:c>
      <x:c r="C543" s="5" t="str">
        <x:v>10. PA Consulting Group (Stockholm, Copenhagen, London)</x:v>
      </x:c>
      <x:c r="D543" s="5" t="n">
        <x:v>107</x:v>
      </x:c>
      <x:c r="E543" s="5" t="n">
        <x:v>111</x:v>
      </x:c>
      <x:c r="F543" s="5" t="str">
        <x:v>text</x:v>
      </x:c>
      <x:c r="G543" s="5" t="n">
        <x:v>1</x:v>
      </x:c>
      <x:c r="H543" s="5" t="n">
        <x:v>1</x:v>
      </x:c>
      <x:c r="I543" s="5" t="str">
        <x:v>- **Profile**: Global innovation and management consultancy with an acclaimed medical device design and commercial strategy team in Scandinavia.
- **Headcount**: ~4,000 globally | **Revenue**: &gt;£800M
- **Strengths**: World-class industrial design, user experience, and breakthrough device prototyping; high boardroom prestige.
- **Vulnerabilities / Gaps**: Premium strategy billing rates (SEK 25,000–35,000/day); rarely handles the unglamorous day-to-day notified body audit defense or detailed technical remediation.
- **2S Differentiation**: 2S provides pragmatic, operational execution and continuous compliance management at half the total cost of ownership.</x:v>
      </x:c>
      <x:c r="J543" s="5" t="str">
        <x:v>SOURCE QUOTE; unvalidated / superseded assessments</x:v>
      </x:c>
      <x:c r="L543" s="31" t="str">
        <x:v>D08, Markdown line 107; http://nas-1.tail55d152.ts.net:4100/static/NORDIC_MEDTECH_COMPETITIVE_LANDSCAPE_AND_PEER_DOSSIER.html</x:v>
      </x:c>
    </x:row>
    <x:row r="544" ht="42" customHeight="1">
      <x:c r="A544" s="5" t="str">
        <x:v>D08</x:v>
      </x:c>
      <x:c r="B544" s="5" t="str">
        <x:v>D08-L0113-1</x:v>
      </x:c>
      <x:c r="C544" s="5" t="str">
        <x:v>11. Sirona Health Solutions (Stockholm, Gothenburg)</x:v>
      </x:c>
      <x:c r="D544" s="5" t="n">
        <x:v>113</x:v>
      </x:c>
      <x:c r="E544" s="5" t="n">
        <x:v>113</x:v>
      </x:c>
      <x:c r="F544" s="5" t="str">
        <x:v>heading</x:v>
      </x:c>
      <x:c r="G544" s="5" t="n">
        <x:v>1</x:v>
      </x:c>
      <x:c r="H544" s="5" t="n">
        <x:v>1</x:v>
      </x:c>
      <x:c r="I544" s="5" t="str">
        <x:v>#### 11. Sirona Health Solutions (Stockholm, Gothenburg)</x:v>
      </x:c>
      <x:c r="J544" s="5" t="str">
        <x:v>SOURCE QUOTE; unvalidated / superseded assessments</x:v>
      </x:c>
      <x:c r="L544" s="31" t="str">
        <x:v>D08, Markdown line 113; http://nas-1.tail55d152.ts.net:4100/static/NORDIC_MEDTECH_COMPETITIVE_LANDSCAPE_AND_PEER_DOSSIER.html</x:v>
      </x:c>
    </x:row>
    <x:row r="545" ht="140" customHeight="1">
      <x:c r="A545" s="5" t="str">
        <x:v>D08</x:v>
      </x:c>
      <x:c r="B545" s="5" t="str">
        <x:v>D08-L0114-1</x:v>
      </x:c>
      <x:c r="C545" s="5" t="str">
        <x:v>11. Sirona Health Solutions (Stockholm, Gothenburg)</x:v>
      </x:c>
      <x:c r="D545" s="5" t="n">
        <x:v>114</x:v>
      </x:c>
      <x:c r="E545" s="5" t="n">
        <x:v>118</x:v>
      </x:c>
      <x:c r="F545" s="5" t="str">
        <x:v>text</x:v>
      </x:c>
      <x:c r="G545" s="5" t="n">
        <x:v>1</x:v>
      </x:c>
      <x:c r="H545" s="5" t="n">
        <x:v>1</x:v>
      </x:c>
      <x:c r="I545" s="5" t="str">
        <x:v>- **Profile**: Specialized Nordic healthcare management consultancy focusing on health economics, value-based healthcare, and public healthcare system transformation.
- **Headcount**: ~40 consultants | **Revenue**: ~SEK 60M
- **Strengths**: Exceptional relationships with Swedish regional healthcare authorities (Region Stockholm, Västra Götaland, Region Skåne); deep TLV reimbursement expertise.
- **Vulnerabilities / Gaps**: Purely health systems and policy focused; does not perform medical device engineering, ISO 13485 QMS design, or software validation.
- **2S Opportunity**: **Potential Alliance Partner**. 2S handles the technical/clinical files and combines with Sirona for complex public hospital procurement tenders.</x:v>
      </x:c>
      <x:c r="J545" s="5" t="str">
        <x:v>SOURCE QUOTE; unvalidated / superseded assessments</x:v>
      </x:c>
      <x:c r="L545" s="31" t="str">
        <x:v>D08, Markdown line 114; http://nas-1.tail55d152.ts.net:4100/static/NORDIC_MEDTECH_COMPETITIVE_LANDSCAPE_AND_PEER_DOSSIER.html</x:v>
      </x:c>
    </x:row>
    <x:row r="546" ht="42" customHeight="1">
      <x:c r="A546" s="5" t="str">
        <x:v>D08</x:v>
      </x:c>
      <x:c r="B546" s="5" t="str">
        <x:v>D08-L0120-1</x:v>
      </x:c>
      <x:c r="C546" s="5" t="str">
        <x:v>12. IQVIA Nordic (Solna/Stockholm, Copenhagen)</x:v>
      </x:c>
      <x:c r="D546" s="5" t="n">
        <x:v>120</x:v>
      </x:c>
      <x:c r="E546" s="5" t="n">
        <x:v>120</x:v>
      </x:c>
      <x:c r="F546" s="5" t="str">
        <x:v>heading</x:v>
      </x:c>
      <x:c r="G546" s="5" t="n">
        <x:v>1</x:v>
      </x:c>
      <x:c r="H546" s="5" t="n">
        <x:v>1</x:v>
      </x:c>
      <x:c r="I546" s="5" t="str">
        <x:v>#### 12. IQVIA Nordic (Solna/Stockholm, Copenhagen)</x:v>
      </x:c>
      <x:c r="J546" s="5" t="str">
        <x:v>SOURCE QUOTE; unvalidated / superseded assessments</x:v>
      </x:c>
      <x:c r="L546" s="31" t="str">
        <x:v>D08, Markdown line 120; http://nas-1.tail55d152.ts.net:4100/static/NORDIC_MEDTECH_COMPETITIVE_LANDSCAPE_AND_PEER_DOSSIER.html</x:v>
      </x:c>
    </x:row>
    <x:row r="547" ht="140" customHeight="1">
      <x:c r="A547" s="5" t="str">
        <x:v>D08</x:v>
      </x:c>
      <x:c r="B547" s="5" t="str">
        <x:v>D08-L0121-1</x:v>
      </x:c>
      <x:c r="C547" s="5" t="str">
        <x:v>12. IQVIA Nordic (Solna/Stockholm, Copenhagen)</x:v>
      </x:c>
      <x:c r="D547" s="5" t="n">
        <x:v>121</x:v>
      </x:c>
      <x:c r="E547" s="5" t="n">
        <x:v>125</x:v>
      </x:c>
      <x:c r="F547" s="5" t="str">
        <x:v>text</x:v>
      </x:c>
      <x:c r="G547" s="5" t="n">
        <x:v>1</x:v>
      </x:c>
      <x:c r="H547" s="5" t="n">
        <x:v>1</x:v>
      </x:c>
      <x:c r="I547" s="5" t="str">
        <x:v>- **Profile**: Global life sciences data, analytics, and clinical research powerhouse with massive presence across Scandinavia.
- **Headcount**: 85,000+ globally | **Revenue**: &gt;$14B
- **Strengths**: Unmatched prescription and clinical registry data assets; global commercial scaling capabilities.
- **Vulnerabilities / Gaps**: Massive bureaucratic inertia; prohibitively expensive for mid-market medtech; generic standardized consulting deliverables.
- **2S Differentiation**: 2S provides bespoke, rapid-execution advisory with proprietary HCare360 platform integration for small-to-midsize Nordic innovators.</x:v>
      </x:c>
      <x:c r="J547" s="5" t="str">
        <x:v>SOURCE QUOTE; unvalidated / superseded assessments</x:v>
      </x:c>
      <x:c r="L547" s="31" t="str">
        <x:v>D08, Markdown line 121; http://nas-1.tail55d152.ts.net:4100/static/NORDIC_MEDTECH_COMPETITIVE_LANDSCAPE_AND_PEER_DOSSIER.html</x:v>
      </x:c>
    </x:row>
    <x:row r="548" ht="42" customHeight="1">
      <x:c r="A548" s="5" t="str">
        <x:v>D08</x:v>
      </x:c>
      <x:c r="B548" s="5" t="str">
        <x:v>D08-L0129-1</x:v>
      </x:c>
      <x:c r="C548" s="5" t="str">
        <x:v>3. Comprehensive Competitive Capability Matrix</x:v>
      </x:c>
      <x:c r="D548" s="5" t="n">
        <x:v>129</x:v>
      </x:c>
      <x:c r="E548" s="5" t="n">
        <x:v>129</x:v>
      </x:c>
      <x:c r="F548" s="5" t="str">
        <x:v>heading</x:v>
      </x:c>
      <x:c r="G548" s="5" t="n">
        <x:v>1</x:v>
      </x:c>
      <x:c r="H548" s="5" t="n">
        <x:v>1</x:v>
      </x:c>
      <x:c r="I548" s="5" t="str">
        <x:v>## 3. Comprehensive Competitive Capability Matrix</x:v>
      </x:c>
      <x:c r="J548" s="5" t="str">
        <x:v>SOURCE QUOTE; unvalidated / superseded assessments</x:v>
      </x:c>
      <x:c r="L548" s="31" t="str">
        <x:v>D08, Markdown line 129; http://nas-1.tail55d152.ts.net:4100/static/NORDIC_MEDTECH_COMPETITIVE_LANDSCAPE_AND_PEER_DOSSIER.html</x:v>
      </x:c>
    </x:row>
    <x:row r="549" ht="42" customHeight="1">
      <x:c r="A549" s="5" t="str">
        <x:v>D08</x:v>
      </x:c>
      <x:c r="B549" s="5" t="str">
        <x:v>D08-L0145-1</x:v>
      </x:c>
      <x:c r="C549" s="5" t="str">
        <x:v>4. Why Nordic Clients Switch to 2S Consulting</x:v>
      </x:c>
      <x:c r="D549" s="5" t="n">
        <x:v>145</x:v>
      </x:c>
      <x:c r="E549" s="5" t="n">
        <x:v>145</x:v>
      </x:c>
      <x:c r="F549" s="5" t="str">
        <x:v>heading</x:v>
      </x:c>
      <x:c r="G549" s="5" t="n">
        <x:v>1</x:v>
      </x:c>
      <x:c r="H549" s="5" t="n">
        <x:v>1</x:v>
      </x:c>
      <x:c r="I549" s="5" t="str">
        <x:v>## 4. Why Nordic Clients Switch to 2S Consulting</x:v>
      </x:c>
      <x:c r="J549" s="5" t="str">
        <x:v>SOURCE QUOTE; unvalidated / superseded assessments</x:v>
      </x:c>
      <x:c r="L549" s="31" t="str">
        <x:v>D08, Markdown line 145; http://nas-1.tail55d152.ts.net:4100/static/NORDIC_MEDTECH_COMPETITIVE_LANDSCAPE_AND_PEER_DOSSIER.html</x:v>
      </x:c>
    </x:row>
    <x:row r="550" ht="238" customHeight="1">
      <x:c r="A550" s="5" t="str">
        <x:v>D08</x:v>
      </x:c>
      <x:c r="B550" s="5" t="str">
        <x:v>D08-L0147-1</x:v>
      </x:c>
      <x:c r="C550" s="5" t="str">
        <x:v>4. Why Nordic Clients Switch to 2S Consulting</x:v>
      </x:c>
      <x:c r="D550" s="5" t="n">
        <x:v>147</x:v>
      </x:c>
      <x:c r="E550" s="5" t="n">
        <x:v>156</x:v>
      </x:c>
      <x:c r="F550" s="5" t="str">
        <x:v>text</x:v>
      </x:c>
      <x:c r="G550" s="5" t="n">
        <x:v>1</x:v>
      </x:c>
      <x:c r="H550" s="5" t="n">
        <x:v>2</x:v>
      </x:c>
      <x:c r="I550" s="5" t="str">
        <x:v>Based on client post-mortems and industry interviews, medtech executives consistently cite four primary reasons for leaving legacy consultancies to partner with 2S Consulting:
1. **Elimination of the "Consulting Trap" (Endless Hourly Invoicing)**:
   - *Legacy Model*: Large consultancies staff projects with 3–5 junior engineers at SEK 1,800–2,500/hour, generating thick PDF binders that still require internal rework.
   - *The 2S Model*: 2S deploys fixed-price **Wedge Audits** (48-hour gap scans) followed by guaranteed milestone outcomes, drastically reducing total spend.
2. **Platform-Enabled Compliance (HCare360) vs. Static Spreadsheets**:
   - Instead of maintaining quality records across disconnected Word and Excel files, 2S installs HCare360 to continuously monitor design controls, software changes, and audit trails in real time.
3. **True Software Engineering &amp; Algorithmic Literacy**:
   - When modern device companies develop AI-assisted radiology or patient-monitoring software, traditional regulatory consultants struggle to understand Git workflows, automated testing, or model retraining pipelines. 2S founders have computer science and clinical engineering backgrounds, bridgi</x:v>
      </x:c>
      <x:c r="J550" s="5" t="str">
        <x:v>SOURCE QUOTE; unvalidated / superseded assessments</x:v>
      </x:c>
      <x:c r="L550" s="31" t="str">
        <x:v>D08, Markdown line 147; http://nas-1.tail55d152.ts.net:4100/static/NORDIC_MEDTECH_COMPETITIVE_LANDSCAPE_AND_PEER_DOSSIER.html</x:v>
      </x:c>
    </x:row>
    <x:row r="551" ht="84" customHeight="1">
      <x:c r="A551" s="5" t="str">
        <x:v>D08</x:v>
      </x:c>
      <x:c r="B551" s="5" t="str">
        <x:v>D08-L0147-2</x:v>
      </x:c>
      <x:c r="C551" s="5" t="str">
        <x:v>4. Why Nordic Clients Switch to 2S Consulting</x:v>
      </x:c>
      <x:c r="D551" s="5" t="n">
        <x:v>147</x:v>
      </x:c>
      <x:c r="E551" s="5" t="n">
        <x:v>156</x:v>
      </x:c>
      <x:c r="F551" s="5" t="str">
        <x:v>text</x:v>
      </x:c>
      <x:c r="G551" s="5" t="n">
        <x:v>2</x:v>
      </x:c>
      <x:c r="H551" s="5" t="n">
        <x:v>2</x:v>
      </x:c>
      <x:c r="I551" s="5" t="str">
        <x:v>ng the gap seamlessly.
4. **Guaranteed Senior Attention**:
   - With 2S, founders **Hichem Sellami** and **Safa Sellami** personally architect the regulatory submission strategy, preventing the classic consulting bait-and-switch where senior partners disappear after the proposal is signed.</x:v>
      </x:c>
      <x:c r="J551" s="5" t="str">
        <x:v>SOURCE QUOTE; unvalidated / superseded assessments</x:v>
      </x:c>
      <x:c r="L551" s="31" t="str">
        <x:v>D08, Markdown line 147; http://nas-1.tail55d152.ts.net:4100/static/NORDIC_MEDTECH_COMPETITIVE_LANDSCAPE_AND_PEER_DOSSIER.html</x:v>
      </x:c>
    </x:row>
    <x:row r="552" ht="42" customHeight="1">
      <x:c r="A552" s="5" t="str">
        <x:v>D08</x:v>
      </x:c>
      <x:c r="B552" s="5" t="str">
        <x:v>D08-L0160-1</x:v>
      </x:c>
      <x:c r="C552" s="5" t="str">
        <x:v>5. Strategic "Landmines to Set": Discovery Questions for Prospects</x:v>
      </x:c>
      <x:c r="D552" s="5" t="n">
        <x:v>160</x:v>
      </x:c>
      <x:c r="E552" s="5" t="n">
        <x:v>160</x:v>
      </x:c>
      <x:c r="F552" s="5" t="str">
        <x:v>heading</x:v>
      </x:c>
      <x:c r="G552" s="5" t="n">
        <x:v>1</x:v>
      </x:c>
      <x:c r="H552" s="5" t="n">
        <x:v>1</x:v>
      </x:c>
      <x:c r="I552" s="5" t="str">
        <x:v>## 5. Strategic "Landmines to Set": Discovery Questions for Prospects</x:v>
      </x:c>
      <x:c r="J552" s="5" t="str">
        <x:v>SOURCE QUOTE; unvalidated / superseded assessments</x:v>
      </x:c>
      <x:c r="L552" s="31" t="str">
        <x:v>D08, Markdown line 160; http://nas-1.tail55d152.ts.net:4100/static/NORDIC_MEDTECH_COMPETITIVE_LANDSCAPE_AND_PEER_DOSSIER.html</x:v>
      </x:c>
    </x:row>
    <x:row r="553" ht="56" customHeight="1">
      <x:c r="A553" s="5" t="str">
        <x:v>D08</x:v>
      </x:c>
      <x:c r="B553" s="5" t="str">
        <x:v>D08-L0162-1</x:v>
      </x:c>
      <x:c r="C553" s="5" t="str">
        <x:v>5. Strategic "Landmines to Set": Discovery Questions for Prospects</x:v>
      </x:c>
      <x:c r="D553" s="5" t="n">
        <x:v>162</x:v>
      </x:c>
      <x:c r="E553" s="5" t="n">
        <x:v>162</x:v>
      </x:c>
      <x:c r="F553" s="5" t="str">
        <x:v>text</x:v>
      </x:c>
      <x:c r="G553" s="5" t="n">
        <x:v>1</x:v>
      </x:c>
      <x:c r="H553" s="5" t="n">
        <x:v>1</x:v>
      </x:c>
      <x:c r="I553" s="5" t="str">
        <x:v>When conducting outreach calls or discovery meetings with Nordic medtech executives (e.g. at Getinge, Elekta, RaySearch, Camurus), arm the prospect with these 5 critical questions to ask their current consulting suppliers:</x:v>
      </x:c>
      <x:c r="J553" s="5" t="str">
        <x:v>SOURCE QUOTE; unvalidated / superseded assessments</x:v>
      </x:c>
      <x:c r="L553" s="31" t="str">
        <x:v>D08, Markdown line 162; http://nas-1.tail55d152.ts.net:4100/static/NORDIC_MEDTECH_COMPETITIVE_LANDSCAPE_AND_PEER_DOSSIER.html</x:v>
      </x:c>
    </x:row>
    <x:row r="554" ht="350" customHeight="1">
      <x:c r="A554" s="5" t="str">
        <x:v>D08</x:v>
      </x:c>
      <x:c r="B554" s="5" t="str">
        <x:v>D08-L0164-1</x:v>
      </x:c>
      <x:c r="C554" s="5" t="str">
        <x:v>5. Strategic "Landmines to Set": Discovery Questions for Prospects</x:v>
      </x:c>
      <x:c r="D554" s="5" t="n">
        <x:v>164</x:v>
      </x:c>
      <x:c r="E554" s="5" t="n">
        <x:v>186</x:v>
      </x:c>
      <x:c r="F554" s="5" t="str">
        <x:v>diagram / code</x:v>
      </x:c>
      <x:c r="G554" s="5" t="n">
        <x:v>1</x:v>
      </x:c>
      <x:c r="H554" s="5" t="n">
        <x:v>2</x:v>
      </x:c>
      <x:c r="I554" s="5" t="str">
        <x:v>```
+----------------------------------------------------------------------------------------------------+
|                                    FIVE STRATEGIC LANDMINES TO SET                                 |
+----------------------------------------------------------------------------------------------------+
|                                                                                                    |
|  1. "Does your firm provide an automated digital compliance platform, or are you going to bill     |
|      me hourly to write Word documents that become obsolete the moment we update our code?"       |
|                                                                                                    |
|  2. "How will your team validate our machine learning algorithms against the upcoming May 2026     |
|      EU AI Act high-risk classification without slowing down our two-week sprint velocity?"        |
|                                                                                                    |
|  3. "Can your firm commit in writing to a fixed-price 90-day remediation timeline, or is this an   |
|      open-ended time-and-materials engagement with no cap on b</x:v>
      </x:c>
      <x:c r="J554" s="5" t="str">
        <x:v>SOURCE QUOTE; unvalidated / superseded assessments</x:v>
      </x:c>
      <x:c r="L554" s="31" t="str">
        <x:v>D08, Markdown line 164; http://nas-1.tail55d152.ts.net:4100/static/NORDIC_MEDTECH_COMPETITIVE_LANDSCAPE_AND_PEER_DOSSIER.html</x:v>
      </x:c>
    </x:row>
    <x:row r="555" ht="294" customHeight="1">
      <x:c r="A555" s="5" t="str">
        <x:v>D08</x:v>
      </x:c>
      <x:c r="B555" s="5" t="str">
        <x:v>D08-L0164-2</x:v>
      </x:c>
      <x:c r="C555" s="5" t="str">
        <x:v>5. Strategic "Landmines to Set": Discovery Questions for Prospects</x:v>
      </x:c>
      <x:c r="D555" s="5" t="n">
        <x:v>164</x:v>
      </x:c>
      <x:c r="E555" s="5" t="n">
        <x:v>186</x:v>
      </x:c>
      <x:c r="F555" s="5" t="str">
        <x:v>diagram / code</x:v>
      </x:c>
      <x:c r="G555" s="5" t="n">
        <x:v>2</x:v>
      </x:c>
      <x:c r="H555" s="5" t="n">
        <x:v>2</x:v>
      </x:c>
      <x:c r="I555" s="5" t="str">
        <x:v>illable hours?"                     |
|                                                                                                    |
|  4. "Will the senior regulatory partners pitching this engagement be directly drafting our        |
|      technical files, or will the work be delegated to junior associates after contract signing?"  |
|                                                                                                    |
|  5. "Does your regulatory strategy directly link our technical documentation with a health        |
|      economic value dossier to accelerate Nordic reimbursement (TLV/DMP), or do we need to hire    |
|      a separate health economics firm?"                                                            |
|                                                                                                    |
+----------------------------------------------------------------------------------------------------+
```</x:v>
      </x:c>
      <x:c r="J555" s="5" t="str">
        <x:v>SOURCE QUOTE; unvalidated / superseded assessments</x:v>
      </x:c>
      <x:c r="L555" s="31" t="str">
        <x:v>D08, Markdown line 164; http://nas-1.tail55d152.ts.net:4100/static/NORDIC_MEDTECH_COMPETITIVE_LANDSCAPE_AND_PEER_DOSSIER.html</x:v>
      </x:c>
    </x:row>
    <x:row r="556" ht="42" customHeight="1">
      <x:c r="A556" s="5" t="str">
        <x:v>D08</x:v>
      </x:c>
      <x:c r="B556" s="5" t="str">
        <x:v>D08-L0190-1</x:v>
      </x:c>
      <x:c r="C556" s="5" t="str">
        <x:v>6. Co-opetition &amp; Strategic Partnership Opportunities</x:v>
      </x:c>
      <x:c r="D556" s="5" t="n">
        <x:v>190</x:v>
      </x:c>
      <x:c r="E556" s="5" t="n">
        <x:v>190</x:v>
      </x:c>
      <x:c r="F556" s="5" t="str">
        <x:v>heading</x:v>
      </x:c>
      <x:c r="G556" s="5" t="n">
        <x:v>1</x:v>
      </x:c>
      <x:c r="H556" s="5" t="n">
        <x:v>1</x:v>
      </x:c>
      <x:c r="I556" s="5" t="str">
        <x:v>## 6. Co-opetition &amp; Strategic Partnership Opportunities</x:v>
      </x:c>
      <x:c r="J556" s="5" t="str">
        <x:v>SOURCE QUOTE; unvalidated / superseded assessments</x:v>
      </x:c>
      <x:c r="L556" s="31" t="str">
        <x:v>D08, Markdown line 190; http://nas-1.tail55d152.ts.net:4100/static/NORDIC_MEDTECH_COMPETITIVE_LANDSCAPE_AND_PEER_DOSSIER.html</x:v>
      </x:c>
    </x:row>
    <x:row r="557" ht="42" customHeight="1">
      <x:c r="A557" s="5" t="str">
        <x:v>D08</x:v>
      </x:c>
      <x:c r="B557" s="5" t="str">
        <x:v>D08-L0192-1</x:v>
      </x:c>
      <x:c r="C557" s="5" t="str">
        <x:v>6. Co-opetition &amp; Strategic Partnership Opportunities</x:v>
      </x:c>
      <x:c r="D557" s="5" t="n">
        <x:v>192</x:v>
      </x:c>
      <x:c r="E557" s="5" t="n">
        <x:v>192</x:v>
      </x:c>
      <x:c r="F557" s="5" t="str">
        <x:v>text</x:v>
      </x:c>
      <x:c r="G557" s="5" t="n">
        <x:v>1</x:v>
      </x:c>
      <x:c r="H557" s="5" t="n">
        <x:v>1</x:v>
      </x:c>
      <x:c r="I557" s="5" t="str">
        <x:v>Rather than viewing all 12 competitors purely as adversaries, 2S Consulting can aggressively expand Nordic market penetration through **syndicated alliances**:</x:v>
      </x:c>
      <x:c r="J557" s="5" t="str">
        <x:v>SOURCE QUOTE; unvalidated / superseded assessments</x:v>
      </x:c>
      <x:c r="L557" s="31" t="str">
        <x:v>D08, Markdown line 192; http://nas-1.tail55d152.ts.net:4100/static/NORDIC_MEDTECH_COMPETITIVE_LANDSCAPE_AND_PEER_DOSSIER.html</x:v>
      </x:c>
    </x:row>
    <x:row r="558" ht="252" customHeight="1">
      <x:c r="A558" s="5" t="str">
        <x:v>D08</x:v>
      </x:c>
      <x:c r="B558" s="5" t="str">
        <x:v>D08-L0194-1</x:v>
      </x:c>
      <x:c r="C558" s="5" t="str">
        <x:v>6. Co-opetition &amp; Strategic Partnership Opportunities</x:v>
      </x:c>
      <x:c r="D558" s="5" t="n">
        <x:v>194</x:v>
      </x:c>
      <x:c r="E558" s="5" t="n">
        <x:v>201</x:v>
      </x:c>
      <x:c r="F558" s="5" t="str">
        <x:v>text</x:v>
      </x:c>
      <x:c r="G558" s="5" t="n">
        <x:v>1</x:v>
      </x:c>
      <x:c r="H558" s="5" t="n">
        <x:v>1</x:v>
      </x:c>
      <x:c r="I558" s="5" t="str">
        <x:v>1. **Alliance with Northern European CROs (e.g. LINK Medical Research)**:
   - *The Dynamic*: CROs excel at human clinical trial recruitment, monitoring, and bio-statistics, but frequently turn away clients who need complex medical device software validation (IEC 62304), cybersecurity, or AI governance.
   - *The Play*: 2S establishes a reciprocal referral agreement with LINK Medical: LINK refers SaMD/digital health clients to 2S, while 2S recommends LINK for large-scale European clinical trials.
2. **Alliance with Hardware Product Design Houses (e.g. Prevas &amp; Knightec)**:
   - *The Dynamic*: Prevas and Knightec build custom electronics and hardware prototypes, but their clients frequently stall at the notified body submission phase due to missing Clinical Evaluation Reports or Post-Market Surveillance plans.
   - *The Play*: 2S acts as the turnkey "Regulatory &amp; Clinical Completion Engine" for Prevas engineering clients.
3. **Nordic Venture Capital Due Diligence Retainer**:
   - Partner with healthcare venture funds (HealthCap, Industrifonden, Sound Bioventures) to provide standardized 48-hour regulatory gap audits on portfolio companies prior to Series A/B funding rounds.</x:v>
      </x:c>
      <x:c r="J558" s="5" t="str">
        <x:v>SOURCE QUOTE; unvalidated / superseded assessments</x:v>
      </x:c>
      <x:c r="L558" s="31" t="str">
        <x:v>D08, Markdown line 194; http://nas-1.tail55d152.ts.net:4100/static/NORDIC_MEDTECH_COMPETITIVE_LANDSCAPE_AND_PEER_DOSSIER.html</x:v>
      </x:c>
    </x:row>
    <x:row r="559" ht="42" customHeight="1">
      <x:c r="A559" s="5" t="str">
        <x:v>D08</x:v>
      </x:c>
      <x:c r="B559" s="5" t="str">
        <x:v>D08-L0205-1</x:v>
      </x:c>
      <x:c r="C559" s="5" t="str">
        <x:v>8. Analysis of Competing Hypotheses (ACH) on Peer Competitor Dynamics</x:v>
      </x:c>
      <x:c r="D559" s="5" t="n">
        <x:v>205</x:v>
      </x:c>
      <x:c r="E559" s="5" t="n">
        <x:v>205</x:v>
      </x:c>
      <x:c r="F559" s="5" t="str">
        <x:v>heading</x:v>
      </x:c>
      <x:c r="G559" s="5" t="n">
        <x:v>1</x:v>
      </x:c>
      <x:c r="H559" s="5" t="n">
        <x:v>1</x:v>
      </x:c>
      <x:c r="I559" s="5" t="str">
        <x:v>## 8. Analysis of Competing Hypotheses (ACH) on Peer Competitor Dynamics</x:v>
      </x:c>
      <x:c r="J559" s="5" t="str">
        <x:v>SOURCE QUOTE; unvalidated / superseded assessments</x:v>
      </x:c>
      <x:c r="L559" s="31" t="str">
        <x:v>D08, Markdown line 205; http://nas-1.tail55d152.ts.net:4100/static/NORDIC_MEDTECH_COMPETITIVE_LANDSCAPE_AND_PEER_DOSSIER.html</x:v>
      </x:c>
    </x:row>
    <x:row r="560" ht="42" customHeight="1">
      <x:c r="A560" s="5" t="str">
        <x:v>D08</x:v>
      </x:c>
      <x:c r="B560" s="5" t="str">
        <x:v>D08-L0207-1</x:v>
      </x:c>
      <x:c r="C560" s="5" t="str">
        <x:v>8. Analysis of Competing Hypotheses (ACH) on Peer Competitor Dynamics</x:v>
      </x:c>
      <x:c r="D560" s="5" t="n">
        <x:v>207</x:v>
      </x:c>
      <x:c r="E560" s="5" t="n">
        <x:v>207</x:v>
      </x:c>
      <x:c r="F560" s="5" t="str">
        <x:v>text</x:v>
      </x:c>
      <x:c r="G560" s="5" t="n">
        <x:v>1</x:v>
      </x:c>
      <x:c r="H560" s="5" t="n">
        <x:v>1</x:v>
      </x:c>
      <x:c r="I560" s="5" t="str">
        <x:v>Under UOS epistemic governance, we evaluate three competing hypotheses regarding incumbent competitor response and market defense against 2S Consulting &amp; Numantra Technologies:</x:v>
      </x:c>
      <x:c r="J560" s="5" t="str">
        <x:v>SOURCE QUOTE; unvalidated / superseded assessments</x:v>
      </x:c>
      <x:c r="L560" s="31" t="str">
        <x:v>D08, Markdown line 207; http://nas-1.tail55d152.ts.net:4100/static/NORDIC_MEDTECH_COMPETITIVE_LANDSCAPE_AND_PEER_DOSSIER.html</x:v>
      </x:c>
    </x:row>
    <x:row r="561" ht="154" customHeight="1">
      <x:c r="A561" s="5" t="str">
        <x:v>D08</x:v>
      </x:c>
      <x:c r="B561" s="5" t="str">
        <x:v>D08-L0209-1</x:v>
      </x:c>
      <x:c r="C561" s="5" t="str">
        <x:v>8. Analysis of Competing Hypotheses (ACH) on Peer Competitor Dynamics</x:v>
      </x:c>
      <x:c r="D561" s="5" t="n">
        <x:v>209</x:v>
      </x:c>
      <x:c r="E561" s="5" t="n">
        <x:v>211</x:v>
      </x:c>
      <x:c r="F561" s="5" t="str">
        <x:v>text</x:v>
      </x:c>
      <x:c r="G561" s="5" t="n">
        <x:v>1</x:v>
      </x:c>
      <x:c r="H561" s="5" t="n">
        <x:v>1</x:v>
      </x:c>
      <x:c r="I561" s="5" t="str">
        <x:v>- **Hypothesis 1 ($H_1$ - Rapid Incumbent Adaptation)**: Incumbent engineering consultancies (Semcon, Knightec, Prevas) will rapidly establish internal AI compliance divisions and marginalize boutique market entry through legacy preferred-supplier MSAs.
- **Hypothesis 2 ($H_2$ - Structural Inertia &amp; Niche Asymmetry)**: Incumbents are structurally locked into legacy time-and-materials billing models, high fixed overheads, and hardware engineering workflows, creating a defensible 24-month market window for 2S/Numantra's specialized, high-margin, tech-enabled offerings.
- **Hypothesis 3 ($H_3$ - Global Commoditization)**: Global mega-consultancies (Emergo by UL, PA Consulting) will offshore regulatory documentation drafting to low-cost delivery centers (India, Poland), commoditizing pricing below 2S's viability threshold.</x:v>
      </x:c>
      <x:c r="J561" s="5" t="str">
        <x:v>SOURCE QUOTE; unvalidated / superseded assessments</x:v>
      </x:c>
      <x:c r="L561" s="31" t="str">
        <x:v>D08, Markdown line 209; http://nas-1.tail55d152.ts.net:4100/static/NORDIC_MEDTECH_COMPETITIVE_LANDSCAPE_AND_PEER_DOSSIER.html</x:v>
      </x:c>
    </x:row>
    <x:row r="562" ht="42" customHeight="1">
      <x:c r="A562" s="5" t="str">
        <x:v>D08</x:v>
      </x:c>
      <x:c r="B562" s="5" t="str">
        <x:v>D08-L0213-1</x:v>
      </x:c>
      <x:c r="C562" s="5" t="str">
        <x:v>8.1 Evidence &amp; Diagnostic Criteria Evaluation</x:v>
      </x:c>
      <x:c r="D562" s="5" t="n">
        <x:v>213</x:v>
      </x:c>
      <x:c r="E562" s="5" t="n">
        <x:v>213</x:v>
      </x:c>
      <x:c r="F562" s="5" t="str">
        <x:v>heading</x:v>
      </x:c>
      <x:c r="G562" s="5" t="n">
        <x:v>1</x:v>
      </x:c>
      <x:c r="H562" s="5" t="n">
        <x:v>1</x:v>
      </x:c>
      <x:c r="I562" s="5" t="str">
        <x:v>### 8.1 Evidence &amp; Diagnostic Criteria Evaluation</x:v>
      </x:c>
      <x:c r="J562" s="5" t="str">
        <x:v>SOURCE QUOTE; unvalidated / superseded assessments</x:v>
      </x:c>
      <x:c r="L562" s="31" t="str">
        <x:v>D08, Markdown line 213; http://nas-1.tail55d152.ts.net:4100/static/NORDIC_MEDTECH_COMPETITIVE_LANDSCAPE_AND_PEER_DOSSIER.html</x:v>
      </x:c>
    </x:row>
    <x:row r="563" ht="238" customHeight="1">
      <x:c r="A563" s="5" t="str">
        <x:v>D08</x:v>
      </x:c>
      <x:c r="B563" s="5" t="str">
        <x:v>D08-L0215-1</x:v>
      </x:c>
      <x:c r="C563" s="5" t="str">
        <x:v>8.1 Evidence &amp; Diagnostic Criteria Evaluation</x:v>
      </x:c>
      <x:c r="D563" s="5" t="n">
        <x:v>215</x:v>
      </x:c>
      <x:c r="E563" s="5" t="n">
        <x:v>220</x:v>
      </x:c>
      <x:c r="F563" s="5" t="str">
        <x:v>text</x:v>
      </x:c>
      <x:c r="G563" s="5" t="n">
        <x:v>1</x:v>
      </x:c>
      <x:c r="H563" s="5" t="n">
        <x:v>1</x:v>
      </x:c>
      <x:c r="I563" s="5" t="str">
        <x:v>We evaluate five independent diagnostic indicators against each hypothesis:
- **$D_1$ (Notified Body Scrutiny &amp; Rejection Rates under MDR Rule 11)**: Notified Bodies are issuing major non-conformities on software files that lack rigorous algorithmic validation and clinical software safety architectures.
- **$D_2$ (Incumbent Billing Model Inflexibility)**: Incumbents rely on hourly utilization metrics (85%+ billable targets for junior staff) and actively resist fixed-price 90-day risk-sharing deliverables.
- **$D_3$ (Hands-on Software Competency Gap)**: Senior partners at legacy RA/QA shops lack modern computer science fluency (Git, Docker, CI/CD, PyTorch, ISO 14971 software risk).
- **$D_4$ (Enterprise Willingness to Bypass MSAs for Critical Deadlines)**: Device manufacturers facing imminent Notified Body audit deadlines or product recalls routinely bypass corporate MSAs to engage specialized boutique SWAT teams.
- **$D_5$ (Hospital Procurement Focus on Total Cost of Care)**: Nordic healthcare regions (Region Stockholm, Region Hovedstaden) demand empirical health economic value models (TLV/DMP), which traditional engineering firms do not produce.</x:v>
      </x:c>
      <x:c r="J563" s="5" t="str">
        <x:v>SOURCE QUOTE; unvalidated / superseded assessments</x:v>
      </x:c>
      <x:c r="L563" s="31" t="str">
        <x:v>D08, Markdown line 215; http://nas-1.tail55d152.ts.net:4100/static/NORDIC_MEDTECH_COMPETITIVE_LANDSCAPE_AND_PEER_DOSSIER.html</x:v>
      </x:c>
    </x:row>
    <x:row r="564" ht="42" customHeight="1">
      <x:c r="A564" s="5" t="str">
        <x:v>D08</x:v>
      </x:c>
      <x:c r="B564" s="5" t="str">
        <x:v>D08-L0222-1</x:v>
      </x:c>
      <x:c r="C564" s="5" t="str">
        <x:v>8.2 Diagnostic Disconfirmation Matrix</x:v>
      </x:c>
      <x:c r="D564" s="5" t="n">
        <x:v>222</x:v>
      </x:c>
      <x:c r="E564" s="5" t="n">
        <x:v>222</x:v>
      </x:c>
      <x:c r="F564" s="5" t="str">
        <x:v>heading</x:v>
      </x:c>
      <x:c r="G564" s="5" t="n">
        <x:v>1</x:v>
      </x:c>
      <x:c r="H564" s="5" t="n">
        <x:v>1</x:v>
      </x:c>
      <x:c r="I564" s="5" t="str">
        <x:v>### 8.2 Diagnostic Disconfirmation Matrix</x:v>
      </x:c>
      <x:c r="J564" s="5" t="str">
        <x:v>SOURCE QUOTE; unvalidated / superseded assessments</x:v>
      </x:c>
      <x:c r="L564" s="31" t="str">
        <x:v>D08, Markdown line 222; http://nas-1.tail55d152.ts.net:4100/static/NORDIC_MEDTECH_COMPETITIVE_LANDSCAPE_AND_PEER_DOSSIER.html</x:v>
      </x:c>
    </x:row>
    <x:row r="565" ht="70" customHeight="1">
      <x:c r="A565" s="5" t="str">
        <x:v>D08</x:v>
      </x:c>
      <x:c r="B565" s="5" t="str">
        <x:v>D08-L0233-1</x:v>
      </x:c>
      <x:c r="C565" s="5" t="str">
        <x:v>8.2 Diagnostic Disconfirmation Matrix</x:v>
      </x:c>
      <x:c r="D565" s="5" t="n">
        <x:v>233</x:v>
      </x:c>
      <x:c r="E565" s="5" t="n">
        <x:v>233</x:v>
      </x:c>
      <x:c r="F565" s="5" t="str">
        <x:v>text</x:v>
      </x:c>
      <x:c r="G565" s="5" t="n">
        <x:v>1</x:v>
      </x:c>
      <x:c r="H565" s="5" t="n">
        <x:v>1</x:v>
      </x:c>
      <x:c r="I565" s="5" t="str">
        <x:v>*Conclusion*: Hypothesis 2 ($H_2$) is overwhelmingly supported by empirical market evidence. Incumbent engineering and regulatory consultancies cannot pivot quickly enough to block 2S Consulting's high-velocity wedge strategy, creating an exceptional 24-month window for Nordic market capture.</x:v>
      </x:c>
      <x:c r="J565" s="5" t="str">
        <x:v>SOURCE QUOTE; unvalidated / superseded assessments</x:v>
      </x:c>
      <x:c r="L565" s="31" t="str">
        <x:v>D08, Markdown line 233; http://nas-1.tail55d152.ts.net:4100/static/NORDIC_MEDTECH_COMPETITIVE_LANDSCAPE_AND_PEER_DOSSIER.html</x:v>
      </x:c>
    </x:row>
    <x:row r="566" ht="42" customHeight="1">
      <x:c r="A566" s="5" t="str">
        <x:v>D08</x:v>
      </x:c>
      <x:c r="B566" s="5" t="str">
        <x:v>D08-L0237-1</x:v>
      </x:c>
      <x:c r="C566" s="5" t="str">
        <x:v>9. NATO STANAG Admiralty Protocol Verification Matrix ($\ge$ B2)</x:v>
      </x:c>
      <x:c r="D566" s="5" t="n">
        <x:v>237</x:v>
      </x:c>
      <x:c r="E566" s="5" t="n">
        <x:v>237</x:v>
      </x:c>
      <x:c r="F566" s="5" t="str">
        <x:v>heading</x:v>
      </x:c>
      <x:c r="G566" s="5" t="n">
        <x:v>1</x:v>
      </x:c>
      <x:c r="H566" s="5" t="n">
        <x:v>1</x:v>
      </x:c>
      <x:c r="I566" s="5" t="str">
        <x:v>## 9. NATO STANAG Admiralty Protocol Verification Matrix ($\ge$ B2)</x:v>
      </x:c>
      <x:c r="J566" s="5" t="str">
        <x:v>SOURCE QUOTE; unvalidated / superseded assessments</x:v>
      </x:c>
      <x:c r="L566" s="31" t="str">
        <x:v>D08, Markdown line 237; http://nas-1.tail55d152.ts.net:4100/static/NORDIC_MEDTECH_COMPETITIVE_LANDSCAPE_AND_PEER_DOSSIER.html</x:v>
      </x:c>
    </x:row>
    <x:row r="567" ht="84" customHeight="1">
      <x:c r="A567" s="5" t="str">
        <x:v>D08</x:v>
      </x:c>
      <x:c r="B567" s="5" t="str">
        <x:v>D08-L0239-1</x:v>
      </x:c>
      <x:c r="C567" s="5" t="str">
        <x:v>9. NATO STANAG Admiralty Protocol Verification Matrix ($\ge$ B2)</x:v>
      </x:c>
      <x:c r="D567" s="5" t="n">
        <x:v>239</x:v>
      </x:c>
      <x:c r="E567" s="5" t="n">
        <x:v>239</x:v>
      </x:c>
      <x:c r="F567" s="5" t="str">
        <x:v>text</x:v>
      </x:c>
      <x:c r="G567" s="5" t="n">
        <x:v>1</x:v>
      </x:c>
      <x:c r="H567" s="5" t="n">
        <x:v>1</x:v>
      </x:c>
      <x:c r="I567" s="5" t="str">
        <x:v>To satisfy intelligence-grade analytical rigor, all intelligence regarding the 12 peer consultancies has been evaluated under the **NATO STANAG 2017/2018 Admiralty System** (Source Reliability: A–F; Information Credibility: 1–6). Only intelligence meeting or exceeding **B2** (Usually Reliable / Probably True) is incorporated into the competitive strategy.</x:v>
      </x:c>
      <x:c r="J567" s="5" t="str">
        <x:v>SOURCE QUOTE; unvalidated / superseded assessments</x:v>
      </x:c>
      <x:c r="L567" s="31" t="str">
        <x:v>D08, Markdown line 239; http://nas-1.tail55d152.ts.net:4100/static/NORDIC_MEDTECH_COMPETITIVE_LANDSCAPE_AND_PEER_DOSSIER.html</x:v>
      </x:c>
    </x:row>
    <x:row r="568" ht="42" customHeight="1">
      <x:c r="A568" s="5" t="str">
        <x:v>D08</x:v>
      </x:c>
      <x:c r="B568" s="5" t="str">
        <x:v>D08-L0256-1</x:v>
      </x:c>
      <x:c r="C568" s="5" t="str">
        <x:v>9. NATO STANAG Admiralty Protocol Verification Matrix ($\ge$ B2)</x:v>
      </x:c>
      <x:c r="D568" s="5" t="n">
        <x:v>256</x:v>
      </x:c>
      <x:c r="E568" s="5" t="n">
        <x:v>256</x:v>
      </x:c>
      <x:c r="F568" s="5" t="str">
        <x:v>text</x:v>
      </x:c>
      <x:c r="G568" s="5" t="n">
        <x:v>1</x:v>
      </x:c>
      <x:c r="H568" s="5" t="n">
        <x:v>1</x:v>
      </x:c>
      <x:c r="I568" s="5" t="str">
        <x:v>*Protocol Compliance*: **100% of analyzed competitor entities satisfy the NATO STANAG $\ge$ B2 threshold.**</x:v>
      </x:c>
      <x:c r="J568" s="5" t="str">
        <x:v>SOURCE QUOTE; unvalidated / superseded assessments</x:v>
      </x:c>
      <x:c r="L568" s="31" t="str">
        <x:v>D08, Markdown line 256; http://nas-1.tail55d152.ts.net:4100/static/NORDIC_MEDTECH_COMPETITIVE_LANDSCAPE_AND_PEER_DOSSIER.html</x:v>
      </x:c>
    </x:row>
    <x:row r="569" ht="56" customHeight="1">
      <x:c r="A569" s="5" t="str">
        <x:v>D08</x:v>
      </x:c>
      <x:c r="B569" s="5" t="str">
        <x:v>D08-L0260-1</x:v>
      </x:c>
      <x:c r="C569" s="5" t="str">
        <x:v>10. Devil's Advocate &amp; Tenth Man Counter-Case: Vulnerabilities in Asymmetric Positioning</x:v>
      </x:c>
      <x:c r="D569" s="5" t="n">
        <x:v>260</x:v>
      </x:c>
      <x:c r="E569" s="5" t="n">
        <x:v>260</x:v>
      </x:c>
      <x:c r="F569" s="5" t="str">
        <x:v>heading</x:v>
      </x:c>
      <x:c r="G569" s="5" t="n">
        <x:v>1</x:v>
      </x:c>
      <x:c r="H569" s="5" t="n">
        <x:v>1</x:v>
      </x:c>
      <x:c r="I569" s="5" t="str">
        <x:v>## 10. Devil's Advocate &amp; Tenth Man Counter-Case: Vulnerabilities in Asymmetric Positioning</x:v>
      </x:c>
      <x:c r="J569" s="5" t="str">
        <x:v>SOURCE QUOTE; unvalidated / superseded assessments</x:v>
      </x:c>
      <x:c r="L569" s="31" t="str">
        <x:v>D08, Markdown line 260; http://nas-1.tail55d152.ts.net:4100/static/NORDIC_MEDTECH_COMPETITIVE_LANDSCAPE_AND_PEER_DOSSIER.html</x:v>
      </x:c>
    </x:row>
    <x:row r="570" ht="56" customHeight="1">
      <x:c r="A570" s="5" t="str">
        <x:v>D08</x:v>
      </x:c>
      <x:c r="B570" s="5" t="str">
        <x:v>D08-L0262-1</x:v>
      </x:c>
      <x:c r="C570" s="5" t="str">
        <x:v>10. Devil's Advocate &amp; Tenth Man Counter-Case: Vulnerabilities in Asymmetric Positioning</x:v>
      </x:c>
      <x:c r="D570" s="5" t="n">
        <x:v>262</x:v>
      </x:c>
      <x:c r="E570" s="5" t="n">
        <x:v>262</x:v>
      </x:c>
      <x:c r="F570" s="5" t="str">
        <x:v>text</x:v>
      </x:c>
      <x:c r="G570" s="5" t="n">
        <x:v>1</x:v>
      </x:c>
      <x:c r="H570" s="5" t="n">
        <x:v>1</x:v>
      </x:c>
      <x:c r="I570" s="5" t="str">
        <x:v>In accordance with sovereign intelligence doctrine, the **Tenth Man Rule** mandates an adversarial counter-evaluation of 2S Consulting's go-to-market assumptions to identify catastrophic failure modes before execution.</x:v>
      </x:c>
      <x:c r="J570" s="5" t="str">
        <x:v>SOURCE QUOTE; unvalidated / superseded assessments</x:v>
      </x:c>
      <x:c r="L570" s="31" t="str">
        <x:v>D08, Markdown line 262; http://nas-1.tail55d152.ts.net:4100/static/NORDIC_MEDTECH_COMPETITIVE_LANDSCAPE_AND_PEER_DOSSIER.html</x:v>
      </x:c>
    </x:row>
    <x:row r="571" ht="350" customHeight="1">
      <x:c r="A571" s="5" t="str">
        <x:v>D08</x:v>
      </x:c>
      <x:c r="B571" s="5" t="str">
        <x:v>D08-L0264-1</x:v>
      </x:c>
      <x:c r="C571" s="5" t="str">
        <x:v>10. Devil's Advocate &amp; Tenth Man Counter-Case: Vulnerabilities in Asymmetric Positioning</x:v>
      </x:c>
      <x:c r="D571" s="5" t="n">
        <x:v>264</x:v>
      </x:c>
      <x:c r="E571" s="5" t="n">
        <x:v>298</x:v>
      </x:c>
      <x:c r="F571" s="5" t="str">
        <x:v>diagram / code</x:v>
      </x:c>
      <x:c r="G571" s="5" t="n">
        <x:v>1</x:v>
      </x:c>
      <x:c r="H571" s="5" t="n">
        <x:v>3</x:v>
      </x:c>
      <x:c r="I571" s="5" t="str">
        <x:v>```
+----------------------------------------------------------------------------------------------------+
|                         DEVIL'S ADVOCATE: THREE FATAL ASSUMPTIONS IN 2S'S STRATEGY                  |
+----------------------------------------------------------------------------------------------------+
|                                                                                                    |
|  1. THE PROCUREMENT CONSOLIDATION WALL                                                             |
|     - Premise: 2S assumes Tier-1 enterprises (Getinge, Elekta) will easily award contracts based   |
|       on technical superiority and founder pedigree.                                               |
|     - Counter-Case: Enterprise procurement departments at public medtech giants enforce strict     |
|       preferred-supplier policies requiring vendors to have &gt;€5M balance sheets and ISO 9001/27001  |
|       certifications, automatically rejecting unlisted boutique vendors regardless of technical    |
|       merit.                                                                                       |
|     - Countermeasure: Must lead with Subcontracting / White</x:v>
      </x:c>
      <x:c r="J571" s="5" t="str">
        <x:v>SOURCE QUOTE; unvalidated / superseded assessments</x:v>
      </x:c>
      <x:c r="L571" s="31" t="str">
        <x:v>D08, Markdown line 264; http://nas-1.tail55d152.ts.net:4100/static/NORDIC_MEDTECH_COMPETITIVE_LANDSCAPE_AND_PEER_DOSSIER.html</x:v>
      </x:c>
    </x:row>
    <x:row r="572" ht="350" customHeight="1">
      <x:c r="A572" s="5" t="str">
        <x:v>D08</x:v>
      </x:c>
      <x:c r="B572" s="5" t="str">
        <x:v>D08-L0264-2</x:v>
      </x:c>
      <x:c r="C572" s="5" t="str">
        <x:v>10. Devil's Advocate &amp; Tenth Man Counter-Case: Vulnerabilities in Asymmetric Positioning</x:v>
      </x:c>
      <x:c r="D572" s="5" t="n">
        <x:v>264</x:v>
      </x:c>
      <x:c r="E572" s="5" t="n">
        <x:v>298</x:v>
      </x:c>
      <x:c r="F572" s="5" t="str">
        <x:v>diagram / code</x:v>
      </x:c>
      <x:c r="G572" s="5" t="n">
        <x:v>2</x:v>
      </x:c>
      <x:c r="H572" s="5" t="n">
        <x:v>3</x:v>
      </x:c>
      <x:c r="I572" s="5" t="str">
        <x:v>-Labeling through Knightec or Semcon,   |
|       billing through their approved vendor code while building client-side sponsorship.           |
|                                                                                                    |
|  2. THE "FREE SOFTWARE" CONSULTING EXPECTATION                                                     |
|     - Premise: Medtech manufacturers will enthusiastically pay separate recurring SaaS license     |
|       fees for Numantra's HCare360 NLP platform.                                                   |
|     - Counter-Case: Conservative RA/QA managers perceive software platforms as internal tools of  |
|       the consulting firm and expect software capabilities to be included in the hourly rate,     |
|       strenuously resisting separate software procurement contracts.                               |
|     - Countermeasure: Package Numantra software into the fixed-price "Audit-Ready" project fee     |
|       rather than itemizing it as a software license, monetizing IP through premium project fees.  |
|                                                                                                    |
|  3. THE SCIENCE PARK "ACA</x:v>
      </x:c>
      <x:c r="J572" s="5" t="str">
        <x:v>SOURCE QUOTE; unvalidated / superseded assessments</x:v>
      </x:c>
      <x:c r="L572" s="31" t="str">
        <x:v>D08, Markdown line 264; http://nas-1.tail55d152.ts.net:4100/static/NORDIC_MEDTECH_COMPETITIVE_LANDSCAPE_AND_PEER_DOSSIER.html</x:v>
      </x:c>
    </x:row>
    <x:row r="573" ht="294" customHeight="1">
      <x:c r="A573" s="5" t="str">
        <x:v>D08</x:v>
      </x:c>
      <x:c r="B573" s="5" t="str">
        <x:v>D08-L0264-3</x:v>
      </x:c>
      <x:c r="C573" s="5" t="str">
        <x:v>10. Devil's Advocate &amp; Tenth Man Counter-Case: Vulnerabilities in Asymmetric Positioning</x:v>
      </x:c>
      <x:c r="D573" s="5" t="n">
        <x:v>264</x:v>
      </x:c>
      <x:c r="E573" s="5" t="n">
        <x:v>298</x:v>
      </x:c>
      <x:c r="F573" s="5" t="str">
        <x:v>diagram / code</x:v>
      </x:c>
      <x:c r="G573" s="5" t="n">
        <x:v>3</x:v>
      </x:c>
      <x:c r="H573" s="5" t="n">
        <x:v>3</x:v>
      </x:c>
      <x:c r="I573" s="5" t="str">
        <x:v>DEMIC POVERTY" TRAP                                                       |
|     - Premise: Infiltrating Medicon Village and GoCo will generate high-margin commercial client    |
|       contracts.                                                                                   |
|     - Counter-Case: 70%+ of companies in regional science parks are pre-revenue university         |
|       spinouts funded by soft governmental grants (Vinnova) that expect free academic mentoring     |
|       and cannot afford commercial consulting retainers.                                           |
|     - Countermeasure: Restrict science park outreach strictly to Series A-backed commercial tenants |
|       and syndicate through VC funds (HealthCap, Industrifonden) who hold purse strings.           |
|                                                                                                    |
+----------------------------------------------------------------------------------------------------+
```</x:v>
      </x:c>
      <x:c r="J573" s="5" t="str">
        <x:v>SOURCE QUOTE; unvalidated / superseded assessments</x:v>
      </x:c>
      <x:c r="L573" s="31" t="str">
        <x:v>D08, Markdown line 264; http://nas-1.tail55d152.ts.net:4100/static/NORDIC_MEDTECH_COMPETITIVE_LANDSCAPE_AND_PEER_DOSSIER.html</x:v>
      </x:c>
    </x:row>
    <x:row r="574" ht="42" customHeight="1">
      <x:c r="A574" s="5" t="str">
        <x:v>D08</x:v>
      </x:c>
      <x:c r="B574" s="5" t="str">
        <x:v>D08-L0300-1</x:v>
      </x:c>
      <x:c r="C574" s="5" t="str">
        <x:v>10.1 Popperian Falsification Thresholds</x:v>
      </x:c>
      <x:c r="D574" s="5" t="n">
        <x:v>300</x:v>
      </x:c>
      <x:c r="E574" s="5" t="n">
        <x:v>300</x:v>
      </x:c>
      <x:c r="F574" s="5" t="str">
        <x:v>heading</x:v>
      </x:c>
      <x:c r="G574" s="5" t="n">
        <x:v>1</x:v>
      </x:c>
      <x:c r="H574" s="5" t="n">
        <x:v>1</x:v>
      </x:c>
      <x:c r="I574" s="5" t="str">
        <x:v>### 10.1 Popperian Falsification Thresholds</x:v>
      </x:c>
      <x:c r="J574" s="5" t="str">
        <x:v>SOURCE QUOTE; unvalidated / superseded assessments</x:v>
      </x:c>
      <x:c r="L574" s="31" t="str">
        <x:v>D08, Markdown line 300; http://nas-1.tail55d152.ts.net:4100/static/NORDIC_MEDTECH_COMPETITIVE_LANDSCAPE_AND_PEER_DOSSIER.html</x:v>
      </x:c>
    </x:row>
    <x:row r="575" ht="42" customHeight="1">
      <x:c r="A575" s="5" t="str">
        <x:v>D08</x:v>
      </x:c>
      <x:c r="B575" s="5" t="str">
        <x:v>D08-L0302-1</x:v>
      </x:c>
      <x:c r="C575" s="5" t="str">
        <x:v>10.1 Popperian Falsification Thresholds</x:v>
      </x:c>
      <x:c r="D575" s="5" t="n">
        <x:v>302</x:v>
      </x:c>
      <x:c r="E575" s="5" t="n">
        <x:v>302</x:v>
      </x:c>
      <x:c r="F575" s="5" t="str">
        <x:v>text</x:v>
      </x:c>
      <x:c r="G575" s="5" t="n">
        <x:v>1</x:v>
      </x:c>
      <x:c r="H575" s="5" t="n">
        <x:v>1</x:v>
      </x:c>
      <x:c r="I575" s="5" t="str">
        <x:v>The 2S leadership team must enforce explicit falsification triggers to terminate unproductive outreach channels:</x:v>
      </x:c>
      <x:c r="J575" s="5" t="str">
        <x:v>SOURCE QUOTE; unvalidated / superseded assessments</x:v>
      </x:c>
      <x:c r="L575" s="31" t="str">
        <x:v>D08, Markdown line 302; http://nas-1.tail55d152.ts.net:4100/static/NORDIC_MEDTECH_COMPETITIVE_LANDSCAPE_AND_PEER_DOSSIER.html</x:v>
      </x:c>
    </x:row>
    <x:row r="576" ht="168" customHeight="1">
      <x:c r="A576" s="5" t="str">
        <x:v>D08</x:v>
      </x:c>
      <x:c r="B576" s="5" t="str">
        <x:v>D08-L0304-1</x:v>
      </x:c>
      <x:c r="C576" s="5" t="str">
        <x:v>10.1 Popperian Falsification Thresholds</x:v>
      </x:c>
      <x:c r="D576" s="5" t="n">
        <x:v>304</x:v>
      </x:c>
      <x:c r="E576" s="5" t="n">
        <x:v>306</x:v>
      </x:c>
      <x:c r="F576" s="5" t="str">
        <x:v>text</x:v>
      </x:c>
      <x:c r="G576" s="5" t="n">
        <x:v>1</x:v>
      </x:c>
      <x:c r="H576" s="5" t="n">
        <x:v>1</x:v>
      </x:c>
      <x:c r="I576" s="5" t="str">
        <x:v>1. **Procurement Falsification Trigger**: If after 30 days of direct Tier-1 outreach, more than 3 target accounts stall in vendor registration due to balance-sheet size constraints, terminate direct Tier-1 cold outreach immediately and divert 100% of sales capacity into white-label subcontracting through Knightec and Semcon.
2. **Software Bundling Trigger**: If more than 2 prospective clients request to delete the software platform fee from the proposal while keeping the consulting scope, immediately collapse the pricing into a unified, all-inclusive "Fixed-Deliverable Advisory Sprint" with zero software line items.
3. **Science Park Velocity Trigger**: If 4 weeks of incubator advisory desk presence yields fewer than 2 funded commercial proposals, reallocate advisory hours from physical cluster visits to VC portfolio partner reviews.</x:v>
      </x:c>
      <x:c r="J576" s="5" t="str">
        <x:v>SOURCE QUOTE; unvalidated / superseded assessments</x:v>
      </x:c>
      <x:c r="L576" s="31" t="str">
        <x:v>D08, Markdown line 304; http://nas-1.tail55d152.ts.net:4100/static/NORDIC_MEDTECH_COMPETITIVE_LANDSCAPE_AND_PEER_DOSSIER.html</x:v>
      </x:c>
    </x:row>
    <x:row r="577" ht="42" customHeight="1">
      <x:c r="A577" s="5" t="str">
        <x:v>D08</x:v>
      </x:c>
      <x:c r="B577" s="5" t="str">
        <x:v>D08-L0310-1</x:v>
      </x:c>
      <x:c r="C577" s="5" t="str">
        <x:v>11. Master Cross-Reference Links</x:v>
      </x:c>
      <x:c r="D577" s="5" t="n">
        <x:v>310</x:v>
      </x:c>
      <x:c r="E577" s="5" t="n">
        <x:v>310</x:v>
      </x:c>
      <x:c r="F577" s="5" t="str">
        <x:v>heading</x:v>
      </x:c>
      <x:c r="G577" s="5" t="n">
        <x:v>1</x:v>
      </x:c>
      <x:c r="H577" s="5" t="n">
        <x:v>1</x:v>
      </x:c>
      <x:c r="I577" s="5" t="str">
        <x:v>## 11. Master Cross-Reference Links</x:v>
      </x:c>
      <x:c r="J577" s="5" t="str">
        <x:v>SOURCE QUOTE; unvalidated / superseded assessments</x:v>
      </x:c>
      <x:c r="L577" s="31" t="str">
        <x:v>D08, Markdown line 310; http://nas-1.tail55d152.ts.net:4100/static/NORDIC_MEDTECH_COMPETITIVE_LANDSCAPE_AND_PEER_DOSSIER.html</x:v>
      </x:c>
    </x:row>
    <x:row r="578" ht="252" customHeight="1">
      <x:c r="A578" s="5" t="str">
        <x:v>D08</x:v>
      </x:c>
      <x:c r="B578" s="5" t="str">
        <x:v>D08-L0312-1</x:v>
      </x:c>
      <x:c r="C578" s="5" t="str">
        <x:v>11. Master Cross-Reference Links</x:v>
      </x:c>
      <x:c r="D578" s="5" t="n">
        <x:v>312</x:v>
      </x:c>
      <x:c r="E578" s="5" t="n">
        <x:v>319</x:v>
      </x:c>
      <x:c r="F578" s="5" t="str">
        <x:v>text</x:v>
      </x:c>
      <x:c r="G578" s="5" t="n">
        <x:v>1</x:v>
      </x:c>
      <x:c r="H578" s="5" t="n">
        <x:v>2</x:v>
      </x:c>
      <x:c r="I578" s="5" t="str">
        <x:v>- **Master Projects Portal**: [http://nas-1.tail55d152.ts.net:4100/static/PROJECTS_INDEX.html](http://nas-1.tail55d152.ts.net:4100/static/PROJECTS_INDEX.html)
- **Comprehensive Master Dossier**: [http://nas-1.tail55d152.ts.net:4100/docs/journal/2S_CONSULTING_COMPREHENSIVE_DOSSIER.md](http://nas-1.tail55d152.ts.net:4100/docs/journal/2S_CONSULTING_COMPREHENSIVE_DOSSIER.md)
- **Nordic Market Outreach Strategy**: [http://nas-1.tail55d152.ts.net:4100/docs/journal/2S_CONSULTING_NORDIC_OUTREACH_STRATEGY.md](http://nas-1.tail55d152.ts.net:4100/docs/journal/2S_CONSULTING_NORDIC_OUTREACH_STRATEGY.md)
- **Nordic Market Penetration &amp; Ecosystem Accelerator**: [http://nas-1.tail55d152.ts.net:4100/docs/journal/2S_NORDIC_MARKET_PENETRATION_AND_ECOSYSTEM_ACCELERATOR.md](http://nas-1.tail55d152.ts.net:4100/docs/journal/2S_NORDIC_MARKET_PENETRATION_AND_ECOSYSTEM_ACCELERATOR.md)
- **Nordic MedTech Financial Directory**: [http://nas-1.tail55d152.ts.net:4100/docs/journal/MEDICAL_NORDICS_FINANCIALS_DOSSIER.md](http://nas-1.tail55d152.ts.net:4100/docs/journal/MEDICAL_NORDICS_FINANCIALS_DOSSIER.md)
- **Interactive Competitor Benchmark Slide Deck**: [http://nas-1.tail55d152.ts.net:4100/static/NORDIC_COMPETI</x:v>
      </x:c>
      <x:c r="J578" s="5" t="str">
        <x:v>SOURCE QUOTE; unvalidated / superseded assessments</x:v>
      </x:c>
      <x:c r="L578" s="31" t="str">
        <x:v>D08, Markdown line 312; http://nas-1.tail55d152.ts.net:4100/static/NORDIC_MEDTECH_COMPETITIVE_LANDSCAPE_AND_PEER_DOSSIER.html</x:v>
      </x:c>
    </x:row>
    <x:row r="579" ht="126" customHeight="1">
      <x:c r="A579" s="5" t="str">
        <x:v>D08</x:v>
      </x:c>
      <x:c r="B579" s="5" t="str">
        <x:v>D08-L0312-2</x:v>
      </x:c>
      <x:c r="C579" s="5" t="str">
        <x:v>11. Master Cross-Reference Links</x:v>
      </x:c>
      <x:c r="D579" s="5" t="n">
        <x:v>312</x:v>
      </x:c>
      <x:c r="E579" s="5" t="n">
        <x:v>319</x:v>
      </x:c>
      <x:c r="F579" s="5" t="str">
        <x:v>text</x:v>
      </x:c>
      <x:c r="G579" s="5" t="n">
        <x:v>2</x:v>
      </x:c>
      <x:c r="H579" s="5" t="n">
        <x:v>2</x:v>
      </x:c>
      <x:c r="I579" s="5" t="str">
        <x:v>TOR_BENCHMARK_DECK.html](http://nas-1.tail55d152.ts.net:4100/static/NORDIC_COMPETITOR_BENCHMARK_DECK.html)
- **Interactive Outreach Presentation Deck**: [http://nas-1.tail55d152.ts.net:4100/static/2S_NORDIC_OUTREACH_PRESENTATION.html](http://nas-1.tail55d152.ts.net:4100/static/2S_NORDIC_OUTREACH_PRESENTATION.html)
- **Master Enterprise Excel**: [http://nas-1.tail55d152.ts.net:4100/static/2S_Consulting_Enterprise_Data.xlsx](http://nas-1.tail55d152.ts.net:4100/static/2S_Consulting_Enterprise_Data.xlsx)</x:v>
      </x:c>
      <x:c r="J579" s="5" t="str">
        <x:v>SOURCE QUOTE; unvalidated / superseded assessments</x:v>
      </x:c>
      <x:c r="L579" s="31" t="str">
        <x:v>D08, Markdown line 312; http://nas-1.tail55d152.ts.net:4100/static/NORDIC_MEDTECH_COMPETITIVE_LANDSCAPE_AND_PEER_DOSSIER.html</x:v>
      </x:c>
    </x:row>
  </x:sheetData>
  <x:mergeCells>
    <x:mergeCell ref="A2:J2"/>
    <x:mergeCell ref="A3:J3"/>
    <x:mergeCell ref="A4:J4"/>
  </x:mergeCells>
  <x:pageMargins left="0.7" right="0.7" top="0.75" bottom="0.75" header="0.3" footer="0.3"/>
  <x:tableParts count="1">
    <x:tablePart xmlns:r="http://schemas.openxmlformats.org/officeDocument/2006/relationships" r:id="R276eabc823de472b"/>
  </x:tableParts>
</x:worksheet>
</file>